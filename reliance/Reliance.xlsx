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devanshbhandari/Desktop/united /united-portal/reliance/"/>
    </mc:Choice>
  </mc:AlternateContent>
  <xr:revisionPtr revIDLastSave="0" documentId="13_ncr:1_{8FB0AF37-D1E8-AC44-875C-F1976FC7152F}" xr6:coauthVersionLast="47" xr6:coauthVersionMax="47" xr10:uidLastSave="{00000000-0000-0000-0000-000000000000}"/>
  <bookViews>
    <workbookView xWindow="0" yWindow="660" windowWidth="29400" windowHeight="16720" activeTab="1" xr2:uid="{00000000-000D-0000-FFFF-FFFF00000000}"/>
  </bookViews>
  <sheets>
    <sheet name="Purchase Orders" sheetId="1" r:id="rId1"/>
    <sheet name="Sheet1" sheetId="2" r:id="rId2"/>
  </sheets>
  <definedNames>
    <definedName name="_xlnm._FilterDatabase" localSheetId="0" hidden="1">'Purchase Orders'!$A$1:$AF$1074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755" i="1" l="1"/>
  <c r="Y755" i="1"/>
  <c r="Z755" i="1"/>
  <c r="AA755" i="1"/>
  <c r="AB755" i="1"/>
  <c r="AC755" i="1"/>
  <c r="AD755" i="1"/>
  <c r="AE755" i="1" a="1"/>
  <c r="AE755" i="1" s="1"/>
  <c r="AH755" i="1" s="1" a="1"/>
  <c r="AH755" i="1" s="1"/>
  <c r="AF755" i="1"/>
  <c r="AG755" i="1"/>
  <c r="X756" i="1"/>
  <c r="Y756" i="1"/>
  <c r="Z756" i="1"/>
  <c r="AA756" i="1"/>
  <c r="AB756" i="1"/>
  <c r="AC756" i="1"/>
  <c r="AD756" i="1"/>
  <c r="AE756" i="1" a="1"/>
  <c r="AE756" i="1" s="1"/>
  <c r="AH756" i="1" s="1" a="1"/>
  <c r="AH756" i="1" s="1"/>
  <c r="AF756" i="1"/>
  <c r="AG756" i="1"/>
  <c r="X757" i="1"/>
  <c r="Y757" i="1"/>
  <c r="Z757" i="1"/>
  <c r="AA757" i="1"/>
  <c r="AB757" i="1"/>
  <c r="AC757" i="1"/>
  <c r="AD757" i="1"/>
  <c r="AE757" i="1" a="1"/>
  <c r="AE757" i="1" s="1"/>
  <c r="AH757" i="1" s="1" a="1"/>
  <c r="AH757" i="1" s="1"/>
  <c r="AF757" i="1"/>
  <c r="AG757" i="1"/>
  <c r="X758" i="1"/>
  <c r="Y758" i="1"/>
  <c r="Z758" i="1"/>
  <c r="AA758" i="1"/>
  <c r="AB758" i="1"/>
  <c r="AC758" i="1"/>
  <c r="AD758" i="1"/>
  <c r="AE758" i="1" a="1"/>
  <c r="AE758" i="1" s="1"/>
  <c r="AH758" i="1" s="1" a="1"/>
  <c r="AH758" i="1" s="1"/>
  <c r="AF758" i="1"/>
  <c r="AG758" i="1"/>
  <c r="X759" i="1"/>
  <c r="Y759" i="1"/>
  <c r="Z759" i="1"/>
  <c r="AA759" i="1"/>
  <c r="AB759" i="1"/>
  <c r="AC759" i="1"/>
  <c r="AD759" i="1"/>
  <c r="AE759" i="1" a="1"/>
  <c r="AE759" i="1" s="1"/>
  <c r="AH759" i="1" s="1" a="1"/>
  <c r="AH759" i="1" s="1"/>
  <c r="AF759" i="1"/>
  <c r="AG759" i="1"/>
  <c r="AH1077" i="1" a="1"/>
  <c r="AH1077" i="1" s="1"/>
  <c r="AH1076" i="1" a="1"/>
  <c r="AH1076" i="1" s="1"/>
  <c r="AH1075" i="1" a="1"/>
  <c r="AH1075" i="1" s="1"/>
  <c r="X2" i="1"/>
  <c r="Y2" i="1"/>
  <c r="Z2" i="1"/>
  <c r="X3" i="1"/>
  <c r="Y3" i="1"/>
  <c r="Z3" i="1"/>
  <c r="X4" i="1"/>
  <c r="Y4" i="1"/>
  <c r="Z4" i="1"/>
  <c r="X5" i="1"/>
  <c r="Y5" i="1"/>
  <c r="Z5" i="1"/>
  <c r="X6" i="1"/>
  <c r="Y6" i="1"/>
  <c r="Z6" i="1"/>
  <c r="X7" i="1"/>
  <c r="Y7" i="1"/>
  <c r="Z7" i="1"/>
  <c r="X8" i="1"/>
  <c r="Y8" i="1"/>
  <c r="Z8" i="1"/>
  <c r="X9" i="1"/>
  <c r="Y9" i="1"/>
  <c r="Z9" i="1"/>
  <c r="X10" i="1"/>
  <c r="Y10" i="1"/>
  <c r="Z10" i="1"/>
  <c r="X11" i="1"/>
  <c r="Y11" i="1"/>
  <c r="Z11" i="1"/>
  <c r="X12" i="1"/>
  <c r="Y12" i="1"/>
  <c r="Z12" i="1"/>
  <c r="X13" i="1"/>
  <c r="Y13" i="1"/>
  <c r="Z13" i="1"/>
  <c r="X14" i="1"/>
  <c r="Y14" i="1"/>
  <c r="Z14" i="1"/>
  <c r="X15" i="1"/>
  <c r="Y15" i="1"/>
  <c r="Z15" i="1"/>
  <c r="X16" i="1"/>
  <c r="Y16" i="1"/>
  <c r="Z16" i="1"/>
  <c r="X17" i="1"/>
  <c r="Y17" i="1"/>
  <c r="Z17" i="1"/>
  <c r="X18" i="1"/>
  <c r="Y18" i="1"/>
  <c r="Z18" i="1"/>
  <c r="X19" i="1"/>
  <c r="Y19" i="1"/>
  <c r="Z19" i="1"/>
  <c r="X20" i="1"/>
  <c r="Y20" i="1"/>
  <c r="Z20" i="1"/>
  <c r="X21" i="1"/>
  <c r="Y21" i="1"/>
  <c r="Z21" i="1"/>
  <c r="X22" i="1"/>
  <c r="Y22" i="1"/>
  <c r="Z22" i="1"/>
  <c r="X23" i="1"/>
  <c r="Y23" i="1"/>
  <c r="Z23" i="1"/>
  <c r="X24" i="1"/>
  <c r="Y24" i="1"/>
  <c r="Z24" i="1"/>
  <c r="X25" i="1"/>
  <c r="Y25" i="1"/>
  <c r="Z25" i="1"/>
  <c r="X26" i="1"/>
  <c r="Y26" i="1"/>
  <c r="Z26" i="1"/>
  <c r="X27" i="1"/>
  <c r="Y27" i="1"/>
  <c r="Z27" i="1"/>
  <c r="X28" i="1"/>
  <c r="Y28" i="1"/>
  <c r="Z28" i="1"/>
  <c r="X29" i="1"/>
  <c r="Y29" i="1"/>
  <c r="Z29" i="1"/>
  <c r="X30" i="1"/>
  <c r="Y30" i="1"/>
  <c r="Z30" i="1"/>
  <c r="X31" i="1"/>
  <c r="Y31" i="1"/>
  <c r="Z31" i="1"/>
  <c r="X32" i="1"/>
  <c r="Y32" i="1"/>
  <c r="Z32" i="1"/>
  <c r="X33" i="1"/>
  <c r="Y33" i="1"/>
  <c r="Z33" i="1"/>
  <c r="X34" i="1"/>
  <c r="Y34" i="1"/>
  <c r="Z34" i="1"/>
  <c r="X35" i="1"/>
  <c r="Y35" i="1"/>
  <c r="Z35" i="1"/>
  <c r="X36" i="1"/>
  <c r="Y36" i="1"/>
  <c r="Z36" i="1"/>
  <c r="X37" i="1"/>
  <c r="Y37" i="1"/>
  <c r="Z37" i="1"/>
  <c r="X38" i="1"/>
  <c r="Y38" i="1"/>
  <c r="Z38" i="1"/>
  <c r="X39" i="1"/>
  <c r="Y39" i="1"/>
  <c r="Z39" i="1"/>
  <c r="X40" i="1"/>
  <c r="Y40" i="1"/>
  <c r="Z40" i="1"/>
  <c r="X41" i="1"/>
  <c r="Y41" i="1"/>
  <c r="Z41" i="1"/>
  <c r="X42" i="1"/>
  <c r="Y42" i="1"/>
  <c r="Z42" i="1"/>
  <c r="X43" i="1"/>
  <c r="Y43" i="1"/>
  <c r="Z43" i="1"/>
  <c r="X44" i="1"/>
  <c r="Y44" i="1"/>
  <c r="Z44" i="1"/>
  <c r="X45" i="1"/>
  <c r="Y45" i="1"/>
  <c r="Z45" i="1"/>
  <c r="X46" i="1"/>
  <c r="Y46" i="1"/>
  <c r="Z46" i="1"/>
  <c r="X47" i="1"/>
  <c r="Y47" i="1"/>
  <c r="Z47" i="1"/>
  <c r="X48" i="1"/>
  <c r="Y48" i="1"/>
  <c r="Z48" i="1"/>
  <c r="X49" i="1"/>
  <c r="Y49" i="1"/>
  <c r="Z49" i="1"/>
  <c r="X50" i="1"/>
  <c r="Y50" i="1"/>
  <c r="Z50" i="1"/>
  <c r="X51" i="1"/>
  <c r="Y51" i="1"/>
  <c r="Z51" i="1"/>
  <c r="X52" i="1"/>
  <c r="Y52" i="1"/>
  <c r="Z52" i="1"/>
  <c r="X53" i="1"/>
  <c r="Y53" i="1"/>
  <c r="Z53" i="1"/>
  <c r="X54" i="1"/>
  <c r="Y54" i="1"/>
  <c r="Z54" i="1"/>
  <c r="X55" i="1"/>
  <c r="Y55" i="1"/>
  <c r="Z55" i="1"/>
  <c r="X56" i="1"/>
  <c r="Y56" i="1"/>
  <c r="Z56" i="1"/>
  <c r="X57" i="1"/>
  <c r="Y57" i="1"/>
  <c r="Z57" i="1"/>
  <c r="X58" i="1"/>
  <c r="Y58" i="1"/>
  <c r="Z58" i="1"/>
  <c r="X59" i="1"/>
  <c r="Y59" i="1"/>
  <c r="Z59" i="1"/>
  <c r="X60" i="1"/>
  <c r="Y60" i="1"/>
  <c r="Z60" i="1"/>
  <c r="X61" i="1"/>
  <c r="Y61" i="1"/>
  <c r="Z61" i="1"/>
  <c r="X62" i="1"/>
  <c r="Y62" i="1"/>
  <c r="Z62" i="1"/>
  <c r="X63" i="1"/>
  <c r="Y63" i="1"/>
  <c r="Z63" i="1"/>
  <c r="X64" i="1"/>
  <c r="Y64" i="1"/>
  <c r="Z64" i="1"/>
  <c r="X65" i="1"/>
  <c r="Y65" i="1"/>
  <c r="Z65" i="1"/>
  <c r="X66" i="1"/>
  <c r="Y66" i="1"/>
  <c r="Z66" i="1"/>
  <c r="X67" i="1"/>
  <c r="Y67" i="1"/>
  <c r="Z67" i="1"/>
  <c r="X68" i="1"/>
  <c r="Y68" i="1"/>
  <c r="Z68" i="1"/>
  <c r="X69" i="1"/>
  <c r="Y69" i="1"/>
  <c r="Z69" i="1"/>
  <c r="X70" i="1"/>
  <c r="Y70" i="1"/>
  <c r="Z70" i="1"/>
  <c r="X71" i="1"/>
  <c r="Y71" i="1"/>
  <c r="Z71" i="1"/>
  <c r="X72" i="1"/>
  <c r="Y72" i="1"/>
  <c r="Z72" i="1"/>
  <c r="X73" i="1"/>
  <c r="Y73" i="1"/>
  <c r="Z73" i="1"/>
  <c r="X74" i="1"/>
  <c r="Y74" i="1"/>
  <c r="Z74" i="1"/>
  <c r="X75" i="1"/>
  <c r="Y75" i="1"/>
  <c r="Z75" i="1"/>
  <c r="X76" i="1"/>
  <c r="Y76" i="1"/>
  <c r="Z76" i="1"/>
  <c r="X77" i="1"/>
  <c r="Y77" i="1"/>
  <c r="Z77" i="1"/>
  <c r="X78" i="1"/>
  <c r="Y78" i="1"/>
  <c r="Z78" i="1"/>
  <c r="X79" i="1"/>
  <c r="Y79" i="1"/>
  <c r="Z79" i="1"/>
  <c r="X80" i="1"/>
  <c r="Y80" i="1"/>
  <c r="Z80" i="1"/>
  <c r="X81" i="1"/>
  <c r="Y81" i="1"/>
  <c r="Z81" i="1"/>
  <c r="X82" i="1"/>
  <c r="Y82" i="1"/>
  <c r="Z82" i="1"/>
  <c r="X83" i="1"/>
  <c r="Y83" i="1"/>
  <c r="Z83" i="1"/>
  <c r="X84" i="1"/>
  <c r="Y84" i="1"/>
  <c r="Z84" i="1"/>
  <c r="X85" i="1"/>
  <c r="Y85" i="1"/>
  <c r="Z85" i="1"/>
  <c r="X86" i="1"/>
  <c r="Y86" i="1"/>
  <c r="Z86" i="1"/>
  <c r="X87" i="1"/>
  <c r="Y87" i="1"/>
  <c r="Z87" i="1"/>
  <c r="X88" i="1"/>
  <c r="Y88" i="1"/>
  <c r="Z88" i="1"/>
  <c r="X89" i="1"/>
  <c r="Y89" i="1"/>
  <c r="Z89" i="1"/>
  <c r="X90" i="1"/>
  <c r="Y90" i="1"/>
  <c r="Z90" i="1"/>
  <c r="X91" i="1"/>
  <c r="Y91" i="1"/>
  <c r="Z91" i="1"/>
  <c r="X92" i="1"/>
  <c r="Y92" i="1"/>
  <c r="Z92" i="1"/>
  <c r="X93" i="1"/>
  <c r="Y93" i="1"/>
  <c r="Z93" i="1"/>
  <c r="X94" i="1"/>
  <c r="Y94" i="1"/>
  <c r="Z94" i="1"/>
  <c r="X95" i="1"/>
  <c r="Y95" i="1"/>
  <c r="Z95" i="1"/>
  <c r="X96" i="1"/>
  <c r="Y96" i="1"/>
  <c r="Z96" i="1"/>
  <c r="X97" i="1"/>
  <c r="Y97" i="1"/>
  <c r="Z97" i="1"/>
  <c r="X98" i="1"/>
  <c r="Y98" i="1"/>
  <c r="Z98" i="1"/>
  <c r="X99" i="1"/>
  <c r="Y99" i="1"/>
  <c r="Z99" i="1"/>
  <c r="X100" i="1"/>
  <c r="Y100" i="1"/>
  <c r="Z100" i="1"/>
  <c r="X101" i="1"/>
  <c r="Y101" i="1"/>
  <c r="Z101" i="1"/>
  <c r="X102" i="1"/>
  <c r="Y102" i="1"/>
  <c r="Z102" i="1"/>
  <c r="X103" i="1"/>
  <c r="Y103" i="1"/>
  <c r="Z103" i="1"/>
  <c r="X104" i="1"/>
  <c r="Y104" i="1"/>
  <c r="Z104" i="1"/>
  <c r="X105" i="1"/>
  <c r="Y105" i="1"/>
  <c r="Z105" i="1"/>
  <c r="X106" i="1"/>
  <c r="Y106" i="1"/>
  <c r="Z106" i="1"/>
  <c r="X107" i="1"/>
  <c r="Y107" i="1"/>
  <c r="Z107" i="1"/>
  <c r="X108" i="1"/>
  <c r="Y108" i="1"/>
  <c r="Z108" i="1"/>
  <c r="X109" i="1"/>
  <c r="Y109" i="1"/>
  <c r="Z109" i="1"/>
  <c r="X110" i="1"/>
  <c r="Y110" i="1"/>
  <c r="Z110" i="1"/>
  <c r="X111" i="1"/>
  <c r="Y111" i="1"/>
  <c r="Z111" i="1"/>
  <c r="X112" i="1"/>
  <c r="Y112" i="1"/>
  <c r="Z112" i="1"/>
  <c r="X113" i="1"/>
  <c r="Y113" i="1"/>
  <c r="Z113" i="1"/>
  <c r="X114" i="1"/>
  <c r="Y114" i="1"/>
  <c r="Z114" i="1"/>
  <c r="X115" i="1"/>
  <c r="Y115" i="1"/>
  <c r="Z115" i="1"/>
  <c r="X116" i="1"/>
  <c r="Y116" i="1"/>
  <c r="Z116" i="1"/>
  <c r="X117" i="1"/>
  <c r="Y117" i="1"/>
  <c r="Z117" i="1"/>
  <c r="X118" i="1"/>
  <c r="Y118" i="1"/>
  <c r="Z118" i="1"/>
  <c r="X119" i="1"/>
  <c r="Y119" i="1"/>
  <c r="Z119" i="1"/>
  <c r="X120" i="1"/>
  <c r="Y120" i="1"/>
  <c r="Z120" i="1"/>
  <c r="X121" i="1"/>
  <c r="Y121" i="1"/>
  <c r="Z121" i="1"/>
  <c r="X122" i="1"/>
  <c r="Y122" i="1"/>
  <c r="Z122" i="1"/>
  <c r="X123" i="1"/>
  <c r="Y123" i="1"/>
  <c r="Z123" i="1"/>
  <c r="X124" i="1"/>
  <c r="Y124" i="1"/>
  <c r="Z124" i="1"/>
  <c r="X125" i="1"/>
  <c r="Y125" i="1"/>
  <c r="Z125" i="1"/>
  <c r="X126" i="1"/>
  <c r="Y126" i="1"/>
  <c r="Z126" i="1"/>
  <c r="X127" i="1"/>
  <c r="Y127" i="1"/>
  <c r="Z127" i="1"/>
  <c r="X128" i="1"/>
  <c r="Y128" i="1"/>
  <c r="Z128" i="1"/>
  <c r="X129" i="1"/>
  <c r="Y129" i="1"/>
  <c r="Z129" i="1"/>
  <c r="X130" i="1"/>
  <c r="Y130" i="1"/>
  <c r="Z130" i="1"/>
  <c r="X131" i="1"/>
  <c r="Y131" i="1"/>
  <c r="Z131" i="1"/>
  <c r="X132" i="1"/>
  <c r="Y132" i="1"/>
  <c r="Z132" i="1"/>
  <c r="X133" i="1"/>
  <c r="Y133" i="1"/>
  <c r="Z133" i="1"/>
  <c r="X134" i="1"/>
  <c r="Y134" i="1"/>
  <c r="Z134" i="1"/>
  <c r="X135" i="1"/>
  <c r="Y135" i="1"/>
  <c r="Z135" i="1"/>
  <c r="X136" i="1"/>
  <c r="Y136" i="1"/>
  <c r="Z136" i="1"/>
  <c r="X137" i="1"/>
  <c r="Y137" i="1"/>
  <c r="Z137" i="1"/>
  <c r="X138" i="1"/>
  <c r="Y138" i="1"/>
  <c r="Z138" i="1"/>
  <c r="X139" i="1"/>
  <c r="Y139" i="1"/>
  <c r="Z139" i="1"/>
  <c r="X140" i="1"/>
  <c r="Y140" i="1"/>
  <c r="Z140" i="1"/>
  <c r="X141" i="1"/>
  <c r="Y141" i="1"/>
  <c r="Z141" i="1"/>
  <c r="X142" i="1"/>
  <c r="Y142" i="1"/>
  <c r="Z142" i="1"/>
  <c r="X143" i="1"/>
  <c r="Y143" i="1"/>
  <c r="Z143" i="1"/>
  <c r="X144" i="1"/>
  <c r="Y144" i="1"/>
  <c r="Z144" i="1"/>
  <c r="X145" i="1"/>
  <c r="Y145" i="1"/>
  <c r="Z145" i="1"/>
  <c r="X146" i="1"/>
  <c r="Y146" i="1"/>
  <c r="Z146" i="1"/>
  <c r="X147" i="1"/>
  <c r="Y147" i="1"/>
  <c r="Z147" i="1"/>
  <c r="X148" i="1"/>
  <c r="Y148" i="1"/>
  <c r="Z148" i="1"/>
  <c r="X149" i="1"/>
  <c r="Y149" i="1"/>
  <c r="Z149" i="1"/>
  <c r="X150" i="1"/>
  <c r="Y150" i="1"/>
  <c r="Z150" i="1"/>
  <c r="X151" i="1"/>
  <c r="Y151" i="1"/>
  <c r="Z151" i="1"/>
  <c r="X152" i="1"/>
  <c r="Y152" i="1"/>
  <c r="Z152" i="1"/>
  <c r="X153" i="1"/>
  <c r="Y153" i="1"/>
  <c r="Z153" i="1"/>
  <c r="X154" i="1"/>
  <c r="Y154" i="1"/>
  <c r="Z154" i="1"/>
  <c r="X155" i="1"/>
  <c r="Y155" i="1"/>
  <c r="Z155" i="1"/>
  <c r="X156" i="1"/>
  <c r="Y156" i="1"/>
  <c r="Z156" i="1"/>
  <c r="X157" i="1"/>
  <c r="Y157" i="1"/>
  <c r="Z157" i="1"/>
  <c r="X158" i="1"/>
  <c r="Y158" i="1"/>
  <c r="Z158" i="1"/>
  <c r="X159" i="1"/>
  <c r="Y159" i="1"/>
  <c r="Z159" i="1"/>
  <c r="X160" i="1"/>
  <c r="Y160" i="1"/>
  <c r="Z160" i="1"/>
  <c r="X161" i="1"/>
  <c r="Y161" i="1"/>
  <c r="Z161" i="1"/>
  <c r="X162" i="1"/>
  <c r="Y162" i="1"/>
  <c r="Z162" i="1"/>
  <c r="X163" i="1"/>
  <c r="Y163" i="1"/>
  <c r="Z163" i="1"/>
  <c r="X164" i="1"/>
  <c r="Y164" i="1"/>
  <c r="Z164" i="1"/>
  <c r="X165" i="1"/>
  <c r="Y165" i="1"/>
  <c r="Z165" i="1"/>
  <c r="X166" i="1"/>
  <c r="Y166" i="1"/>
  <c r="Z166" i="1"/>
  <c r="X167" i="1"/>
  <c r="Y167" i="1"/>
  <c r="Z167" i="1"/>
  <c r="X168" i="1"/>
  <c r="Y168" i="1"/>
  <c r="Z168" i="1"/>
  <c r="X169" i="1"/>
  <c r="Y169" i="1"/>
  <c r="Z169" i="1"/>
  <c r="X170" i="1"/>
  <c r="Y170" i="1"/>
  <c r="Z170" i="1"/>
  <c r="X171" i="1"/>
  <c r="Y171" i="1"/>
  <c r="Z171" i="1"/>
  <c r="X172" i="1"/>
  <c r="Y172" i="1"/>
  <c r="Z172" i="1"/>
  <c r="X173" i="1"/>
  <c r="Y173" i="1"/>
  <c r="Z173" i="1"/>
  <c r="X174" i="1"/>
  <c r="Y174" i="1"/>
  <c r="Z174" i="1"/>
  <c r="X175" i="1"/>
  <c r="Y175" i="1"/>
  <c r="Z175" i="1"/>
  <c r="X176" i="1"/>
  <c r="Y176" i="1"/>
  <c r="Z176" i="1"/>
  <c r="X177" i="1"/>
  <c r="Y177" i="1"/>
  <c r="Z177" i="1"/>
  <c r="X178" i="1"/>
  <c r="Y178" i="1"/>
  <c r="Z178" i="1"/>
  <c r="X179" i="1"/>
  <c r="Y179" i="1"/>
  <c r="Z179" i="1"/>
  <c r="X180" i="1"/>
  <c r="Y180" i="1"/>
  <c r="Z180" i="1"/>
  <c r="X181" i="1"/>
  <c r="Y181" i="1"/>
  <c r="Z181" i="1"/>
  <c r="X182" i="1"/>
  <c r="Y182" i="1"/>
  <c r="Z182" i="1"/>
  <c r="X183" i="1"/>
  <c r="Y183" i="1"/>
  <c r="Z183" i="1"/>
  <c r="X184" i="1"/>
  <c r="Y184" i="1"/>
  <c r="Z184" i="1"/>
  <c r="X185" i="1"/>
  <c r="Y185" i="1"/>
  <c r="Z185" i="1"/>
  <c r="X186" i="1"/>
  <c r="Y186" i="1"/>
  <c r="Z186" i="1"/>
  <c r="X187" i="1"/>
  <c r="Y187" i="1"/>
  <c r="Z187" i="1"/>
  <c r="X188" i="1"/>
  <c r="Y188" i="1"/>
  <c r="Z188" i="1"/>
  <c r="X189" i="1"/>
  <c r="Y189" i="1"/>
  <c r="Z189" i="1"/>
  <c r="X190" i="1"/>
  <c r="Y190" i="1"/>
  <c r="Z190" i="1"/>
  <c r="X191" i="1"/>
  <c r="Y191" i="1"/>
  <c r="Z191" i="1"/>
  <c r="X192" i="1"/>
  <c r="Y192" i="1"/>
  <c r="Z192" i="1"/>
  <c r="X193" i="1"/>
  <c r="Y193" i="1"/>
  <c r="Z193" i="1"/>
  <c r="X194" i="1"/>
  <c r="Y194" i="1"/>
  <c r="Z194" i="1"/>
  <c r="X195" i="1"/>
  <c r="Y195" i="1"/>
  <c r="Z195" i="1"/>
  <c r="X196" i="1"/>
  <c r="Y196" i="1"/>
  <c r="Z196" i="1"/>
  <c r="X197" i="1"/>
  <c r="Y197" i="1"/>
  <c r="Z197" i="1"/>
  <c r="X198" i="1"/>
  <c r="Y198" i="1"/>
  <c r="Z198" i="1"/>
  <c r="X199" i="1"/>
  <c r="Y199" i="1"/>
  <c r="Z199" i="1"/>
  <c r="X200" i="1"/>
  <c r="Y200" i="1"/>
  <c r="Z200" i="1"/>
  <c r="X201" i="1"/>
  <c r="Y201" i="1"/>
  <c r="Z201" i="1"/>
  <c r="X202" i="1"/>
  <c r="Y202" i="1"/>
  <c r="Z202" i="1"/>
  <c r="X203" i="1"/>
  <c r="Y203" i="1"/>
  <c r="Z203" i="1"/>
  <c r="X204" i="1"/>
  <c r="Y204" i="1"/>
  <c r="Z204" i="1"/>
  <c r="X205" i="1"/>
  <c r="Y205" i="1"/>
  <c r="Z205" i="1"/>
  <c r="X206" i="1"/>
  <c r="Y206" i="1"/>
  <c r="Z206" i="1"/>
  <c r="X207" i="1"/>
  <c r="Y207" i="1"/>
  <c r="Z207" i="1"/>
  <c r="X208" i="1"/>
  <c r="Y208" i="1"/>
  <c r="Z208" i="1"/>
  <c r="X209" i="1"/>
  <c r="Y209" i="1"/>
  <c r="Z209" i="1"/>
  <c r="X210" i="1"/>
  <c r="Y210" i="1"/>
  <c r="Z210" i="1"/>
  <c r="X211" i="1"/>
  <c r="Y211" i="1"/>
  <c r="Z211" i="1"/>
  <c r="X212" i="1"/>
  <c r="Y212" i="1"/>
  <c r="Z212" i="1"/>
  <c r="X213" i="1"/>
  <c r="Y213" i="1"/>
  <c r="Z213" i="1"/>
  <c r="X214" i="1"/>
  <c r="Y214" i="1"/>
  <c r="Z214" i="1"/>
  <c r="X215" i="1"/>
  <c r="Y215" i="1"/>
  <c r="Z215" i="1"/>
  <c r="X216" i="1"/>
  <c r="Y216" i="1"/>
  <c r="Z216" i="1"/>
  <c r="X217" i="1"/>
  <c r="Y217" i="1"/>
  <c r="Z217" i="1"/>
  <c r="X218" i="1"/>
  <c r="Y218" i="1"/>
  <c r="Z218" i="1"/>
  <c r="X219" i="1"/>
  <c r="Y219" i="1"/>
  <c r="Z219" i="1"/>
  <c r="X220" i="1"/>
  <c r="Y220" i="1"/>
  <c r="Z220" i="1"/>
  <c r="X221" i="1"/>
  <c r="Y221" i="1"/>
  <c r="Z221" i="1"/>
  <c r="X222" i="1"/>
  <c r="Y222" i="1"/>
  <c r="Z222" i="1"/>
  <c r="X223" i="1"/>
  <c r="Y223" i="1"/>
  <c r="Z223" i="1"/>
  <c r="X224" i="1"/>
  <c r="Y224" i="1"/>
  <c r="Z224" i="1"/>
  <c r="X225" i="1"/>
  <c r="Y225" i="1"/>
  <c r="Z225" i="1"/>
  <c r="X226" i="1"/>
  <c r="Y226" i="1"/>
  <c r="Z226" i="1"/>
  <c r="X227" i="1"/>
  <c r="Y227" i="1"/>
  <c r="Z227" i="1"/>
  <c r="X228" i="1"/>
  <c r="Y228" i="1"/>
  <c r="Z228" i="1"/>
  <c r="X229" i="1"/>
  <c r="Y229" i="1"/>
  <c r="Z229" i="1"/>
  <c r="X230" i="1"/>
  <c r="Y230" i="1"/>
  <c r="Z230" i="1"/>
  <c r="X231" i="1"/>
  <c r="Y231" i="1"/>
  <c r="Z231" i="1"/>
  <c r="X232" i="1"/>
  <c r="Y232" i="1"/>
  <c r="Z232" i="1"/>
  <c r="X233" i="1"/>
  <c r="Y233" i="1"/>
  <c r="Z233" i="1"/>
  <c r="X234" i="1"/>
  <c r="Y234" i="1"/>
  <c r="Z234" i="1"/>
  <c r="X235" i="1"/>
  <c r="Y235" i="1"/>
  <c r="Z235" i="1"/>
  <c r="X236" i="1"/>
  <c r="Y236" i="1"/>
  <c r="Z236" i="1"/>
  <c r="X237" i="1"/>
  <c r="Y237" i="1"/>
  <c r="Z237" i="1"/>
  <c r="X238" i="1"/>
  <c r="Y238" i="1"/>
  <c r="Z238" i="1"/>
  <c r="X239" i="1"/>
  <c r="Y239" i="1"/>
  <c r="Z239" i="1"/>
  <c r="X240" i="1"/>
  <c r="Y240" i="1"/>
  <c r="Z240" i="1"/>
  <c r="X241" i="1"/>
  <c r="Y241" i="1"/>
  <c r="Z241" i="1"/>
  <c r="X242" i="1"/>
  <c r="Y242" i="1"/>
  <c r="Z242" i="1"/>
  <c r="X243" i="1"/>
  <c r="Y243" i="1"/>
  <c r="Z243" i="1"/>
  <c r="X244" i="1"/>
  <c r="Y244" i="1"/>
  <c r="Z244" i="1"/>
  <c r="X245" i="1"/>
  <c r="Y245" i="1"/>
  <c r="Z245" i="1"/>
  <c r="X246" i="1"/>
  <c r="Y246" i="1"/>
  <c r="Z246" i="1"/>
  <c r="X247" i="1"/>
  <c r="Y247" i="1"/>
  <c r="Z247" i="1"/>
  <c r="X248" i="1"/>
  <c r="Y248" i="1"/>
  <c r="Z248" i="1"/>
  <c r="X249" i="1"/>
  <c r="Y249" i="1"/>
  <c r="Z249" i="1"/>
  <c r="X250" i="1"/>
  <c r="Y250" i="1"/>
  <c r="Z250" i="1"/>
  <c r="X251" i="1"/>
  <c r="Y251" i="1"/>
  <c r="Z251" i="1"/>
  <c r="X252" i="1"/>
  <c r="Y252" i="1"/>
  <c r="Z252" i="1"/>
  <c r="X253" i="1"/>
  <c r="Y253" i="1"/>
  <c r="Z253" i="1"/>
  <c r="X254" i="1"/>
  <c r="Y254" i="1"/>
  <c r="Z254" i="1"/>
  <c r="X255" i="1"/>
  <c r="Y255" i="1"/>
  <c r="Z255" i="1"/>
  <c r="X256" i="1"/>
  <c r="Y256" i="1"/>
  <c r="Z256" i="1"/>
  <c r="X257" i="1"/>
  <c r="Y257" i="1"/>
  <c r="Z257" i="1"/>
  <c r="X258" i="1"/>
  <c r="Y258" i="1"/>
  <c r="Z258" i="1"/>
  <c r="X259" i="1"/>
  <c r="Y259" i="1"/>
  <c r="Z259" i="1"/>
  <c r="X260" i="1"/>
  <c r="Y260" i="1"/>
  <c r="Z260" i="1"/>
  <c r="X261" i="1"/>
  <c r="Y261" i="1"/>
  <c r="Z261" i="1"/>
  <c r="X262" i="1"/>
  <c r="Y262" i="1"/>
  <c r="Z262" i="1"/>
  <c r="X263" i="1"/>
  <c r="Y263" i="1"/>
  <c r="Z263" i="1"/>
  <c r="X264" i="1"/>
  <c r="Y264" i="1"/>
  <c r="Z264" i="1"/>
  <c r="X265" i="1"/>
  <c r="Y265" i="1"/>
  <c r="Z265" i="1"/>
  <c r="X266" i="1"/>
  <c r="Y266" i="1"/>
  <c r="Z266" i="1"/>
  <c r="X267" i="1"/>
  <c r="Y267" i="1"/>
  <c r="Z267" i="1"/>
  <c r="X268" i="1"/>
  <c r="Y268" i="1"/>
  <c r="Z268" i="1"/>
  <c r="X269" i="1"/>
  <c r="Y269" i="1"/>
  <c r="Z269" i="1"/>
  <c r="X270" i="1"/>
  <c r="Y270" i="1"/>
  <c r="Z270" i="1"/>
  <c r="X271" i="1"/>
  <c r="Y271" i="1"/>
  <c r="Z271" i="1"/>
  <c r="X272" i="1"/>
  <c r="Y272" i="1"/>
  <c r="Z272" i="1"/>
  <c r="X273" i="1"/>
  <c r="Y273" i="1"/>
  <c r="Z273" i="1"/>
  <c r="X274" i="1"/>
  <c r="Y274" i="1"/>
  <c r="Z274" i="1"/>
  <c r="X275" i="1"/>
  <c r="Y275" i="1"/>
  <c r="Z275" i="1"/>
  <c r="X276" i="1"/>
  <c r="Y276" i="1"/>
  <c r="Z276" i="1"/>
  <c r="X277" i="1"/>
  <c r="Y277" i="1"/>
  <c r="Z277" i="1"/>
  <c r="X278" i="1"/>
  <c r="Y278" i="1"/>
  <c r="Z278" i="1"/>
  <c r="X279" i="1"/>
  <c r="Y279" i="1"/>
  <c r="Z279" i="1"/>
  <c r="X280" i="1"/>
  <c r="Y280" i="1"/>
  <c r="Z280" i="1"/>
  <c r="X281" i="1"/>
  <c r="Y281" i="1"/>
  <c r="Z281" i="1"/>
  <c r="X282" i="1"/>
  <c r="Y282" i="1"/>
  <c r="Z282" i="1"/>
  <c r="X283" i="1"/>
  <c r="Y283" i="1"/>
  <c r="Z283" i="1"/>
  <c r="X284" i="1"/>
  <c r="Y284" i="1"/>
  <c r="Z284" i="1"/>
  <c r="X285" i="1"/>
  <c r="Y285" i="1"/>
  <c r="Z285" i="1"/>
  <c r="X286" i="1"/>
  <c r="Y286" i="1"/>
  <c r="Z286" i="1"/>
  <c r="X287" i="1"/>
  <c r="Y287" i="1"/>
  <c r="Z287" i="1"/>
  <c r="X288" i="1"/>
  <c r="Y288" i="1"/>
  <c r="Z288" i="1"/>
  <c r="X289" i="1"/>
  <c r="Y289" i="1"/>
  <c r="Z289" i="1"/>
  <c r="X290" i="1"/>
  <c r="Y290" i="1"/>
  <c r="Z290" i="1"/>
  <c r="X291" i="1"/>
  <c r="Y291" i="1"/>
  <c r="Z291" i="1"/>
  <c r="X292" i="1"/>
  <c r="Y292" i="1"/>
  <c r="Z292" i="1"/>
  <c r="X293" i="1"/>
  <c r="Y293" i="1"/>
  <c r="Z293" i="1"/>
  <c r="X294" i="1"/>
  <c r="Y294" i="1"/>
  <c r="Z294" i="1"/>
  <c r="X295" i="1"/>
  <c r="Y295" i="1"/>
  <c r="Z295" i="1"/>
  <c r="X296" i="1"/>
  <c r="Y296" i="1"/>
  <c r="Z296" i="1"/>
  <c r="X297" i="1"/>
  <c r="Y297" i="1"/>
  <c r="Z297" i="1"/>
  <c r="X298" i="1"/>
  <c r="Y298" i="1"/>
  <c r="Z298" i="1"/>
  <c r="X299" i="1"/>
  <c r="Y299" i="1"/>
  <c r="Z299" i="1"/>
  <c r="X300" i="1"/>
  <c r="Y300" i="1"/>
  <c r="Z300" i="1"/>
  <c r="X301" i="1"/>
  <c r="Y301" i="1"/>
  <c r="Z301" i="1"/>
  <c r="X302" i="1"/>
  <c r="Y302" i="1"/>
  <c r="Z302" i="1"/>
  <c r="X303" i="1"/>
  <c r="Y303" i="1"/>
  <c r="Z303" i="1"/>
  <c r="X304" i="1"/>
  <c r="Y304" i="1"/>
  <c r="Z304" i="1"/>
  <c r="X305" i="1"/>
  <c r="Y305" i="1"/>
  <c r="Z305" i="1"/>
  <c r="X306" i="1"/>
  <c r="Y306" i="1"/>
  <c r="Z306" i="1"/>
  <c r="X307" i="1"/>
  <c r="Y307" i="1"/>
  <c r="Z307" i="1"/>
  <c r="X308" i="1"/>
  <c r="Y308" i="1"/>
  <c r="Z308" i="1"/>
  <c r="X309" i="1"/>
  <c r="Y309" i="1"/>
  <c r="Z309" i="1"/>
  <c r="X310" i="1"/>
  <c r="Y310" i="1"/>
  <c r="Z310" i="1"/>
  <c r="X311" i="1"/>
  <c r="Y311" i="1"/>
  <c r="Z311" i="1"/>
  <c r="X312" i="1"/>
  <c r="Y312" i="1"/>
  <c r="Z312" i="1"/>
  <c r="X313" i="1"/>
  <c r="Y313" i="1"/>
  <c r="Z313" i="1"/>
  <c r="X314" i="1"/>
  <c r="Y314" i="1"/>
  <c r="Z314" i="1"/>
  <c r="X315" i="1"/>
  <c r="Y315" i="1"/>
  <c r="Z315" i="1"/>
  <c r="X316" i="1"/>
  <c r="Y316" i="1"/>
  <c r="Z316" i="1"/>
  <c r="X317" i="1"/>
  <c r="Y317" i="1"/>
  <c r="Z317" i="1"/>
  <c r="X318" i="1"/>
  <c r="Y318" i="1"/>
  <c r="Z318" i="1"/>
  <c r="X319" i="1"/>
  <c r="Y319" i="1"/>
  <c r="Z319" i="1"/>
  <c r="X320" i="1"/>
  <c r="Y320" i="1"/>
  <c r="Z320" i="1"/>
  <c r="X321" i="1"/>
  <c r="Y321" i="1"/>
  <c r="Z321" i="1"/>
  <c r="X322" i="1"/>
  <c r="Y322" i="1"/>
  <c r="Z322" i="1"/>
  <c r="X323" i="1"/>
  <c r="Y323" i="1"/>
  <c r="Z323" i="1"/>
  <c r="X324" i="1"/>
  <c r="Y324" i="1"/>
  <c r="Z324" i="1"/>
  <c r="X325" i="1"/>
  <c r="Y325" i="1"/>
  <c r="Z325" i="1"/>
  <c r="X326" i="1"/>
  <c r="Y326" i="1"/>
  <c r="Z326" i="1"/>
  <c r="X327" i="1"/>
  <c r="Y327" i="1"/>
  <c r="Z327" i="1"/>
  <c r="X328" i="1"/>
  <c r="Y328" i="1"/>
  <c r="Z328" i="1"/>
  <c r="X329" i="1"/>
  <c r="Y329" i="1"/>
  <c r="Z329" i="1"/>
  <c r="X330" i="1"/>
  <c r="Y330" i="1"/>
  <c r="Z330" i="1"/>
  <c r="X331" i="1"/>
  <c r="Y331" i="1"/>
  <c r="Z331" i="1"/>
  <c r="X332" i="1"/>
  <c r="Y332" i="1"/>
  <c r="Z332" i="1"/>
  <c r="X333" i="1"/>
  <c r="Y333" i="1"/>
  <c r="Z333" i="1"/>
  <c r="X334" i="1"/>
  <c r="Y334" i="1"/>
  <c r="Z334" i="1"/>
  <c r="X335" i="1"/>
  <c r="Y335" i="1"/>
  <c r="Z335" i="1"/>
  <c r="X336" i="1"/>
  <c r="Y336" i="1"/>
  <c r="Z336" i="1"/>
  <c r="X337" i="1"/>
  <c r="Y337" i="1"/>
  <c r="Z337" i="1"/>
  <c r="X338" i="1"/>
  <c r="Y338" i="1"/>
  <c r="Z338" i="1"/>
  <c r="X339" i="1"/>
  <c r="Y339" i="1"/>
  <c r="Z339" i="1"/>
  <c r="X340" i="1"/>
  <c r="Y340" i="1"/>
  <c r="Z340" i="1"/>
  <c r="X341" i="1"/>
  <c r="Y341" i="1"/>
  <c r="Z341" i="1"/>
  <c r="X342" i="1"/>
  <c r="Y342" i="1"/>
  <c r="Z342" i="1"/>
  <c r="X343" i="1"/>
  <c r="Y343" i="1"/>
  <c r="Z343" i="1"/>
  <c r="X344" i="1"/>
  <c r="Y344" i="1"/>
  <c r="Z344" i="1"/>
  <c r="X345" i="1"/>
  <c r="Y345" i="1"/>
  <c r="Z345" i="1"/>
  <c r="X346" i="1"/>
  <c r="Y346" i="1"/>
  <c r="Z346" i="1"/>
  <c r="X347" i="1"/>
  <c r="Y347" i="1"/>
  <c r="Z347" i="1"/>
  <c r="X348" i="1"/>
  <c r="Y348" i="1"/>
  <c r="Z348" i="1"/>
  <c r="X349" i="1"/>
  <c r="Y349" i="1"/>
  <c r="Z349" i="1"/>
  <c r="X350" i="1"/>
  <c r="Y350" i="1"/>
  <c r="Z350" i="1"/>
  <c r="X351" i="1"/>
  <c r="Y351" i="1"/>
  <c r="Z351" i="1"/>
  <c r="X352" i="1"/>
  <c r="Y352" i="1"/>
  <c r="Z352" i="1"/>
  <c r="X353" i="1"/>
  <c r="Y353" i="1"/>
  <c r="Z353" i="1"/>
  <c r="X354" i="1"/>
  <c r="Y354" i="1"/>
  <c r="Z354" i="1"/>
  <c r="X355" i="1"/>
  <c r="Y355" i="1"/>
  <c r="Z355" i="1"/>
  <c r="X356" i="1"/>
  <c r="Y356" i="1"/>
  <c r="Z356" i="1"/>
  <c r="X357" i="1"/>
  <c r="Y357" i="1"/>
  <c r="Z357" i="1"/>
  <c r="X358" i="1"/>
  <c r="Y358" i="1"/>
  <c r="Z358" i="1"/>
  <c r="X359" i="1"/>
  <c r="Y359" i="1"/>
  <c r="Z359" i="1"/>
  <c r="X360" i="1"/>
  <c r="Y360" i="1"/>
  <c r="Z360" i="1"/>
  <c r="X361" i="1"/>
  <c r="Y361" i="1"/>
  <c r="Z361" i="1"/>
  <c r="X362" i="1"/>
  <c r="Y362" i="1"/>
  <c r="Z362" i="1"/>
  <c r="X363" i="1"/>
  <c r="Y363" i="1"/>
  <c r="Z363" i="1"/>
  <c r="X364" i="1"/>
  <c r="Y364" i="1"/>
  <c r="Z364" i="1"/>
  <c r="X365" i="1"/>
  <c r="Y365" i="1"/>
  <c r="Z365" i="1"/>
  <c r="X366" i="1"/>
  <c r="Y366" i="1"/>
  <c r="Z366" i="1"/>
  <c r="X367" i="1"/>
  <c r="Y367" i="1"/>
  <c r="Z367" i="1"/>
  <c r="X368" i="1"/>
  <c r="Y368" i="1"/>
  <c r="Z368" i="1"/>
  <c r="X369" i="1"/>
  <c r="Y369" i="1"/>
  <c r="Z369" i="1"/>
  <c r="X370" i="1"/>
  <c r="Y370" i="1"/>
  <c r="Z370" i="1"/>
  <c r="X371" i="1"/>
  <c r="Y371" i="1"/>
  <c r="Z371" i="1"/>
  <c r="X372" i="1"/>
  <c r="Y372" i="1"/>
  <c r="Z372" i="1"/>
  <c r="X373" i="1"/>
  <c r="Y373" i="1"/>
  <c r="Z373" i="1"/>
  <c r="X374" i="1"/>
  <c r="Y374" i="1"/>
  <c r="Z374" i="1"/>
  <c r="X375" i="1"/>
  <c r="Y375" i="1"/>
  <c r="Z375" i="1"/>
  <c r="X376" i="1"/>
  <c r="Y376" i="1"/>
  <c r="Z376" i="1"/>
  <c r="X377" i="1"/>
  <c r="Y377" i="1"/>
  <c r="Z377" i="1"/>
  <c r="X378" i="1"/>
  <c r="Y378" i="1"/>
  <c r="Z378" i="1"/>
  <c r="X379" i="1"/>
  <c r="Y379" i="1"/>
  <c r="Z379" i="1"/>
  <c r="X380" i="1"/>
  <c r="Y380" i="1"/>
  <c r="Z380" i="1"/>
  <c r="X381" i="1"/>
  <c r="Y381" i="1"/>
  <c r="Z381" i="1"/>
  <c r="X382" i="1"/>
  <c r="Y382" i="1"/>
  <c r="Z382" i="1"/>
  <c r="X383" i="1"/>
  <c r="Y383" i="1"/>
  <c r="Z383" i="1"/>
  <c r="X384" i="1"/>
  <c r="Y384" i="1"/>
  <c r="Z384" i="1"/>
  <c r="X385" i="1"/>
  <c r="Y385" i="1"/>
  <c r="Z385" i="1"/>
  <c r="X386" i="1"/>
  <c r="Y386" i="1"/>
  <c r="Z386" i="1"/>
  <c r="X387" i="1"/>
  <c r="Y387" i="1"/>
  <c r="Z387" i="1"/>
  <c r="X388" i="1"/>
  <c r="Y388" i="1"/>
  <c r="Z388" i="1"/>
  <c r="X389" i="1"/>
  <c r="Y389" i="1"/>
  <c r="Z389" i="1"/>
  <c r="X390" i="1"/>
  <c r="Y390" i="1"/>
  <c r="Z390" i="1"/>
  <c r="X391" i="1"/>
  <c r="Y391" i="1"/>
  <c r="Z391" i="1"/>
  <c r="X392" i="1"/>
  <c r="Y392" i="1"/>
  <c r="Z392" i="1"/>
  <c r="X393" i="1"/>
  <c r="Y393" i="1"/>
  <c r="Z393" i="1"/>
  <c r="X394" i="1"/>
  <c r="Y394" i="1"/>
  <c r="Z394" i="1"/>
  <c r="X395" i="1"/>
  <c r="Y395" i="1"/>
  <c r="Z395" i="1"/>
  <c r="X396" i="1"/>
  <c r="Y396" i="1"/>
  <c r="Z396" i="1"/>
  <c r="X397" i="1"/>
  <c r="Y397" i="1"/>
  <c r="Z397" i="1"/>
  <c r="X398" i="1"/>
  <c r="Y398" i="1"/>
  <c r="Z398" i="1"/>
  <c r="X399" i="1"/>
  <c r="Y399" i="1"/>
  <c r="Z399" i="1"/>
  <c r="X400" i="1"/>
  <c r="Y400" i="1"/>
  <c r="Z400" i="1"/>
  <c r="X401" i="1"/>
  <c r="Y401" i="1"/>
  <c r="Z401" i="1"/>
  <c r="X402" i="1"/>
  <c r="Y402" i="1"/>
  <c r="Z402" i="1"/>
  <c r="X403" i="1"/>
  <c r="Y403" i="1"/>
  <c r="Z403" i="1"/>
  <c r="X404" i="1"/>
  <c r="Y404" i="1"/>
  <c r="Z404" i="1"/>
  <c r="X405" i="1"/>
  <c r="Y405" i="1"/>
  <c r="Z405" i="1"/>
  <c r="X406" i="1"/>
  <c r="Y406" i="1"/>
  <c r="Z406" i="1"/>
  <c r="X407" i="1"/>
  <c r="Y407" i="1"/>
  <c r="Z407" i="1"/>
  <c r="X408" i="1"/>
  <c r="Y408" i="1"/>
  <c r="Z408" i="1"/>
  <c r="X409" i="1"/>
  <c r="Y409" i="1"/>
  <c r="Z409" i="1"/>
  <c r="X410" i="1"/>
  <c r="Y410" i="1"/>
  <c r="Z410" i="1"/>
  <c r="X411" i="1"/>
  <c r="Y411" i="1"/>
  <c r="Z411" i="1"/>
  <c r="X412" i="1"/>
  <c r="Y412" i="1"/>
  <c r="Z412" i="1"/>
  <c r="X413" i="1"/>
  <c r="Y413" i="1"/>
  <c r="Z413" i="1"/>
  <c r="X414" i="1"/>
  <c r="Y414" i="1"/>
  <c r="Z414" i="1"/>
  <c r="X415" i="1"/>
  <c r="Y415" i="1"/>
  <c r="Z415" i="1"/>
  <c r="X416" i="1"/>
  <c r="Y416" i="1"/>
  <c r="Z416" i="1"/>
  <c r="X417" i="1"/>
  <c r="Y417" i="1"/>
  <c r="Z417" i="1"/>
  <c r="X418" i="1"/>
  <c r="Y418" i="1"/>
  <c r="Z418" i="1"/>
  <c r="X419" i="1"/>
  <c r="Y419" i="1"/>
  <c r="Z419" i="1"/>
  <c r="X420" i="1"/>
  <c r="Y420" i="1"/>
  <c r="Z420" i="1"/>
  <c r="X421" i="1"/>
  <c r="Y421" i="1"/>
  <c r="Z421" i="1"/>
  <c r="X422" i="1"/>
  <c r="Y422" i="1"/>
  <c r="Z422" i="1"/>
  <c r="X423" i="1"/>
  <c r="Y423" i="1"/>
  <c r="Z423" i="1"/>
  <c r="X424" i="1"/>
  <c r="Y424" i="1"/>
  <c r="Z424" i="1"/>
  <c r="X425" i="1"/>
  <c r="Y425" i="1"/>
  <c r="Z425" i="1"/>
  <c r="X426" i="1"/>
  <c r="Y426" i="1"/>
  <c r="Z426" i="1"/>
  <c r="X427" i="1"/>
  <c r="Y427" i="1"/>
  <c r="Z427" i="1"/>
  <c r="X428" i="1"/>
  <c r="Y428" i="1"/>
  <c r="Z428" i="1"/>
  <c r="X429" i="1"/>
  <c r="Y429" i="1"/>
  <c r="Z429" i="1"/>
  <c r="X430" i="1"/>
  <c r="Y430" i="1"/>
  <c r="Z430" i="1"/>
  <c r="X431" i="1"/>
  <c r="Y431" i="1"/>
  <c r="Z431" i="1"/>
  <c r="X432" i="1"/>
  <c r="Y432" i="1"/>
  <c r="Z432" i="1"/>
  <c r="X433" i="1"/>
  <c r="Y433" i="1"/>
  <c r="Z433" i="1"/>
  <c r="X434" i="1"/>
  <c r="Y434" i="1"/>
  <c r="Z434" i="1"/>
  <c r="X435" i="1"/>
  <c r="Y435" i="1"/>
  <c r="Z435" i="1"/>
  <c r="X436" i="1"/>
  <c r="Y436" i="1"/>
  <c r="Z436" i="1"/>
  <c r="X437" i="1"/>
  <c r="Y437" i="1"/>
  <c r="Z437" i="1"/>
  <c r="X438" i="1"/>
  <c r="Y438" i="1"/>
  <c r="Z438" i="1"/>
  <c r="X439" i="1"/>
  <c r="Y439" i="1"/>
  <c r="Z439" i="1"/>
  <c r="X440" i="1"/>
  <c r="Y440" i="1"/>
  <c r="Z440" i="1"/>
  <c r="X441" i="1"/>
  <c r="Y441" i="1"/>
  <c r="Z441" i="1"/>
  <c r="X442" i="1"/>
  <c r="Y442" i="1"/>
  <c r="Z442" i="1"/>
  <c r="X443" i="1"/>
  <c r="Y443" i="1"/>
  <c r="Z443" i="1"/>
  <c r="X444" i="1"/>
  <c r="Y444" i="1"/>
  <c r="Z444" i="1"/>
  <c r="X445" i="1"/>
  <c r="Y445" i="1"/>
  <c r="Z445" i="1"/>
  <c r="X446" i="1"/>
  <c r="Y446" i="1"/>
  <c r="Z446" i="1"/>
  <c r="X447" i="1"/>
  <c r="Y447" i="1"/>
  <c r="Z447" i="1"/>
  <c r="X448" i="1"/>
  <c r="Y448" i="1"/>
  <c r="Z448" i="1"/>
  <c r="X449" i="1"/>
  <c r="Y449" i="1"/>
  <c r="Z449" i="1"/>
  <c r="X450" i="1"/>
  <c r="Y450" i="1"/>
  <c r="Z450" i="1"/>
  <c r="X451" i="1"/>
  <c r="Y451" i="1"/>
  <c r="Z451" i="1"/>
  <c r="X452" i="1"/>
  <c r="Y452" i="1"/>
  <c r="Z452" i="1"/>
  <c r="X453" i="1"/>
  <c r="Y453" i="1"/>
  <c r="Z453" i="1"/>
  <c r="X454" i="1"/>
  <c r="Y454" i="1"/>
  <c r="Z454" i="1"/>
  <c r="X455" i="1"/>
  <c r="Y455" i="1"/>
  <c r="Z455" i="1"/>
  <c r="X456" i="1"/>
  <c r="Y456" i="1"/>
  <c r="Z456" i="1"/>
  <c r="X457" i="1"/>
  <c r="Y457" i="1"/>
  <c r="Z457" i="1"/>
  <c r="X458" i="1"/>
  <c r="Y458" i="1"/>
  <c r="Z458" i="1"/>
  <c r="X459" i="1"/>
  <c r="Y459" i="1"/>
  <c r="Z459" i="1"/>
  <c r="X460" i="1"/>
  <c r="Y460" i="1"/>
  <c r="Z460" i="1"/>
  <c r="X461" i="1"/>
  <c r="Y461" i="1"/>
  <c r="Z461" i="1"/>
  <c r="X462" i="1"/>
  <c r="Y462" i="1"/>
  <c r="Z462" i="1"/>
  <c r="X463" i="1"/>
  <c r="Y463" i="1"/>
  <c r="Z463" i="1"/>
  <c r="X464" i="1"/>
  <c r="Y464" i="1"/>
  <c r="Z464" i="1"/>
  <c r="X465" i="1"/>
  <c r="Y465" i="1"/>
  <c r="Z465" i="1"/>
  <c r="X466" i="1"/>
  <c r="Y466" i="1"/>
  <c r="Z466" i="1"/>
  <c r="X467" i="1"/>
  <c r="Y467" i="1"/>
  <c r="Z467" i="1"/>
  <c r="X468" i="1"/>
  <c r="Y468" i="1"/>
  <c r="Z468" i="1"/>
  <c r="X469" i="1"/>
  <c r="Y469" i="1"/>
  <c r="Z469" i="1"/>
  <c r="X470" i="1"/>
  <c r="Y470" i="1"/>
  <c r="Z470" i="1"/>
  <c r="X471" i="1"/>
  <c r="Y471" i="1"/>
  <c r="Z471" i="1"/>
  <c r="X472" i="1"/>
  <c r="Y472" i="1"/>
  <c r="Z472" i="1"/>
  <c r="X473" i="1"/>
  <c r="Y473" i="1"/>
  <c r="Z473" i="1"/>
  <c r="X474" i="1"/>
  <c r="Y474" i="1"/>
  <c r="Z474" i="1"/>
  <c r="X475" i="1"/>
  <c r="Y475" i="1"/>
  <c r="Z475" i="1"/>
  <c r="X476" i="1"/>
  <c r="Y476" i="1"/>
  <c r="Z476" i="1"/>
  <c r="X477" i="1"/>
  <c r="Y477" i="1"/>
  <c r="Z477" i="1"/>
  <c r="X478" i="1"/>
  <c r="Y478" i="1"/>
  <c r="Z478" i="1"/>
  <c r="X479" i="1"/>
  <c r="Y479" i="1"/>
  <c r="Z479" i="1"/>
  <c r="X480" i="1"/>
  <c r="Y480" i="1"/>
  <c r="Z480" i="1"/>
  <c r="X481" i="1"/>
  <c r="Y481" i="1"/>
  <c r="Z481" i="1"/>
  <c r="X482" i="1"/>
  <c r="Y482" i="1"/>
  <c r="Z482" i="1"/>
  <c r="X483" i="1"/>
  <c r="Y483" i="1"/>
  <c r="Z483" i="1"/>
  <c r="X484" i="1"/>
  <c r="Y484" i="1"/>
  <c r="Z484" i="1"/>
  <c r="X485" i="1"/>
  <c r="Y485" i="1"/>
  <c r="Z485" i="1"/>
  <c r="X486" i="1"/>
  <c r="Y486" i="1"/>
  <c r="Z486" i="1"/>
  <c r="X487" i="1"/>
  <c r="Y487" i="1"/>
  <c r="Z487" i="1"/>
  <c r="X488" i="1"/>
  <c r="Y488" i="1"/>
  <c r="Z488" i="1"/>
  <c r="X489" i="1"/>
  <c r="Y489" i="1"/>
  <c r="Z489" i="1"/>
  <c r="X490" i="1"/>
  <c r="Y490" i="1"/>
  <c r="Z490" i="1"/>
  <c r="X491" i="1"/>
  <c r="Y491" i="1"/>
  <c r="Z491" i="1"/>
  <c r="X492" i="1"/>
  <c r="Y492" i="1"/>
  <c r="Z492" i="1"/>
  <c r="X493" i="1"/>
  <c r="Y493" i="1"/>
  <c r="Z493" i="1"/>
  <c r="X494" i="1"/>
  <c r="Y494" i="1"/>
  <c r="Z494" i="1"/>
  <c r="X495" i="1"/>
  <c r="Y495" i="1"/>
  <c r="Z495" i="1"/>
  <c r="X496" i="1"/>
  <c r="Y496" i="1"/>
  <c r="Z496" i="1"/>
  <c r="X497" i="1"/>
  <c r="Y497" i="1"/>
  <c r="Z497" i="1"/>
  <c r="X498" i="1"/>
  <c r="Y498" i="1"/>
  <c r="Z498" i="1"/>
  <c r="X499" i="1"/>
  <c r="Y499" i="1"/>
  <c r="Z499" i="1"/>
  <c r="X500" i="1"/>
  <c r="Y500" i="1"/>
  <c r="Z500" i="1"/>
  <c r="X501" i="1"/>
  <c r="Y501" i="1"/>
  <c r="Z501" i="1"/>
  <c r="X502" i="1"/>
  <c r="Y502" i="1"/>
  <c r="Z502" i="1"/>
  <c r="X503" i="1"/>
  <c r="Y503" i="1"/>
  <c r="Z503" i="1"/>
  <c r="X504" i="1"/>
  <c r="Y504" i="1"/>
  <c r="Z504" i="1"/>
  <c r="X505" i="1"/>
  <c r="Y505" i="1"/>
  <c r="Z505" i="1"/>
  <c r="X506" i="1"/>
  <c r="Y506" i="1"/>
  <c r="Z506" i="1"/>
  <c r="X507" i="1"/>
  <c r="Y507" i="1"/>
  <c r="Z507" i="1"/>
  <c r="X508" i="1"/>
  <c r="Y508" i="1"/>
  <c r="Z508" i="1"/>
  <c r="X509" i="1"/>
  <c r="Y509" i="1"/>
  <c r="Z509" i="1"/>
  <c r="X510" i="1"/>
  <c r="Y510" i="1"/>
  <c r="Z510" i="1"/>
  <c r="X511" i="1"/>
  <c r="Y511" i="1"/>
  <c r="Z511" i="1"/>
  <c r="X512" i="1"/>
  <c r="Y512" i="1"/>
  <c r="Z512" i="1"/>
  <c r="X513" i="1"/>
  <c r="Y513" i="1"/>
  <c r="Z513" i="1"/>
  <c r="X514" i="1"/>
  <c r="Y514" i="1"/>
  <c r="Z514" i="1"/>
  <c r="X515" i="1"/>
  <c r="Y515" i="1"/>
  <c r="Z515" i="1"/>
  <c r="X516" i="1"/>
  <c r="Y516" i="1"/>
  <c r="Z516" i="1"/>
  <c r="X517" i="1"/>
  <c r="Y517" i="1"/>
  <c r="Z517" i="1"/>
  <c r="X518" i="1"/>
  <c r="Y518" i="1"/>
  <c r="Z518" i="1"/>
  <c r="X519" i="1"/>
  <c r="Y519" i="1"/>
  <c r="Z519" i="1"/>
  <c r="X520" i="1"/>
  <c r="Y520" i="1"/>
  <c r="Z520" i="1"/>
  <c r="X521" i="1"/>
  <c r="Y521" i="1"/>
  <c r="Z521" i="1"/>
  <c r="X522" i="1"/>
  <c r="Y522" i="1"/>
  <c r="Z522" i="1"/>
  <c r="X523" i="1"/>
  <c r="Y523" i="1"/>
  <c r="Z523" i="1"/>
  <c r="X524" i="1"/>
  <c r="Y524" i="1"/>
  <c r="Z524" i="1"/>
  <c r="X525" i="1"/>
  <c r="Y525" i="1"/>
  <c r="Z525" i="1"/>
  <c r="X526" i="1"/>
  <c r="Y526" i="1"/>
  <c r="Z526" i="1"/>
  <c r="X527" i="1"/>
  <c r="Y527" i="1"/>
  <c r="Z527" i="1"/>
  <c r="X528" i="1"/>
  <c r="Y528" i="1"/>
  <c r="Z528" i="1"/>
  <c r="X529" i="1"/>
  <c r="Y529" i="1"/>
  <c r="Z529" i="1"/>
  <c r="X530" i="1"/>
  <c r="Y530" i="1"/>
  <c r="Z530" i="1"/>
  <c r="X531" i="1"/>
  <c r="Y531" i="1"/>
  <c r="Z531" i="1"/>
  <c r="X532" i="1"/>
  <c r="Y532" i="1"/>
  <c r="Z532" i="1"/>
  <c r="X533" i="1"/>
  <c r="Y533" i="1"/>
  <c r="Z533" i="1"/>
  <c r="X534" i="1"/>
  <c r="Y534" i="1"/>
  <c r="Z534" i="1"/>
  <c r="X535" i="1"/>
  <c r="Y535" i="1"/>
  <c r="Z535" i="1"/>
  <c r="X536" i="1"/>
  <c r="Y536" i="1"/>
  <c r="Z536" i="1"/>
  <c r="X537" i="1"/>
  <c r="Y537" i="1"/>
  <c r="Z537" i="1"/>
  <c r="X538" i="1"/>
  <c r="Y538" i="1"/>
  <c r="Z538" i="1"/>
  <c r="X539" i="1"/>
  <c r="Y539" i="1"/>
  <c r="Z539" i="1"/>
  <c r="X540" i="1"/>
  <c r="Y540" i="1"/>
  <c r="Z540" i="1"/>
  <c r="X541" i="1"/>
  <c r="Y541" i="1"/>
  <c r="Z541" i="1"/>
  <c r="X542" i="1"/>
  <c r="Y542" i="1"/>
  <c r="Z542" i="1"/>
  <c r="X543" i="1"/>
  <c r="Y543" i="1"/>
  <c r="Z543" i="1"/>
  <c r="X544" i="1"/>
  <c r="Y544" i="1"/>
  <c r="Z544" i="1"/>
  <c r="X545" i="1"/>
  <c r="Y545" i="1"/>
  <c r="Z545" i="1"/>
  <c r="X546" i="1"/>
  <c r="Y546" i="1"/>
  <c r="Z546" i="1"/>
  <c r="X547" i="1"/>
  <c r="Y547" i="1"/>
  <c r="Z547" i="1"/>
  <c r="X548" i="1"/>
  <c r="Y548" i="1"/>
  <c r="Z548" i="1"/>
  <c r="X549" i="1"/>
  <c r="Y549" i="1"/>
  <c r="Z549" i="1"/>
  <c r="X550" i="1"/>
  <c r="Y550" i="1"/>
  <c r="Z550" i="1"/>
  <c r="X551" i="1"/>
  <c r="Y551" i="1"/>
  <c r="Z551" i="1"/>
  <c r="X552" i="1"/>
  <c r="Y552" i="1"/>
  <c r="Z552" i="1"/>
  <c r="X553" i="1"/>
  <c r="Y553" i="1"/>
  <c r="Z553" i="1"/>
  <c r="X554" i="1"/>
  <c r="Y554" i="1"/>
  <c r="Z554" i="1"/>
  <c r="X555" i="1"/>
  <c r="Y555" i="1"/>
  <c r="Z555" i="1"/>
  <c r="X556" i="1"/>
  <c r="Y556" i="1"/>
  <c r="Z556" i="1"/>
  <c r="X557" i="1"/>
  <c r="Y557" i="1"/>
  <c r="Z557" i="1"/>
  <c r="X558" i="1"/>
  <c r="Y558" i="1"/>
  <c r="Z558" i="1"/>
  <c r="X559" i="1"/>
  <c r="Y559" i="1"/>
  <c r="Z559" i="1"/>
  <c r="X560" i="1"/>
  <c r="Y560" i="1"/>
  <c r="Z560" i="1"/>
  <c r="X561" i="1"/>
  <c r="Y561" i="1"/>
  <c r="Z561" i="1"/>
  <c r="X562" i="1"/>
  <c r="Y562" i="1"/>
  <c r="Z562" i="1"/>
  <c r="X563" i="1"/>
  <c r="Y563" i="1"/>
  <c r="Z563" i="1"/>
  <c r="X564" i="1"/>
  <c r="Y564" i="1"/>
  <c r="Z564" i="1"/>
  <c r="X565" i="1"/>
  <c r="Y565" i="1"/>
  <c r="Z565" i="1"/>
  <c r="X566" i="1"/>
  <c r="Y566" i="1"/>
  <c r="Z566" i="1"/>
  <c r="X567" i="1"/>
  <c r="Y567" i="1"/>
  <c r="Z567" i="1"/>
  <c r="X568" i="1"/>
  <c r="Y568" i="1"/>
  <c r="Z568" i="1"/>
  <c r="X569" i="1"/>
  <c r="Y569" i="1"/>
  <c r="Z569" i="1"/>
  <c r="X570" i="1"/>
  <c r="Y570" i="1"/>
  <c r="Z570" i="1"/>
  <c r="X571" i="1"/>
  <c r="Y571" i="1"/>
  <c r="Z571" i="1"/>
  <c r="X572" i="1"/>
  <c r="Y572" i="1"/>
  <c r="Z572" i="1"/>
  <c r="X573" i="1"/>
  <c r="Y573" i="1"/>
  <c r="Z573" i="1"/>
  <c r="X574" i="1"/>
  <c r="Y574" i="1"/>
  <c r="Z574" i="1"/>
  <c r="X575" i="1"/>
  <c r="Y575" i="1"/>
  <c r="Z575" i="1"/>
  <c r="X576" i="1"/>
  <c r="Y576" i="1"/>
  <c r="Z576" i="1"/>
  <c r="X577" i="1"/>
  <c r="Y577" i="1"/>
  <c r="Z577" i="1"/>
  <c r="X578" i="1"/>
  <c r="Y578" i="1"/>
  <c r="Z578" i="1"/>
  <c r="X579" i="1"/>
  <c r="Y579" i="1"/>
  <c r="Z579" i="1"/>
  <c r="X580" i="1"/>
  <c r="Y580" i="1"/>
  <c r="Z580" i="1"/>
  <c r="X581" i="1"/>
  <c r="Y581" i="1"/>
  <c r="Z581" i="1"/>
  <c r="X582" i="1"/>
  <c r="Y582" i="1"/>
  <c r="Z582" i="1"/>
  <c r="X583" i="1"/>
  <c r="Y583" i="1"/>
  <c r="Z583" i="1"/>
  <c r="X584" i="1"/>
  <c r="Y584" i="1"/>
  <c r="Z584" i="1"/>
  <c r="X585" i="1"/>
  <c r="Y585" i="1"/>
  <c r="Z585" i="1"/>
  <c r="X586" i="1"/>
  <c r="Y586" i="1"/>
  <c r="Z586" i="1"/>
  <c r="X587" i="1"/>
  <c r="Y587" i="1"/>
  <c r="Z587" i="1"/>
  <c r="X588" i="1"/>
  <c r="Y588" i="1"/>
  <c r="Z588" i="1"/>
  <c r="X589" i="1"/>
  <c r="Y589" i="1"/>
  <c r="Z589" i="1"/>
  <c r="X590" i="1"/>
  <c r="Y590" i="1"/>
  <c r="Z590" i="1"/>
  <c r="X591" i="1"/>
  <c r="Y591" i="1"/>
  <c r="Z591" i="1"/>
  <c r="X592" i="1"/>
  <c r="Y592" i="1"/>
  <c r="Z592" i="1"/>
  <c r="X593" i="1"/>
  <c r="Y593" i="1"/>
  <c r="Z593" i="1"/>
  <c r="X594" i="1"/>
  <c r="Y594" i="1"/>
  <c r="Z594" i="1"/>
  <c r="X595" i="1"/>
  <c r="Y595" i="1"/>
  <c r="Z595" i="1"/>
  <c r="X596" i="1"/>
  <c r="Y596" i="1"/>
  <c r="Z596" i="1"/>
  <c r="X597" i="1"/>
  <c r="Y597" i="1"/>
  <c r="Z597" i="1"/>
  <c r="X598" i="1"/>
  <c r="Y598" i="1"/>
  <c r="Z598" i="1"/>
  <c r="X599" i="1"/>
  <c r="Y599" i="1"/>
  <c r="Z599" i="1"/>
  <c r="X600" i="1"/>
  <c r="Y600" i="1"/>
  <c r="Z600" i="1"/>
  <c r="X601" i="1"/>
  <c r="Y601" i="1"/>
  <c r="Z601" i="1"/>
  <c r="X602" i="1"/>
  <c r="Y602" i="1"/>
  <c r="Z602" i="1"/>
  <c r="X603" i="1"/>
  <c r="Y603" i="1"/>
  <c r="Z603" i="1"/>
  <c r="X604" i="1"/>
  <c r="Y604" i="1"/>
  <c r="Z604" i="1"/>
  <c r="X605" i="1"/>
  <c r="Y605" i="1"/>
  <c r="Z605" i="1"/>
  <c r="X606" i="1"/>
  <c r="Y606" i="1"/>
  <c r="Z606" i="1"/>
  <c r="X607" i="1"/>
  <c r="Y607" i="1"/>
  <c r="Z607" i="1"/>
  <c r="X608" i="1"/>
  <c r="Y608" i="1"/>
  <c r="Z608" i="1"/>
  <c r="X609" i="1"/>
  <c r="Y609" i="1"/>
  <c r="Z609" i="1"/>
  <c r="X610" i="1"/>
  <c r="Y610" i="1"/>
  <c r="Z610" i="1"/>
  <c r="X611" i="1"/>
  <c r="Y611" i="1"/>
  <c r="Z611" i="1"/>
  <c r="X612" i="1"/>
  <c r="Y612" i="1"/>
  <c r="Z612" i="1"/>
  <c r="X613" i="1"/>
  <c r="Y613" i="1"/>
  <c r="Z613" i="1"/>
  <c r="X614" i="1"/>
  <c r="Y614" i="1"/>
  <c r="Z614" i="1"/>
  <c r="X615" i="1"/>
  <c r="Y615" i="1"/>
  <c r="Z615" i="1"/>
  <c r="X616" i="1"/>
  <c r="Y616" i="1"/>
  <c r="Z616" i="1"/>
  <c r="X617" i="1"/>
  <c r="Y617" i="1"/>
  <c r="Z617" i="1"/>
  <c r="X618" i="1"/>
  <c r="Y618" i="1"/>
  <c r="Z618" i="1"/>
  <c r="X619" i="1"/>
  <c r="Y619" i="1"/>
  <c r="Z619" i="1"/>
  <c r="X620" i="1"/>
  <c r="Y620" i="1"/>
  <c r="Z620" i="1"/>
  <c r="X621" i="1"/>
  <c r="Y621" i="1"/>
  <c r="Z621" i="1"/>
  <c r="X622" i="1"/>
  <c r="Y622" i="1"/>
  <c r="Z622" i="1"/>
  <c r="X623" i="1"/>
  <c r="Y623" i="1"/>
  <c r="Z623" i="1"/>
  <c r="X624" i="1"/>
  <c r="Y624" i="1"/>
  <c r="Z624" i="1"/>
  <c r="X625" i="1"/>
  <c r="Y625" i="1"/>
  <c r="Z625" i="1"/>
  <c r="X626" i="1"/>
  <c r="Y626" i="1"/>
  <c r="Z626" i="1"/>
  <c r="X627" i="1"/>
  <c r="Y627" i="1"/>
  <c r="Z627" i="1"/>
  <c r="X628" i="1"/>
  <c r="Y628" i="1"/>
  <c r="Z628" i="1"/>
  <c r="X629" i="1"/>
  <c r="Y629" i="1"/>
  <c r="Z629" i="1"/>
  <c r="X630" i="1"/>
  <c r="Y630" i="1"/>
  <c r="Z630" i="1"/>
  <c r="X631" i="1"/>
  <c r="Y631" i="1"/>
  <c r="Z631" i="1"/>
  <c r="X632" i="1"/>
  <c r="Y632" i="1"/>
  <c r="Z632" i="1"/>
  <c r="X633" i="1"/>
  <c r="Y633" i="1"/>
  <c r="Z633" i="1"/>
  <c r="X634" i="1"/>
  <c r="Y634" i="1"/>
  <c r="Z634" i="1"/>
  <c r="X635" i="1"/>
  <c r="Y635" i="1"/>
  <c r="Z635" i="1"/>
  <c r="X636" i="1"/>
  <c r="Y636" i="1"/>
  <c r="Z636" i="1"/>
  <c r="X637" i="1"/>
  <c r="Y637" i="1"/>
  <c r="Z637" i="1"/>
  <c r="X638" i="1"/>
  <c r="Y638" i="1"/>
  <c r="Z638" i="1"/>
  <c r="X639" i="1"/>
  <c r="Y639" i="1"/>
  <c r="Z639" i="1"/>
  <c r="X640" i="1"/>
  <c r="Y640" i="1"/>
  <c r="Z640" i="1"/>
  <c r="X641" i="1"/>
  <c r="Y641" i="1"/>
  <c r="Z641" i="1"/>
  <c r="X642" i="1"/>
  <c r="Y642" i="1"/>
  <c r="Z642" i="1"/>
  <c r="X643" i="1"/>
  <c r="Y643" i="1"/>
  <c r="Z643" i="1"/>
  <c r="X644" i="1"/>
  <c r="Y644" i="1"/>
  <c r="Z644" i="1"/>
  <c r="X645" i="1"/>
  <c r="Y645" i="1"/>
  <c r="Z645" i="1"/>
  <c r="X646" i="1"/>
  <c r="Y646" i="1"/>
  <c r="Z646" i="1"/>
  <c r="X647" i="1"/>
  <c r="Y647" i="1"/>
  <c r="Z647" i="1"/>
  <c r="X648" i="1"/>
  <c r="Y648" i="1"/>
  <c r="Z648" i="1"/>
  <c r="X649" i="1"/>
  <c r="Y649" i="1"/>
  <c r="Z649" i="1"/>
  <c r="X650" i="1"/>
  <c r="Y650" i="1"/>
  <c r="Z650" i="1"/>
  <c r="X651" i="1"/>
  <c r="Y651" i="1"/>
  <c r="Z651" i="1"/>
  <c r="X652" i="1"/>
  <c r="Y652" i="1"/>
  <c r="Z652" i="1"/>
  <c r="X653" i="1"/>
  <c r="Y653" i="1"/>
  <c r="Z653" i="1"/>
  <c r="X654" i="1"/>
  <c r="Y654" i="1"/>
  <c r="Z654" i="1"/>
  <c r="X655" i="1"/>
  <c r="Y655" i="1"/>
  <c r="Z655" i="1"/>
  <c r="X656" i="1"/>
  <c r="Y656" i="1"/>
  <c r="Z656" i="1"/>
  <c r="X657" i="1"/>
  <c r="Y657" i="1"/>
  <c r="Z657" i="1"/>
  <c r="X658" i="1"/>
  <c r="Y658" i="1"/>
  <c r="Z658" i="1"/>
  <c r="X659" i="1"/>
  <c r="Y659" i="1"/>
  <c r="Z659" i="1"/>
  <c r="X660" i="1"/>
  <c r="Y660" i="1"/>
  <c r="Z660" i="1"/>
  <c r="X661" i="1"/>
  <c r="Y661" i="1"/>
  <c r="Z661" i="1"/>
  <c r="X662" i="1"/>
  <c r="Y662" i="1"/>
  <c r="Z662" i="1"/>
  <c r="X663" i="1"/>
  <c r="Y663" i="1"/>
  <c r="Z663" i="1"/>
  <c r="X664" i="1"/>
  <c r="Y664" i="1"/>
  <c r="Z664" i="1"/>
  <c r="X665" i="1"/>
  <c r="Y665" i="1"/>
  <c r="Z665" i="1"/>
  <c r="X666" i="1"/>
  <c r="Y666" i="1"/>
  <c r="Z666" i="1"/>
  <c r="X667" i="1"/>
  <c r="Y667" i="1"/>
  <c r="Z667" i="1"/>
  <c r="X668" i="1"/>
  <c r="Y668" i="1"/>
  <c r="Z668" i="1"/>
  <c r="X669" i="1"/>
  <c r="Y669" i="1"/>
  <c r="Z669" i="1"/>
  <c r="X670" i="1"/>
  <c r="Y670" i="1"/>
  <c r="Z670" i="1"/>
  <c r="X671" i="1"/>
  <c r="Y671" i="1"/>
  <c r="Z671" i="1"/>
  <c r="X672" i="1"/>
  <c r="Y672" i="1"/>
  <c r="Z672" i="1"/>
  <c r="X673" i="1"/>
  <c r="Y673" i="1"/>
  <c r="Z673" i="1"/>
  <c r="X674" i="1"/>
  <c r="Y674" i="1"/>
  <c r="Z674" i="1"/>
  <c r="X675" i="1"/>
  <c r="Y675" i="1"/>
  <c r="Z675" i="1"/>
  <c r="X676" i="1"/>
  <c r="Y676" i="1"/>
  <c r="Z676" i="1"/>
  <c r="X677" i="1"/>
  <c r="Y677" i="1"/>
  <c r="Z677" i="1"/>
  <c r="X678" i="1"/>
  <c r="Y678" i="1"/>
  <c r="Z678" i="1"/>
  <c r="X679" i="1"/>
  <c r="Y679" i="1"/>
  <c r="Z679" i="1"/>
  <c r="X680" i="1"/>
  <c r="Y680" i="1"/>
  <c r="Z680" i="1"/>
  <c r="X681" i="1"/>
  <c r="Y681" i="1"/>
  <c r="Z681" i="1"/>
  <c r="X682" i="1"/>
  <c r="Y682" i="1"/>
  <c r="Z682" i="1"/>
  <c r="X683" i="1"/>
  <c r="Y683" i="1"/>
  <c r="Z683" i="1"/>
  <c r="X684" i="1"/>
  <c r="Y684" i="1"/>
  <c r="Z684" i="1"/>
  <c r="X685" i="1"/>
  <c r="Y685" i="1"/>
  <c r="Z685" i="1"/>
  <c r="X686" i="1"/>
  <c r="Y686" i="1"/>
  <c r="Z686" i="1"/>
  <c r="X687" i="1"/>
  <c r="Y687" i="1"/>
  <c r="Z687" i="1"/>
  <c r="X688" i="1"/>
  <c r="Y688" i="1"/>
  <c r="Z688" i="1"/>
  <c r="X689" i="1"/>
  <c r="Y689" i="1"/>
  <c r="Z689" i="1"/>
  <c r="X690" i="1"/>
  <c r="Y690" i="1"/>
  <c r="Z690" i="1"/>
  <c r="X691" i="1"/>
  <c r="Y691" i="1"/>
  <c r="Z691" i="1"/>
  <c r="X692" i="1"/>
  <c r="Y692" i="1"/>
  <c r="Z692" i="1"/>
  <c r="X693" i="1"/>
  <c r="Y693" i="1"/>
  <c r="Z693" i="1"/>
  <c r="X694" i="1"/>
  <c r="Y694" i="1"/>
  <c r="Z694" i="1"/>
  <c r="X695" i="1"/>
  <c r="Y695" i="1"/>
  <c r="Z695" i="1"/>
  <c r="X696" i="1"/>
  <c r="Y696" i="1"/>
  <c r="Z696" i="1"/>
  <c r="X697" i="1"/>
  <c r="Y697" i="1"/>
  <c r="Z697" i="1"/>
  <c r="X698" i="1"/>
  <c r="Y698" i="1"/>
  <c r="Z698" i="1"/>
  <c r="X699" i="1"/>
  <c r="Y699" i="1"/>
  <c r="Z699" i="1"/>
  <c r="X700" i="1"/>
  <c r="Y700" i="1"/>
  <c r="Z700" i="1"/>
  <c r="X701" i="1"/>
  <c r="Y701" i="1"/>
  <c r="Z701" i="1"/>
  <c r="X702" i="1"/>
  <c r="Y702" i="1"/>
  <c r="Z702" i="1"/>
  <c r="X703" i="1"/>
  <c r="Y703" i="1"/>
  <c r="Z703" i="1"/>
  <c r="X704" i="1"/>
  <c r="Y704" i="1"/>
  <c r="Z704" i="1"/>
  <c r="X705" i="1"/>
  <c r="Y705" i="1"/>
  <c r="Z705" i="1"/>
  <c r="X706" i="1"/>
  <c r="Y706" i="1"/>
  <c r="Z706" i="1"/>
  <c r="X707" i="1"/>
  <c r="Y707" i="1"/>
  <c r="Z707" i="1"/>
  <c r="X708" i="1"/>
  <c r="Y708" i="1"/>
  <c r="Z708" i="1"/>
  <c r="X709" i="1"/>
  <c r="Y709" i="1"/>
  <c r="Z709" i="1"/>
  <c r="X710" i="1"/>
  <c r="Y710" i="1"/>
  <c r="Z710" i="1"/>
  <c r="X711" i="1"/>
  <c r="Y711" i="1"/>
  <c r="Z711" i="1"/>
  <c r="X712" i="1"/>
  <c r="Y712" i="1"/>
  <c r="Z712" i="1"/>
  <c r="X713" i="1"/>
  <c r="Y713" i="1"/>
  <c r="Z713" i="1"/>
  <c r="X714" i="1"/>
  <c r="Y714" i="1"/>
  <c r="Z714" i="1"/>
  <c r="X715" i="1"/>
  <c r="Y715" i="1"/>
  <c r="Z715" i="1"/>
  <c r="X716" i="1"/>
  <c r="Y716" i="1"/>
  <c r="Z716" i="1"/>
  <c r="X717" i="1"/>
  <c r="Y717" i="1"/>
  <c r="Z717" i="1"/>
  <c r="X718" i="1"/>
  <c r="Y718" i="1"/>
  <c r="Z718" i="1"/>
  <c r="X719" i="1"/>
  <c r="Y719" i="1"/>
  <c r="Z719" i="1"/>
  <c r="X720" i="1"/>
  <c r="Y720" i="1"/>
  <c r="Z720" i="1"/>
  <c r="X721" i="1"/>
  <c r="Y721" i="1"/>
  <c r="Z721" i="1"/>
  <c r="X722" i="1"/>
  <c r="Y722" i="1"/>
  <c r="Z722" i="1"/>
  <c r="X723" i="1"/>
  <c r="Y723" i="1"/>
  <c r="Z723" i="1"/>
  <c r="X724" i="1"/>
  <c r="Y724" i="1"/>
  <c r="Z724" i="1"/>
  <c r="X725" i="1"/>
  <c r="Y725" i="1"/>
  <c r="Z725" i="1"/>
  <c r="X726" i="1"/>
  <c r="Y726" i="1"/>
  <c r="Z726" i="1"/>
  <c r="X727" i="1"/>
  <c r="Y727" i="1"/>
  <c r="Z727" i="1"/>
  <c r="X728" i="1"/>
  <c r="Y728" i="1"/>
  <c r="Z728" i="1"/>
  <c r="X729" i="1"/>
  <c r="Y729" i="1"/>
  <c r="Z729" i="1"/>
  <c r="X730" i="1"/>
  <c r="Y730" i="1"/>
  <c r="Z730" i="1"/>
  <c r="X731" i="1"/>
  <c r="Y731" i="1"/>
  <c r="Z731" i="1"/>
  <c r="X732" i="1"/>
  <c r="Y732" i="1"/>
  <c r="Z732" i="1"/>
  <c r="X733" i="1"/>
  <c r="Y733" i="1"/>
  <c r="Z733" i="1"/>
  <c r="X734" i="1"/>
  <c r="Y734" i="1"/>
  <c r="Z734" i="1"/>
  <c r="X735" i="1"/>
  <c r="Y735" i="1"/>
  <c r="Z735" i="1"/>
  <c r="X736" i="1"/>
  <c r="Y736" i="1"/>
  <c r="Z736" i="1"/>
  <c r="X737" i="1"/>
  <c r="Y737" i="1"/>
  <c r="Z737" i="1"/>
  <c r="X738" i="1"/>
  <c r="Y738" i="1"/>
  <c r="Z738" i="1"/>
  <c r="X739" i="1"/>
  <c r="Y739" i="1"/>
  <c r="Z739" i="1"/>
  <c r="X740" i="1"/>
  <c r="Y740" i="1"/>
  <c r="Z740" i="1"/>
  <c r="X741" i="1"/>
  <c r="Y741" i="1"/>
  <c r="Z741" i="1"/>
  <c r="X742" i="1"/>
  <c r="Y742" i="1"/>
  <c r="Z742" i="1"/>
  <c r="X743" i="1"/>
  <c r="Y743" i="1"/>
  <c r="Z743" i="1"/>
  <c r="X744" i="1"/>
  <c r="Y744" i="1"/>
  <c r="Z744" i="1"/>
  <c r="X745" i="1"/>
  <c r="Y745" i="1"/>
  <c r="Z745" i="1"/>
  <c r="X746" i="1"/>
  <c r="Y746" i="1"/>
  <c r="Z746" i="1"/>
  <c r="X747" i="1"/>
  <c r="Y747" i="1"/>
  <c r="Z747" i="1"/>
  <c r="X748" i="1"/>
  <c r="Y748" i="1"/>
  <c r="Z748" i="1"/>
  <c r="X749" i="1"/>
  <c r="Y749" i="1"/>
  <c r="Z749" i="1"/>
  <c r="X750" i="1"/>
  <c r="Y750" i="1"/>
  <c r="Z750" i="1"/>
  <c r="X751" i="1"/>
  <c r="Y751" i="1"/>
  <c r="Z751" i="1"/>
  <c r="X752" i="1"/>
  <c r="Y752" i="1"/>
  <c r="Z752" i="1"/>
  <c r="X753" i="1"/>
  <c r="Y753" i="1"/>
  <c r="Z753" i="1"/>
  <c r="X754" i="1"/>
  <c r="Y754" i="1"/>
  <c r="Z754" i="1"/>
  <c r="X760" i="1"/>
  <c r="Y760" i="1"/>
  <c r="Z760" i="1"/>
  <c r="X761" i="1"/>
  <c r="Y761" i="1"/>
  <c r="Z761" i="1"/>
  <c r="X762" i="1"/>
  <c r="Y762" i="1"/>
  <c r="Z762" i="1"/>
  <c r="X763" i="1"/>
  <c r="Y763" i="1"/>
  <c r="Z763" i="1"/>
  <c r="X764" i="1"/>
  <c r="Y764" i="1"/>
  <c r="Z764" i="1"/>
  <c r="X765" i="1"/>
  <c r="Y765" i="1"/>
  <c r="Z765" i="1"/>
  <c r="X766" i="1"/>
  <c r="Y766" i="1"/>
  <c r="Z766" i="1"/>
  <c r="X767" i="1"/>
  <c r="Y767" i="1"/>
  <c r="Z767" i="1"/>
  <c r="X768" i="1"/>
  <c r="Y768" i="1"/>
  <c r="Z768" i="1"/>
  <c r="X769" i="1"/>
  <c r="Y769" i="1"/>
  <c r="Z769" i="1"/>
  <c r="X770" i="1"/>
  <c r="Y770" i="1"/>
  <c r="Z770" i="1"/>
  <c r="X771" i="1"/>
  <c r="Y771" i="1"/>
  <c r="Z771" i="1"/>
  <c r="X772" i="1"/>
  <c r="Y772" i="1"/>
  <c r="Z772" i="1"/>
  <c r="X773" i="1"/>
  <c r="Y773" i="1"/>
  <c r="Z773" i="1"/>
  <c r="X774" i="1"/>
  <c r="Y774" i="1"/>
  <c r="Z774" i="1"/>
  <c r="X775" i="1"/>
  <c r="Y775" i="1"/>
  <c r="Z775" i="1"/>
  <c r="X776" i="1"/>
  <c r="Y776" i="1"/>
  <c r="Z776" i="1"/>
  <c r="X777" i="1"/>
  <c r="Y777" i="1"/>
  <c r="Z777" i="1"/>
  <c r="X778" i="1"/>
  <c r="Y778" i="1"/>
  <c r="Z778" i="1"/>
  <c r="X779" i="1"/>
  <c r="Y779" i="1"/>
  <c r="Z779" i="1"/>
  <c r="X780" i="1"/>
  <c r="Y780" i="1"/>
  <c r="Z780" i="1"/>
  <c r="X781" i="1"/>
  <c r="Y781" i="1"/>
  <c r="Z781" i="1"/>
  <c r="X782" i="1"/>
  <c r="Y782" i="1"/>
  <c r="Z782" i="1"/>
  <c r="X783" i="1"/>
  <c r="Y783" i="1"/>
  <c r="Z783" i="1"/>
  <c r="X784" i="1"/>
  <c r="Y784" i="1"/>
  <c r="Z784" i="1"/>
  <c r="X785" i="1"/>
  <c r="Y785" i="1"/>
  <c r="Z785" i="1"/>
  <c r="X786" i="1"/>
  <c r="Y786" i="1"/>
  <c r="Z786" i="1"/>
  <c r="X787" i="1"/>
  <c r="Y787" i="1"/>
  <c r="Z787" i="1"/>
  <c r="X788" i="1"/>
  <c r="Y788" i="1"/>
  <c r="Z788" i="1"/>
  <c r="X789" i="1"/>
  <c r="Y789" i="1"/>
  <c r="Z789" i="1"/>
  <c r="X790" i="1"/>
  <c r="Y790" i="1"/>
  <c r="Z790" i="1"/>
  <c r="X791" i="1"/>
  <c r="Y791" i="1"/>
  <c r="Z791" i="1"/>
  <c r="X792" i="1"/>
  <c r="Y792" i="1"/>
  <c r="Z792" i="1"/>
  <c r="X793" i="1"/>
  <c r="Y793" i="1"/>
  <c r="Z793" i="1"/>
  <c r="X794" i="1"/>
  <c r="Y794" i="1"/>
  <c r="Z794" i="1"/>
  <c r="X795" i="1"/>
  <c r="Y795" i="1"/>
  <c r="Z795" i="1"/>
  <c r="X796" i="1"/>
  <c r="Y796" i="1"/>
  <c r="Z796" i="1"/>
  <c r="X797" i="1"/>
  <c r="Y797" i="1"/>
  <c r="Z797" i="1"/>
  <c r="X798" i="1"/>
  <c r="Y798" i="1"/>
  <c r="Z798" i="1"/>
  <c r="X799" i="1"/>
  <c r="Y799" i="1"/>
  <c r="Z799" i="1"/>
  <c r="X800" i="1"/>
  <c r="Y800" i="1"/>
  <c r="Z800" i="1"/>
  <c r="X801" i="1"/>
  <c r="Y801" i="1"/>
  <c r="Z801" i="1"/>
  <c r="X802" i="1"/>
  <c r="Y802" i="1"/>
  <c r="Z802" i="1"/>
  <c r="X803" i="1"/>
  <c r="Y803" i="1"/>
  <c r="Z803" i="1"/>
  <c r="X804" i="1"/>
  <c r="Y804" i="1"/>
  <c r="Z804" i="1"/>
  <c r="X805" i="1"/>
  <c r="Y805" i="1"/>
  <c r="Z805" i="1"/>
  <c r="X806" i="1"/>
  <c r="Y806" i="1"/>
  <c r="Z806" i="1"/>
  <c r="X807" i="1"/>
  <c r="Y807" i="1"/>
  <c r="Z807" i="1"/>
  <c r="X808" i="1"/>
  <c r="Y808" i="1"/>
  <c r="Z808" i="1"/>
  <c r="X809" i="1"/>
  <c r="Y809" i="1"/>
  <c r="Z809" i="1"/>
  <c r="X810" i="1"/>
  <c r="Y810" i="1"/>
  <c r="Z810" i="1"/>
  <c r="X811" i="1"/>
  <c r="Y811" i="1"/>
  <c r="Z811" i="1"/>
  <c r="X812" i="1"/>
  <c r="Y812" i="1"/>
  <c r="Z812" i="1"/>
  <c r="X813" i="1"/>
  <c r="Y813" i="1"/>
  <c r="Z813" i="1"/>
  <c r="X814" i="1"/>
  <c r="Y814" i="1"/>
  <c r="Z814" i="1"/>
  <c r="X815" i="1"/>
  <c r="Y815" i="1"/>
  <c r="Z815" i="1"/>
  <c r="X816" i="1"/>
  <c r="Y816" i="1"/>
  <c r="Z816" i="1"/>
  <c r="X817" i="1"/>
  <c r="Y817" i="1"/>
  <c r="Z817" i="1"/>
  <c r="X818" i="1"/>
  <c r="Y818" i="1"/>
  <c r="Z818" i="1"/>
  <c r="X819" i="1"/>
  <c r="Y819" i="1"/>
  <c r="Z819" i="1"/>
  <c r="X820" i="1"/>
  <c r="Y820" i="1"/>
  <c r="Z820" i="1"/>
  <c r="X821" i="1"/>
  <c r="Y821" i="1"/>
  <c r="Z821" i="1"/>
  <c r="X822" i="1"/>
  <c r="Y822" i="1"/>
  <c r="Z822" i="1"/>
  <c r="X823" i="1"/>
  <c r="Y823" i="1"/>
  <c r="Z823" i="1"/>
  <c r="X824" i="1"/>
  <c r="Y824" i="1"/>
  <c r="Z824" i="1"/>
  <c r="X825" i="1"/>
  <c r="Y825" i="1"/>
  <c r="Z825" i="1"/>
  <c r="X826" i="1"/>
  <c r="Y826" i="1"/>
  <c r="Z826" i="1"/>
  <c r="X827" i="1"/>
  <c r="Y827" i="1"/>
  <c r="Z827" i="1"/>
  <c r="X828" i="1"/>
  <c r="Y828" i="1"/>
  <c r="Z828" i="1"/>
  <c r="X829" i="1"/>
  <c r="Y829" i="1"/>
  <c r="Z829" i="1"/>
  <c r="X830" i="1"/>
  <c r="Y830" i="1"/>
  <c r="Z830" i="1"/>
  <c r="X831" i="1"/>
  <c r="Y831" i="1"/>
  <c r="Z831" i="1"/>
  <c r="X832" i="1"/>
  <c r="Y832" i="1"/>
  <c r="Z832" i="1"/>
  <c r="X833" i="1"/>
  <c r="Y833" i="1"/>
  <c r="Z833" i="1"/>
  <c r="X834" i="1"/>
  <c r="Y834" i="1"/>
  <c r="Z834" i="1"/>
  <c r="X835" i="1"/>
  <c r="Y835" i="1"/>
  <c r="Z835" i="1"/>
  <c r="X836" i="1"/>
  <c r="Y836" i="1"/>
  <c r="Z836" i="1"/>
  <c r="X837" i="1"/>
  <c r="Y837" i="1"/>
  <c r="Z837" i="1"/>
  <c r="X838" i="1"/>
  <c r="Y838" i="1"/>
  <c r="Z838" i="1"/>
  <c r="X839" i="1"/>
  <c r="Y839" i="1"/>
  <c r="Z839" i="1"/>
  <c r="X840" i="1"/>
  <c r="Y840" i="1"/>
  <c r="Z840" i="1"/>
  <c r="X841" i="1"/>
  <c r="Y841" i="1"/>
  <c r="Z841" i="1"/>
  <c r="X842" i="1"/>
  <c r="Y842" i="1"/>
  <c r="Z842" i="1"/>
  <c r="X843" i="1"/>
  <c r="Y843" i="1"/>
  <c r="Z843" i="1"/>
  <c r="X844" i="1"/>
  <c r="Y844" i="1"/>
  <c r="Z844" i="1"/>
  <c r="X845" i="1"/>
  <c r="Y845" i="1"/>
  <c r="Z845" i="1"/>
  <c r="X846" i="1"/>
  <c r="Y846" i="1"/>
  <c r="Z846" i="1"/>
  <c r="X847" i="1"/>
  <c r="Y847" i="1"/>
  <c r="Z847" i="1"/>
  <c r="X848" i="1"/>
  <c r="Y848" i="1"/>
  <c r="Z848" i="1"/>
  <c r="X849" i="1"/>
  <c r="Y849" i="1"/>
  <c r="Z849" i="1"/>
  <c r="X850" i="1"/>
  <c r="Y850" i="1"/>
  <c r="Z850" i="1"/>
  <c r="X851" i="1"/>
  <c r="Y851" i="1"/>
  <c r="Z851" i="1"/>
  <c r="X852" i="1"/>
  <c r="Y852" i="1"/>
  <c r="Z852" i="1"/>
  <c r="X853" i="1"/>
  <c r="Y853" i="1"/>
  <c r="Z853" i="1"/>
  <c r="X854" i="1"/>
  <c r="Y854" i="1"/>
  <c r="Z854" i="1"/>
  <c r="X855" i="1"/>
  <c r="Y855" i="1"/>
  <c r="Z855" i="1"/>
  <c r="X856" i="1"/>
  <c r="Y856" i="1"/>
  <c r="Z856" i="1"/>
  <c r="X857" i="1"/>
  <c r="Y857" i="1"/>
  <c r="Z857" i="1"/>
  <c r="X858" i="1"/>
  <c r="Y858" i="1"/>
  <c r="Z858" i="1"/>
  <c r="X859" i="1"/>
  <c r="Y859" i="1"/>
  <c r="Z859" i="1"/>
  <c r="X860" i="1"/>
  <c r="Y860" i="1"/>
  <c r="Z860" i="1"/>
  <c r="X861" i="1"/>
  <c r="Y861" i="1"/>
  <c r="Z861" i="1"/>
  <c r="X862" i="1"/>
  <c r="Y862" i="1"/>
  <c r="Z862" i="1"/>
  <c r="X863" i="1"/>
  <c r="Y863" i="1"/>
  <c r="Z863" i="1"/>
  <c r="X864" i="1"/>
  <c r="Y864" i="1"/>
  <c r="Z864" i="1"/>
  <c r="X865" i="1"/>
  <c r="Y865" i="1"/>
  <c r="Z865" i="1"/>
  <c r="X866" i="1"/>
  <c r="Y866" i="1"/>
  <c r="Z866" i="1"/>
  <c r="X867" i="1"/>
  <c r="Y867" i="1"/>
  <c r="Z867" i="1"/>
  <c r="X868" i="1"/>
  <c r="Y868" i="1"/>
  <c r="Z868" i="1"/>
  <c r="X869" i="1"/>
  <c r="Y869" i="1"/>
  <c r="Z869" i="1"/>
  <c r="X870" i="1"/>
  <c r="Y870" i="1"/>
  <c r="Z870" i="1"/>
  <c r="X871" i="1"/>
  <c r="Y871" i="1"/>
  <c r="Z871" i="1"/>
  <c r="X872" i="1"/>
  <c r="Y872" i="1"/>
  <c r="Z872" i="1"/>
  <c r="X873" i="1"/>
  <c r="Y873" i="1"/>
  <c r="Z873" i="1"/>
  <c r="X874" i="1"/>
  <c r="Y874" i="1"/>
  <c r="Z874" i="1"/>
  <c r="X875" i="1"/>
  <c r="Y875" i="1"/>
  <c r="Z875" i="1"/>
  <c r="X876" i="1"/>
  <c r="Y876" i="1"/>
  <c r="Z876" i="1"/>
  <c r="X877" i="1"/>
  <c r="Y877" i="1"/>
  <c r="Z877" i="1"/>
  <c r="X878" i="1"/>
  <c r="Y878" i="1"/>
  <c r="Z878" i="1"/>
  <c r="X879" i="1"/>
  <c r="Y879" i="1"/>
  <c r="Z879" i="1"/>
  <c r="X880" i="1"/>
  <c r="Y880" i="1"/>
  <c r="Z880" i="1"/>
  <c r="X881" i="1"/>
  <c r="Y881" i="1"/>
  <c r="Z881" i="1"/>
  <c r="X882" i="1"/>
  <c r="Y882" i="1"/>
  <c r="Z882" i="1"/>
  <c r="X883" i="1"/>
  <c r="Y883" i="1"/>
  <c r="Z883" i="1"/>
  <c r="X884" i="1"/>
  <c r="Y884" i="1"/>
  <c r="Z884" i="1"/>
  <c r="X885" i="1"/>
  <c r="Y885" i="1"/>
  <c r="Z885" i="1"/>
  <c r="X886" i="1"/>
  <c r="Y886" i="1"/>
  <c r="Z886" i="1"/>
  <c r="X887" i="1"/>
  <c r="Y887" i="1"/>
  <c r="Z887" i="1"/>
  <c r="X888" i="1"/>
  <c r="Y888" i="1"/>
  <c r="Z888" i="1"/>
  <c r="AE2" i="1" a="1"/>
  <c r="AE2" i="1" s="1"/>
  <c r="AH2" i="1" s="1" a="1"/>
  <c r="AH2" i="1" s="1"/>
  <c r="AD7" i="1"/>
  <c r="AE3" i="1" a="1"/>
  <c r="AE3" i="1" s="1"/>
  <c r="AH3" i="1" s="1" a="1"/>
  <c r="AH3" i="1" s="1"/>
  <c r="AE4" i="1" a="1"/>
  <c r="AE4" i="1" s="1"/>
  <c r="AH4" i="1" s="1" a="1"/>
  <c r="AH4" i="1" s="1"/>
  <c r="AE5" i="1" a="1"/>
  <c r="AE5" i="1" s="1"/>
  <c r="AH5" i="1" s="1" a="1"/>
  <c r="AH5" i="1" s="1"/>
  <c r="AE6" i="1" a="1"/>
  <c r="AE6" i="1" s="1"/>
  <c r="AH6" i="1" s="1" a="1"/>
  <c r="AH6" i="1" s="1"/>
  <c r="AE7" i="1" a="1"/>
  <c r="AE7" i="1" s="1"/>
  <c r="AH7" i="1" s="1" a="1"/>
  <c r="AH7" i="1" s="1"/>
  <c r="AE8" i="1" a="1"/>
  <c r="AE8" i="1" s="1"/>
  <c r="AH8" i="1" s="1" a="1"/>
  <c r="AH8" i="1" s="1"/>
  <c r="AE9" i="1" a="1"/>
  <c r="AE9" i="1" s="1"/>
  <c r="AH9" i="1" s="1" a="1"/>
  <c r="AH9" i="1" s="1"/>
  <c r="AE10" i="1" a="1"/>
  <c r="AE10" i="1" s="1"/>
  <c r="AH10" i="1" s="1" a="1"/>
  <c r="AH10" i="1" s="1"/>
  <c r="AE11" i="1" a="1"/>
  <c r="AE11" i="1" s="1"/>
  <c r="AH11" i="1" s="1" a="1"/>
  <c r="AH11" i="1" s="1"/>
  <c r="AE12" i="1" a="1"/>
  <c r="AE12" i="1" s="1"/>
  <c r="AH12" i="1" s="1" a="1"/>
  <c r="AH12" i="1" s="1"/>
  <c r="AE13" i="1" a="1"/>
  <c r="AE13" i="1" s="1"/>
  <c r="AH13" i="1" s="1" a="1"/>
  <c r="AH13" i="1" s="1"/>
  <c r="AE14" i="1" a="1"/>
  <c r="AE14" i="1" s="1"/>
  <c r="AH14" i="1" s="1" a="1"/>
  <c r="AH14" i="1" s="1"/>
  <c r="AE15" i="1" a="1"/>
  <c r="AE15" i="1" s="1"/>
  <c r="AH15" i="1" s="1" a="1"/>
  <c r="AH15" i="1" s="1"/>
  <c r="AE16" i="1" a="1"/>
  <c r="AE16" i="1" s="1"/>
  <c r="AH16" i="1" s="1" a="1"/>
  <c r="AH16" i="1" s="1"/>
  <c r="AE17" i="1" a="1"/>
  <c r="AE17" i="1" s="1"/>
  <c r="AH17" i="1" s="1" a="1"/>
  <c r="AH17" i="1" s="1"/>
  <c r="AE18" i="1" a="1"/>
  <c r="AE18" i="1" s="1"/>
  <c r="AH18" i="1" s="1" a="1"/>
  <c r="AH18" i="1" s="1"/>
  <c r="AE19" i="1" a="1"/>
  <c r="AE19" i="1" s="1"/>
  <c r="AH19" i="1" s="1" a="1"/>
  <c r="AH19" i="1" s="1"/>
  <c r="AE20" i="1" a="1"/>
  <c r="AE20" i="1" s="1"/>
  <c r="AH20" i="1" s="1" a="1"/>
  <c r="AH20" i="1" s="1"/>
  <c r="AE21" i="1" a="1"/>
  <c r="AE21" i="1" s="1"/>
  <c r="AH21" i="1" s="1" a="1"/>
  <c r="AH21" i="1" s="1"/>
  <c r="AE22" i="1" a="1"/>
  <c r="AE22" i="1" s="1"/>
  <c r="AH22" i="1" s="1" a="1"/>
  <c r="AH22" i="1" s="1"/>
  <c r="AE23" i="1" a="1"/>
  <c r="AE23" i="1" s="1"/>
  <c r="AH23" i="1" s="1" a="1"/>
  <c r="AH23" i="1" s="1"/>
  <c r="AE24" i="1" a="1"/>
  <c r="AE24" i="1" s="1"/>
  <c r="AH24" i="1" s="1" a="1"/>
  <c r="AH24" i="1" s="1"/>
  <c r="AE25" i="1" a="1"/>
  <c r="AE25" i="1" s="1"/>
  <c r="AH25" i="1" s="1" a="1"/>
  <c r="AH25" i="1" s="1"/>
  <c r="AE26" i="1" a="1"/>
  <c r="AE26" i="1" s="1"/>
  <c r="AH26" i="1" s="1" a="1"/>
  <c r="AH26" i="1" s="1"/>
  <c r="AE27" i="1" a="1"/>
  <c r="AE27" i="1" s="1"/>
  <c r="AH27" i="1" s="1" a="1"/>
  <c r="AH27" i="1" s="1"/>
  <c r="AE28" i="1" a="1"/>
  <c r="AE28" i="1" s="1"/>
  <c r="AH28" i="1" s="1" a="1"/>
  <c r="AH28" i="1" s="1"/>
  <c r="AE29" i="1" a="1"/>
  <c r="AE29" i="1" s="1"/>
  <c r="AH29" i="1" s="1" a="1"/>
  <c r="AH29" i="1" s="1"/>
  <c r="AE30" i="1" a="1"/>
  <c r="AE30" i="1" s="1"/>
  <c r="AH30" i="1" s="1" a="1"/>
  <c r="AH30" i="1" s="1"/>
  <c r="AE31" i="1" a="1"/>
  <c r="AE31" i="1" s="1"/>
  <c r="AH31" i="1" s="1" a="1"/>
  <c r="AH31" i="1" s="1"/>
  <c r="AE32" i="1" a="1"/>
  <c r="AE32" i="1" s="1"/>
  <c r="AH32" i="1" s="1" a="1"/>
  <c r="AH32" i="1" s="1"/>
  <c r="AE33" i="1" a="1"/>
  <c r="AE33" i="1" s="1"/>
  <c r="AH33" i="1" s="1" a="1"/>
  <c r="AH33" i="1" s="1"/>
  <c r="AE34" i="1" a="1"/>
  <c r="AE34" i="1" s="1"/>
  <c r="AH34" i="1" s="1" a="1"/>
  <c r="AH34" i="1" s="1"/>
  <c r="AE35" i="1" a="1"/>
  <c r="AE35" i="1" s="1"/>
  <c r="AH35" i="1" s="1" a="1"/>
  <c r="AH35" i="1" s="1"/>
  <c r="AE36" i="1" a="1"/>
  <c r="AE36" i="1" s="1"/>
  <c r="AH36" i="1" s="1" a="1"/>
  <c r="AH36" i="1" s="1"/>
  <c r="AE37" i="1" a="1"/>
  <c r="AE37" i="1" s="1"/>
  <c r="AH37" i="1" s="1" a="1"/>
  <c r="AH37" i="1" s="1"/>
  <c r="AE38" i="1" a="1"/>
  <c r="AE38" i="1" s="1"/>
  <c r="AH38" i="1" s="1" a="1"/>
  <c r="AH38" i="1" s="1"/>
  <c r="AE39" i="1" a="1"/>
  <c r="AE39" i="1" s="1"/>
  <c r="AH39" i="1" s="1" a="1"/>
  <c r="AH39" i="1" s="1"/>
  <c r="AE40" i="1" a="1"/>
  <c r="AE40" i="1" s="1"/>
  <c r="AH40" i="1" s="1" a="1"/>
  <c r="AH40" i="1" s="1"/>
  <c r="AE41" i="1" a="1"/>
  <c r="AE41" i="1" s="1"/>
  <c r="AH41" i="1" s="1" a="1"/>
  <c r="AH41" i="1" s="1"/>
  <c r="AE42" i="1" a="1"/>
  <c r="AE42" i="1" s="1"/>
  <c r="AH42" i="1" s="1" a="1"/>
  <c r="AH42" i="1" s="1"/>
  <c r="AE43" i="1" a="1"/>
  <c r="AE43" i="1" s="1"/>
  <c r="AH43" i="1" s="1" a="1"/>
  <c r="AH43" i="1" s="1"/>
  <c r="AE44" i="1" a="1"/>
  <c r="AE44" i="1" s="1"/>
  <c r="AH44" i="1" s="1" a="1"/>
  <c r="AH44" i="1" s="1"/>
  <c r="AE45" i="1" a="1"/>
  <c r="AE45" i="1" s="1"/>
  <c r="AH45" i="1" s="1" a="1"/>
  <c r="AH45" i="1" s="1"/>
  <c r="AE46" i="1" a="1"/>
  <c r="AE46" i="1" s="1"/>
  <c r="AH46" i="1" s="1" a="1"/>
  <c r="AH46" i="1" s="1"/>
  <c r="AE47" i="1" a="1"/>
  <c r="AE47" i="1" s="1"/>
  <c r="AH47" i="1" s="1" a="1"/>
  <c r="AH47" i="1" s="1"/>
  <c r="AE48" i="1" a="1"/>
  <c r="AE48" i="1" s="1"/>
  <c r="AH48" i="1" s="1" a="1"/>
  <c r="AH48" i="1" s="1"/>
  <c r="AE49" i="1" a="1"/>
  <c r="AE49" i="1" s="1"/>
  <c r="AH49" i="1" s="1" a="1"/>
  <c r="AH49" i="1" s="1"/>
  <c r="AE50" i="1" a="1"/>
  <c r="AE50" i="1" s="1"/>
  <c r="AH50" i="1" s="1" a="1"/>
  <c r="AH50" i="1" s="1"/>
  <c r="AE51" i="1" a="1"/>
  <c r="AE51" i="1" s="1"/>
  <c r="AH51" i="1" s="1" a="1"/>
  <c r="AH51" i="1" s="1"/>
  <c r="AE52" i="1" a="1"/>
  <c r="AE52" i="1" s="1"/>
  <c r="AH52" i="1" s="1" a="1"/>
  <c r="AH52" i="1" s="1"/>
  <c r="AE53" i="1" a="1"/>
  <c r="AE53" i="1" s="1"/>
  <c r="AH53" i="1" s="1" a="1"/>
  <c r="AH53" i="1" s="1"/>
  <c r="AE54" i="1" a="1"/>
  <c r="AE54" i="1" s="1"/>
  <c r="AH54" i="1" s="1" a="1"/>
  <c r="AH54" i="1" s="1"/>
  <c r="AE55" i="1" a="1"/>
  <c r="AE55" i="1" s="1"/>
  <c r="AH55" i="1" s="1" a="1"/>
  <c r="AH55" i="1" s="1"/>
  <c r="AE56" i="1" a="1"/>
  <c r="AE56" i="1" s="1"/>
  <c r="AH56" i="1" s="1" a="1"/>
  <c r="AH56" i="1" s="1"/>
  <c r="AE57" i="1" a="1"/>
  <c r="AE57" i="1" s="1"/>
  <c r="AH57" i="1" s="1" a="1"/>
  <c r="AH57" i="1" s="1"/>
  <c r="AE58" i="1" a="1"/>
  <c r="AE58" i="1" s="1"/>
  <c r="AH58" i="1" s="1" a="1"/>
  <c r="AH58" i="1" s="1"/>
  <c r="AE59" i="1" a="1"/>
  <c r="AE59" i="1" s="1"/>
  <c r="AH59" i="1" s="1" a="1"/>
  <c r="AH59" i="1" s="1"/>
  <c r="AE60" i="1" a="1"/>
  <c r="AE60" i="1" s="1"/>
  <c r="AH60" i="1" s="1" a="1"/>
  <c r="AH60" i="1" s="1"/>
  <c r="AE61" i="1" a="1"/>
  <c r="AE61" i="1" s="1"/>
  <c r="AH61" i="1" s="1" a="1"/>
  <c r="AH61" i="1" s="1"/>
  <c r="AE62" i="1" a="1"/>
  <c r="AE62" i="1" s="1"/>
  <c r="AH62" i="1" s="1" a="1"/>
  <c r="AH62" i="1" s="1"/>
  <c r="AE63" i="1" a="1"/>
  <c r="AE63" i="1" s="1"/>
  <c r="AH63" i="1" s="1" a="1"/>
  <c r="AH63" i="1" s="1"/>
  <c r="AE64" i="1" a="1"/>
  <c r="AE64" i="1" s="1"/>
  <c r="AH64" i="1" s="1" a="1"/>
  <c r="AH64" i="1" s="1"/>
  <c r="AE65" i="1" a="1"/>
  <c r="AE65" i="1" s="1"/>
  <c r="AH65" i="1" s="1" a="1"/>
  <c r="AH65" i="1" s="1"/>
  <c r="AE66" i="1" a="1"/>
  <c r="AE66" i="1" s="1"/>
  <c r="AH66" i="1" s="1" a="1"/>
  <c r="AH66" i="1" s="1"/>
  <c r="AE67" i="1" a="1"/>
  <c r="AE67" i="1" s="1"/>
  <c r="AH67" i="1" s="1" a="1"/>
  <c r="AH67" i="1" s="1"/>
  <c r="AE68" i="1" a="1"/>
  <c r="AE68" i="1" s="1"/>
  <c r="AH68" i="1" s="1" a="1"/>
  <c r="AH68" i="1" s="1"/>
  <c r="AE69" i="1" a="1"/>
  <c r="AE69" i="1" s="1"/>
  <c r="AH69" i="1" s="1" a="1"/>
  <c r="AH69" i="1" s="1"/>
  <c r="AE70" i="1" a="1"/>
  <c r="AE70" i="1" s="1"/>
  <c r="AH70" i="1" s="1" a="1"/>
  <c r="AH70" i="1" s="1"/>
  <c r="AE71" i="1" a="1"/>
  <c r="AE71" i="1" s="1"/>
  <c r="AH71" i="1" s="1" a="1"/>
  <c r="AH71" i="1" s="1"/>
  <c r="AE72" i="1" a="1"/>
  <c r="AE72" i="1" s="1"/>
  <c r="AH72" i="1" s="1" a="1"/>
  <c r="AH72" i="1" s="1"/>
  <c r="AE73" i="1" a="1"/>
  <c r="AE73" i="1" s="1"/>
  <c r="AH73" i="1" s="1" a="1"/>
  <c r="AH73" i="1" s="1"/>
  <c r="AE74" i="1" a="1"/>
  <c r="AE74" i="1" s="1"/>
  <c r="AH74" i="1" s="1" a="1"/>
  <c r="AH74" i="1" s="1"/>
  <c r="AE75" i="1" a="1"/>
  <c r="AE75" i="1" s="1"/>
  <c r="AH75" i="1" s="1" a="1"/>
  <c r="AH75" i="1" s="1"/>
  <c r="AE76" i="1" a="1"/>
  <c r="AE76" i="1" s="1"/>
  <c r="AH76" i="1" s="1" a="1"/>
  <c r="AH76" i="1" s="1"/>
  <c r="AE77" i="1" a="1"/>
  <c r="AE77" i="1" s="1"/>
  <c r="AH77" i="1" s="1" a="1"/>
  <c r="AH77" i="1" s="1"/>
  <c r="AE78" i="1" a="1"/>
  <c r="AE78" i="1" s="1"/>
  <c r="AH78" i="1" s="1" a="1"/>
  <c r="AH78" i="1" s="1"/>
  <c r="AE79" i="1" a="1"/>
  <c r="AE79" i="1" s="1"/>
  <c r="AH79" i="1" s="1" a="1"/>
  <c r="AH79" i="1" s="1"/>
  <c r="AE80" i="1" a="1"/>
  <c r="AE80" i="1" s="1"/>
  <c r="AH80" i="1" s="1" a="1"/>
  <c r="AH80" i="1" s="1"/>
  <c r="AE81" i="1" a="1"/>
  <c r="AE81" i="1" s="1"/>
  <c r="AH81" i="1" s="1" a="1"/>
  <c r="AH81" i="1" s="1"/>
  <c r="AE82" i="1" a="1"/>
  <c r="AE82" i="1" s="1"/>
  <c r="AH82" i="1" s="1" a="1"/>
  <c r="AH82" i="1" s="1"/>
  <c r="AE83" i="1" a="1"/>
  <c r="AE83" i="1" s="1"/>
  <c r="AH83" i="1" s="1" a="1"/>
  <c r="AH83" i="1" s="1"/>
  <c r="AE84" i="1" a="1"/>
  <c r="AE84" i="1" s="1"/>
  <c r="AH84" i="1" s="1" a="1"/>
  <c r="AH84" i="1" s="1"/>
  <c r="AE85" i="1" a="1"/>
  <c r="AE85" i="1" s="1"/>
  <c r="AH85" i="1" s="1" a="1"/>
  <c r="AH85" i="1" s="1"/>
  <c r="AE86" i="1" a="1"/>
  <c r="AE86" i="1" s="1"/>
  <c r="AH86" i="1" s="1" a="1"/>
  <c r="AH86" i="1" s="1"/>
  <c r="AE87" i="1" a="1"/>
  <c r="AE87" i="1" s="1"/>
  <c r="AH87" i="1" s="1" a="1"/>
  <c r="AH87" i="1" s="1"/>
  <c r="AE88" i="1" a="1"/>
  <c r="AE88" i="1" s="1"/>
  <c r="AH88" i="1" s="1" a="1"/>
  <c r="AH88" i="1" s="1"/>
  <c r="AE89" i="1" a="1"/>
  <c r="AE89" i="1" s="1"/>
  <c r="AH89" i="1" s="1" a="1"/>
  <c r="AH89" i="1" s="1"/>
  <c r="AE90" i="1" a="1"/>
  <c r="AE90" i="1" s="1"/>
  <c r="AH90" i="1" s="1" a="1"/>
  <c r="AH90" i="1" s="1"/>
  <c r="AE91" i="1" a="1"/>
  <c r="AE91" i="1" s="1"/>
  <c r="AH91" i="1" s="1" a="1"/>
  <c r="AH91" i="1" s="1"/>
  <c r="AE92" i="1" a="1"/>
  <c r="AE92" i="1" s="1"/>
  <c r="AH92" i="1" s="1" a="1"/>
  <c r="AH92" i="1" s="1"/>
  <c r="AE93" i="1" a="1"/>
  <c r="AE93" i="1" s="1"/>
  <c r="AH93" i="1" s="1" a="1"/>
  <c r="AH93" i="1" s="1"/>
  <c r="AE94" i="1" a="1"/>
  <c r="AE94" i="1" s="1"/>
  <c r="AH94" i="1" s="1" a="1"/>
  <c r="AH94" i="1" s="1"/>
  <c r="AE95" i="1" a="1"/>
  <c r="AE95" i="1" s="1"/>
  <c r="AH95" i="1" s="1" a="1"/>
  <c r="AH95" i="1" s="1"/>
  <c r="AE96" i="1" a="1"/>
  <c r="AE96" i="1" s="1"/>
  <c r="AH96" i="1" s="1" a="1"/>
  <c r="AH96" i="1" s="1"/>
  <c r="AE97" i="1" a="1"/>
  <c r="AE97" i="1" s="1"/>
  <c r="AH97" i="1" s="1" a="1"/>
  <c r="AH97" i="1" s="1"/>
  <c r="AE98" i="1" a="1"/>
  <c r="AE98" i="1" s="1"/>
  <c r="AH98" i="1" s="1" a="1"/>
  <c r="AH98" i="1" s="1"/>
  <c r="AE99" i="1" a="1"/>
  <c r="AE99" i="1" s="1"/>
  <c r="AH99" i="1" s="1" a="1"/>
  <c r="AH99" i="1" s="1"/>
  <c r="AE100" i="1" a="1"/>
  <c r="AE100" i="1" s="1"/>
  <c r="AH100" i="1" s="1" a="1"/>
  <c r="AH100" i="1" s="1"/>
  <c r="AE101" i="1" a="1"/>
  <c r="AE101" i="1" s="1"/>
  <c r="AH101" i="1" s="1" a="1"/>
  <c r="AH101" i="1" s="1"/>
  <c r="AE102" i="1" a="1"/>
  <c r="AE102" i="1" s="1"/>
  <c r="AH102" i="1" s="1" a="1"/>
  <c r="AH102" i="1" s="1"/>
  <c r="AE103" i="1" a="1"/>
  <c r="AE103" i="1" s="1"/>
  <c r="AH103" i="1" s="1" a="1"/>
  <c r="AH103" i="1" s="1"/>
  <c r="AE104" i="1" a="1"/>
  <c r="AE104" i="1" s="1"/>
  <c r="AH104" i="1" s="1" a="1"/>
  <c r="AH104" i="1" s="1"/>
  <c r="AE105" i="1" a="1"/>
  <c r="AE105" i="1" s="1"/>
  <c r="AH105" i="1" s="1" a="1"/>
  <c r="AH105" i="1" s="1"/>
  <c r="AE106" i="1" a="1"/>
  <c r="AE106" i="1" s="1"/>
  <c r="AH106" i="1" s="1" a="1"/>
  <c r="AH106" i="1" s="1"/>
  <c r="AE107" i="1" a="1"/>
  <c r="AE107" i="1" s="1"/>
  <c r="AH107" i="1" s="1" a="1"/>
  <c r="AH107" i="1" s="1"/>
  <c r="AE108" i="1" a="1"/>
  <c r="AE108" i="1" s="1"/>
  <c r="AH108" i="1" s="1" a="1"/>
  <c r="AH108" i="1" s="1"/>
  <c r="AE109" i="1" a="1"/>
  <c r="AE109" i="1" s="1"/>
  <c r="AH109" i="1" s="1" a="1"/>
  <c r="AH109" i="1" s="1"/>
  <c r="AE110" i="1" a="1"/>
  <c r="AE110" i="1" s="1"/>
  <c r="AH110" i="1" s="1" a="1"/>
  <c r="AH110" i="1" s="1"/>
  <c r="AE111" i="1" a="1"/>
  <c r="AE111" i="1" s="1"/>
  <c r="AH111" i="1" s="1" a="1"/>
  <c r="AH111" i="1" s="1"/>
  <c r="AE112" i="1" a="1"/>
  <c r="AE112" i="1" s="1"/>
  <c r="AH112" i="1" s="1" a="1"/>
  <c r="AH112" i="1" s="1"/>
  <c r="AE113" i="1" a="1"/>
  <c r="AE113" i="1" s="1"/>
  <c r="AH113" i="1" s="1" a="1"/>
  <c r="AH113" i="1" s="1"/>
  <c r="AE114" i="1" a="1"/>
  <c r="AE114" i="1" s="1"/>
  <c r="AH114" i="1" s="1" a="1"/>
  <c r="AH114" i="1" s="1"/>
  <c r="AE115" i="1" a="1"/>
  <c r="AE115" i="1" s="1"/>
  <c r="AH115" i="1" s="1" a="1"/>
  <c r="AH115" i="1" s="1"/>
  <c r="AE116" i="1" a="1"/>
  <c r="AE116" i="1" s="1"/>
  <c r="AH116" i="1" s="1" a="1"/>
  <c r="AH116" i="1" s="1"/>
  <c r="AE117" i="1" a="1"/>
  <c r="AE117" i="1" s="1"/>
  <c r="AH117" i="1" s="1" a="1"/>
  <c r="AH117" i="1" s="1"/>
  <c r="AE118" i="1" a="1"/>
  <c r="AE118" i="1" s="1"/>
  <c r="AH118" i="1" s="1" a="1"/>
  <c r="AH118" i="1" s="1"/>
  <c r="AE119" i="1" a="1"/>
  <c r="AE119" i="1" s="1"/>
  <c r="AH119" i="1" s="1" a="1"/>
  <c r="AH119" i="1" s="1"/>
  <c r="AE120" i="1" a="1"/>
  <c r="AE120" i="1" s="1"/>
  <c r="AH120" i="1" s="1" a="1"/>
  <c r="AH120" i="1" s="1"/>
  <c r="AE121" i="1" a="1"/>
  <c r="AE121" i="1" s="1"/>
  <c r="AH121" i="1" s="1" a="1"/>
  <c r="AH121" i="1" s="1"/>
  <c r="AE122" i="1" a="1"/>
  <c r="AE122" i="1" s="1"/>
  <c r="AH122" i="1" s="1" a="1"/>
  <c r="AH122" i="1" s="1"/>
  <c r="AE123" i="1" a="1"/>
  <c r="AE123" i="1" s="1"/>
  <c r="AH123" i="1" s="1" a="1"/>
  <c r="AH123" i="1" s="1"/>
  <c r="AE124" i="1" a="1"/>
  <c r="AE124" i="1" s="1"/>
  <c r="AH124" i="1" s="1" a="1"/>
  <c r="AH124" i="1" s="1"/>
  <c r="AE125" i="1" a="1"/>
  <c r="AE125" i="1" s="1"/>
  <c r="AH125" i="1" s="1" a="1"/>
  <c r="AH125" i="1" s="1"/>
  <c r="AE126" i="1" a="1"/>
  <c r="AE126" i="1" s="1"/>
  <c r="AH126" i="1" s="1" a="1"/>
  <c r="AH126" i="1" s="1"/>
  <c r="AE127" i="1" a="1"/>
  <c r="AE127" i="1" s="1"/>
  <c r="AH127" i="1" s="1" a="1"/>
  <c r="AH127" i="1" s="1"/>
  <c r="AE128" i="1" a="1"/>
  <c r="AE128" i="1" s="1"/>
  <c r="AH128" i="1" s="1" a="1"/>
  <c r="AH128" i="1" s="1"/>
  <c r="AE129" i="1" a="1"/>
  <c r="AE129" i="1" s="1"/>
  <c r="AH129" i="1" s="1" a="1"/>
  <c r="AH129" i="1" s="1"/>
  <c r="AE130" i="1" a="1"/>
  <c r="AE130" i="1" s="1"/>
  <c r="AH130" i="1" s="1" a="1"/>
  <c r="AH130" i="1" s="1"/>
  <c r="AE131" i="1" a="1"/>
  <c r="AE131" i="1" s="1"/>
  <c r="AH131" i="1" s="1" a="1"/>
  <c r="AH131" i="1" s="1"/>
  <c r="AE132" i="1" a="1"/>
  <c r="AE132" i="1" s="1"/>
  <c r="AH132" i="1" s="1" a="1"/>
  <c r="AH132" i="1" s="1"/>
  <c r="AE133" i="1" a="1"/>
  <c r="AE133" i="1" s="1"/>
  <c r="AH133" i="1" s="1" a="1"/>
  <c r="AH133" i="1" s="1"/>
  <c r="AE134" i="1" a="1"/>
  <c r="AE134" i="1" s="1"/>
  <c r="AH134" i="1" s="1" a="1"/>
  <c r="AH134" i="1" s="1"/>
  <c r="AE135" i="1" a="1"/>
  <c r="AE135" i="1" s="1"/>
  <c r="AH135" i="1" s="1" a="1"/>
  <c r="AH135" i="1" s="1"/>
  <c r="AE136" i="1" a="1"/>
  <c r="AE136" i="1" s="1"/>
  <c r="AH136" i="1" s="1" a="1"/>
  <c r="AH136" i="1" s="1"/>
  <c r="AE137" i="1" a="1"/>
  <c r="AE137" i="1" s="1"/>
  <c r="AH137" i="1" s="1" a="1"/>
  <c r="AH137" i="1" s="1"/>
  <c r="AE138" i="1" a="1"/>
  <c r="AE138" i="1" s="1"/>
  <c r="AH138" i="1" s="1" a="1"/>
  <c r="AH138" i="1" s="1"/>
  <c r="AE139" i="1" a="1"/>
  <c r="AE139" i="1" s="1"/>
  <c r="AH139" i="1" s="1" a="1"/>
  <c r="AH139" i="1" s="1"/>
  <c r="AE140" i="1" a="1"/>
  <c r="AE140" i="1" s="1"/>
  <c r="AH140" i="1" s="1" a="1"/>
  <c r="AH140" i="1" s="1"/>
  <c r="AE141" i="1" a="1"/>
  <c r="AE141" i="1" s="1"/>
  <c r="AH141" i="1" s="1" a="1"/>
  <c r="AH141" i="1" s="1"/>
  <c r="AE142" i="1" a="1"/>
  <c r="AE142" i="1" s="1"/>
  <c r="AH142" i="1" s="1" a="1"/>
  <c r="AH142" i="1" s="1"/>
  <c r="AE143" i="1" a="1"/>
  <c r="AE143" i="1" s="1"/>
  <c r="AH143" i="1" s="1" a="1"/>
  <c r="AH143" i="1" s="1"/>
  <c r="AE144" i="1" a="1"/>
  <c r="AE144" i="1" s="1"/>
  <c r="AH144" i="1" s="1" a="1"/>
  <c r="AH144" i="1" s="1"/>
  <c r="AE145" i="1" a="1"/>
  <c r="AE145" i="1" s="1"/>
  <c r="AH145" i="1" s="1" a="1"/>
  <c r="AH145" i="1" s="1"/>
  <c r="AE146" i="1" a="1"/>
  <c r="AE146" i="1" s="1"/>
  <c r="AH146" i="1" s="1" a="1"/>
  <c r="AH146" i="1" s="1"/>
  <c r="AE147" i="1" a="1"/>
  <c r="AE147" i="1" s="1"/>
  <c r="AH147" i="1" s="1" a="1"/>
  <c r="AH147" i="1" s="1"/>
  <c r="AE148" i="1" a="1"/>
  <c r="AE148" i="1" s="1"/>
  <c r="AH148" i="1" s="1" a="1"/>
  <c r="AH148" i="1" s="1"/>
  <c r="AE149" i="1" a="1"/>
  <c r="AE149" i="1" s="1"/>
  <c r="AH149" i="1" s="1" a="1"/>
  <c r="AH149" i="1" s="1"/>
  <c r="AE150" i="1" a="1"/>
  <c r="AE150" i="1" s="1"/>
  <c r="AH150" i="1" s="1" a="1"/>
  <c r="AH150" i="1" s="1"/>
  <c r="AE151" i="1" a="1"/>
  <c r="AE151" i="1" s="1"/>
  <c r="AH151" i="1" s="1" a="1"/>
  <c r="AH151" i="1" s="1"/>
  <c r="AE152" i="1" a="1"/>
  <c r="AE152" i="1" s="1"/>
  <c r="AH152" i="1" s="1" a="1"/>
  <c r="AH152" i="1" s="1"/>
  <c r="AE153" i="1" a="1"/>
  <c r="AE153" i="1" s="1"/>
  <c r="AH153" i="1" s="1" a="1"/>
  <c r="AH153" i="1" s="1"/>
  <c r="AE154" i="1" a="1"/>
  <c r="AE154" i="1" s="1"/>
  <c r="AH154" i="1" s="1" a="1"/>
  <c r="AH154" i="1" s="1"/>
  <c r="AE155" i="1" a="1"/>
  <c r="AE155" i="1" s="1"/>
  <c r="AH155" i="1" s="1" a="1"/>
  <c r="AH155" i="1" s="1"/>
  <c r="AE156" i="1" a="1"/>
  <c r="AE156" i="1" s="1"/>
  <c r="AH156" i="1" s="1" a="1"/>
  <c r="AH156" i="1" s="1"/>
  <c r="AE157" i="1" a="1"/>
  <c r="AE157" i="1" s="1"/>
  <c r="AH157" i="1" s="1" a="1"/>
  <c r="AH157" i="1" s="1"/>
  <c r="AE158" i="1" a="1"/>
  <c r="AE158" i="1" s="1"/>
  <c r="AH158" i="1" s="1" a="1"/>
  <c r="AH158" i="1" s="1"/>
  <c r="AE159" i="1" a="1"/>
  <c r="AE159" i="1" s="1"/>
  <c r="AH159" i="1" s="1" a="1"/>
  <c r="AH159" i="1" s="1"/>
  <c r="AE160" i="1" a="1"/>
  <c r="AE160" i="1" s="1"/>
  <c r="AH160" i="1" s="1" a="1"/>
  <c r="AH160" i="1" s="1"/>
  <c r="AE161" i="1" a="1"/>
  <c r="AE161" i="1" s="1"/>
  <c r="AH161" i="1" s="1" a="1"/>
  <c r="AH161" i="1" s="1"/>
  <c r="AE162" i="1" a="1"/>
  <c r="AE162" i="1" s="1"/>
  <c r="AH162" i="1" s="1" a="1"/>
  <c r="AH162" i="1" s="1"/>
  <c r="AE163" i="1" a="1"/>
  <c r="AE163" i="1" s="1"/>
  <c r="AH163" i="1" s="1" a="1"/>
  <c r="AH163" i="1" s="1"/>
  <c r="AE164" i="1" a="1"/>
  <c r="AE164" i="1" s="1"/>
  <c r="AH164" i="1" s="1" a="1"/>
  <c r="AH164" i="1" s="1"/>
  <c r="AE165" i="1" a="1"/>
  <c r="AE165" i="1" s="1"/>
  <c r="AH165" i="1" s="1" a="1"/>
  <c r="AH165" i="1" s="1"/>
  <c r="AE166" i="1" a="1"/>
  <c r="AE166" i="1" s="1"/>
  <c r="AH166" i="1" s="1" a="1"/>
  <c r="AH166" i="1" s="1"/>
  <c r="AE167" i="1" a="1"/>
  <c r="AE167" i="1" s="1"/>
  <c r="AH167" i="1" s="1" a="1"/>
  <c r="AH167" i="1" s="1"/>
  <c r="AE168" i="1" a="1"/>
  <c r="AE168" i="1" s="1"/>
  <c r="AH168" i="1" s="1" a="1"/>
  <c r="AH168" i="1" s="1"/>
  <c r="AE169" i="1" a="1"/>
  <c r="AE169" i="1" s="1"/>
  <c r="AH169" i="1" s="1" a="1"/>
  <c r="AH169" i="1" s="1"/>
  <c r="AE170" i="1" a="1"/>
  <c r="AE170" i="1" s="1"/>
  <c r="AH170" i="1" s="1" a="1"/>
  <c r="AH170" i="1" s="1"/>
  <c r="AE171" i="1" a="1"/>
  <c r="AE171" i="1" s="1"/>
  <c r="AH171" i="1" s="1" a="1"/>
  <c r="AH171" i="1" s="1"/>
  <c r="AE172" i="1" a="1"/>
  <c r="AE172" i="1" s="1"/>
  <c r="AH172" i="1" s="1" a="1"/>
  <c r="AH172" i="1" s="1"/>
  <c r="AE173" i="1" a="1"/>
  <c r="AE173" i="1" s="1"/>
  <c r="AH173" i="1" s="1" a="1"/>
  <c r="AH173" i="1" s="1"/>
  <c r="AE174" i="1" a="1"/>
  <c r="AE174" i="1" s="1"/>
  <c r="AH174" i="1" s="1" a="1"/>
  <c r="AH174" i="1" s="1"/>
  <c r="AE175" i="1" a="1"/>
  <c r="AE175" i="1" s="1"/>
  <c r="AH175" i="1" s="1" a="1"/>
  <c r="AH175" i="1" s="1"/>
  <c r="AE176" i="1" a="1"/>
  <c r="AE176" i="1" s="1"/>
  <c r="AH176" i="1" s="1" a="1"/>
  <c r="AH176" i="1" s="1"/>
  <c r="AE177" i="1" a="1"/>
  <c r="AE177" i="1" s="1"/>
  <c r="AH177" i="1" s="1" a="1"/>
  <c r="AH177" i="1" s="1"/>
  <c r="AE178" i="1" a="1"/>
  <c r="AE178" i="1" s="1"/>
  <c r="AH178" i="1" s="1" a="1"/>
  <c r="AH178" i="1" s="1"/>
  <c r="AE179" i="1" a="1"/>
  <c r="AE179" i="1" s="1"/>
  <c r="AH179" i="1" s="1" a="1"/>
  <c r="AH179" i="1" s="1"/>
  <c r="AE180" i="1" a="1"/>
  <c r="AE180" i="1" s="1"/>
  <c r="AH180" i="1" s="1" a="1"/>
  <c r="AH180" i="1" s="1"/>
  <c r="AE181" i="1" a="1"/>
  <c r="AE181" i="1" s="1"/>
  <c r="AH181" i="1" s="1" a="1"/>
  <c r="AH181" i="1" s="1"/>
  <c r="AE182" i="1" a="1"/>
  <c r="AE182" i="1" s="1"/>
  <c r="AH182" i="1" s="1" a="1"/>
  <c r="AH182" i="1" s="1"/>
  <c r="AE183" i="1" a="1"/>
  <c r="AE183" i="1" s="1"/>
  <c r="AH183" i="1" s="1" a="1"/>
  <c r="AH183" i="1" s="1"/>
  <c r="AE184" i="1" a="1"/>
  <c r="AE184" i="1" s="1"/>
  <c r="AH184" i="1" s="1" a="1"/>
  <c r="AH184" i="1" s="1"/>
  <c r="AE185" i="1" a="1"/>
  <c r="AE185" i="1" s="1"/>
  <c r="AH185" i="1" s="1" a="1"/>
  <c r="AH185" i="1" s="1"/>
  <c r="AE186" i="1" a="1"/>
  <c r="AE186" i="1" s="1"/>
  <c r="AH186" i="1" s="1" a="1"/>
  <c r="AH186" i="1" s="1"/>
  <c r="AE187" i="1" a="1"/>
  <c r="AE187" i="1" s="1"/>
  <c r="AH187" i="1" s="1" a="1"/>
  <c r="AH187" i="1" s="1"/>
  <c r="AE188" i="1" a="1"/>
  <c r="AE188" i="1" s="1"/>
  <c r="AH188" i="1" s="1" a="1"/>
  <c r="AH188" i="1" s="1"/>
  <c r="AE189" i="1" a="1"/>
  <c r="AE189" i="1" s="1"/>
  <c r="AH189" i="1" s="1" a="1"/>
  <c r="AH189" i="1" s="1"/>
  <c r="AE190" i="1" a="1"/>
  <c r="AE190" i="1" s="1"/>
  <c r="AH190" i="1" s="1" a="1"/>
  <c r="AH190" i="1" s="1"/>
  <c r="AE191" i="1" a="1"/>
  <c r="AE191" i="1" s="1"/>
  <c r="AH191" i="1" s="1" a="1"/>
  <c r="AH191" i="1" s="1"/>
  <c r="AE192" i="1" a="1"/>
  <c r="AE192" i="1" s="1"/>
  <c r="AH192" i="1" s="1" a="1"/>
  <c r="AH192" i="1" s="1"/>
  <c r="AE193" i="1" a="1"/>
  <c r="AE193" i="1" s="1"/>
  <c r="AH193" i="1" s="1" a="1"/>
  <c r="AH193" i="1" s="1"/>
  <c r="AE194" i="1" a="1"/>
  <c r="AE194" i="1" s="1"/>
  <c r="AH194" i="1" s="1" a="1"/>
  <c r="AH194" i="1" s="1"/>
  <c r="AE195" i="1" a="1"/>
  <c r="AE195" i="1" s="1"/>
  <c r="AH195" i="1" s="1" a="1"/>
  <c r="AH195" i="1" s="1"/>
  <c r="AE196" i="1" a="1"/>
  <c r="AE196" i="1" s="1"/>
  <c r="AH196" i="1" s="1" a="1"/>
  <c r="AH196" i="1" s="1"/>
  <c r="AE197" i="1" a="1"/>
  <c r="AE197" i="1" s="1"/>
  <c r="AH197" i="1" s="1" a="1"/>
  <c r="AH197" i="1" s="1"/>
  <c r="AE198" i="1" a="1"/>
  <c r="AE198" i="1" s="1"/>
  <c r="AH198" i="1" s="1" a="1"/>
  <c r="AH198" i="1" s="1"/>
  <c r="AE199" i="1" a="1"/>
  <c r="AE199" i="1" s="1"/>
  <c r="AH199" i="1" s="1" a="1"/>
  <c r="AH199" i="1" s="1"/>
  <c r="AE200" i="1" a="1"/>
  <c r="AE200" i="1" s="1"/>
  <c r="AH200" i="1" s="1" a="1"/>
  <c r="AH200" i="1" s="1"/>
  <c r="AE201" i="1" a="1"/>
  <c r="AE201" i="1" s="1"/>
  <c r="AH201" i="1" s="1" a="1"/>
  <c r="AH201" i="1" s="1"/>
  <c r="AE202" i="1" a="1"/>
  <c r="AE202" i="1" s="1"/>
  <c r="AH202" i="1" s="1" a="1"/>
  <c r="AH202" i="1" s="1"/>
  <c r="AE203" i="1" a="1"/>
  <c r="AE203" i="1" s="1"/>
  <c r="AH203" i="1" s="1" a="1"/>
  <c r="AH203" i="1" s="1"/>
  <c r="AE204" i="1" a="1"/>
  <c r="AE204" i="1" s="1"/>
  <c r="AH204" i="1" s="1" a="1"/>
  <c r="AH204" i="1" s="1"/>
  <c r="AE205" i="1" a="1"/>
  <c r="AE205" i="1" s="1"/>
  <c r="AH205" i="1" s="1" a="1"/>
  <c r="AH205" i="1" s="1"/>
  <c r="AE206" i="1" a="1"/>
  <c r="AE206" i="1" s="1"/>
  <c r="AH206" i="1" s="1" a="1"/>
  <c r="AH206" i="1" s="1"/>
  <c r="AE207" i="1" a="1"/>
  <c r="AE207" i="1" s="1"/>
  <c r="AH207" i="1" s="1" a="1"/>
  <c r="AH207" i="1" s="1"/>
  <c r="AE208" i="1" a="1"/>
  <c r="AE208" i="1" s="1"/>
  <c r="AH208" i="1" s="1" a="1"/>
  <c r="AH208" i="1" s="1"/>
  <c r="AE209" i="1" a="1"/>
  <c r="AE209" i="1" s="1"/>
  <c r="AH209" i="1" s="1" a="1"/>
  <c r="AH209" i="1" s="1"/>
  <c r="AE210" i="1" a="1"/>
  <c r="AE210" i="1" s="1"/>
  <c r="AH210" i="1" s="1" a="1"/>
  <c r="AH210" i="1" s="1"/>
  <c r="AE211" i="1" a="1"/>
  <c r="AE211" i="1" s="1"/>
  <c r="AH211" i="1" s="1" a="1"/>
  <c r="AH211" i="1" s="1"/>
  <c r="AE212" i="1" a="1"/>
  <c r="AE212" i="1" s="1"/>
  <c r="AH212" i="1" s="1" a="1"/>
  <c r="AH212" i="1" s="1"/>
  <c r="AE213" i="1" a="1"/>
  <c r="AE213" i="1" s="1"/>
  <c r="AH213" i="1" s="1" a="1"/>
  <c r="AH213" i="1" s="1"/>
  <c r="AE214" i="1" a="1"/>
  <c r="AE214" i="1" s="1"/>
  <c r="AH214" i="1" s="1" a="1"/>
  <c r="AH214" i="1" s="1"/>
  <c r="AE215" i="1" a="1"/>
  <c r="AE215" i="1" s="1"/>
  <c r="AH215" i="1" s="1" a="1"/>
  <c r="AH215" i="1" s="1"/>
  <c r="AE216" i="1" a="1"/>
  <c r="AE216" i="1" s="1"/>
  <c r="AH216" i="1" s="1" a="1"/>
  <c r="AH216" i="1" s="1"/>
  <c r="AE217" i="1" a="1"/>
  <c r="AE217" i="1" s="1"/>
  <c r="AH217" i="1" s="1" a="1"/>
  <c r="AH217" i="1" s="1"/>
  <c r="AE218" i="1" a="1"/>
  <c r="AE218" i="1" s="1"/>
  <c r="AH218" i="1" s="1" a="1"/>
  <c r="AH218" i="1" s="1"/>
  <c r="AE219" i="1" a="1"/>
  <c r="AE219" i="1" s="1"/>
  <c r="AH219" i="1" s="1" a="1"/>
  <c r="AH219" i="1" s="1"/>
  <c r="AE220" i="1" a="1"/>
  <c r="AE220" i="1" s="1"/>
  <c r="AH220" i="1" s="1" a="1"/>
  <c r="AH220" i="1" s="1"/>
  <c r="AE221" i="1" a="1"/>
  <c r="AE221" i="1" s="1"/>
  <c r="AH221" i="1" s="1" a="1"/>
  <c r="AH221" i="1" s="1"/>
  <c r="AE222" i="1" a="1"/>
  <c r="AE222" i="1" s="1"/>
  <c r="AH222" i="1" s="1" a="1"/>
  <c r="AH222" i="1" s="1"/>
  <c r="AE223" i="1" a="1"/>
  <c r="AE223" i="1" s="1"/>
  <c r="AH223" i="1" s="1" a="1"/>
  <c r="AH223" i="1" s="1"/>
  <c r="AE224" i="1" a="1"/>
  <c r="AE224" i="1" s="1"/>
  <c r="AH224" i="1" s="1" a="1"/>
  <c r="AH224" i="1" s="1"/>
  <c r="AE225" i="1" a="1"/>
  <c r="AE225" i="1" s="1"/>
  <c r="AH225" i="1" s="1" a="1"/>
  <c r="AH225" i="1" s="1"/>
  <c r="AE226" i="1" a="1"/>
  <c r="AE226" i="1" s="1"/>
  <c r="AH226" i="1" s="1" a="1"/>
  <c r="AH226" i="1" s="1"/>
  <c r="AE227" i="1" a="1"/>
  <c r="AE227" i="1" s="1"/>
  <c r="AH227" i="1" s="1" a="1"/>
  <c r="AH227" i="1" s="1"/>
  <c r="AE228" i="1" a="1"/>
  <c r="AE228" i="1" s="1"/>
  <c r="AH228" i="1" s="1" a="1"/>
  <c r="AH228" i="1" s="1"/>
  <c r="AE229" i="1" a="1"/>
  <c r="AE229" i="1" s="1"/>
  <c r="AH229" i="1" s="1" a="1"/>
  <c r="AH229" i="1" s="1"/>
  <c r="AE230" i="1" a="1"/>
  <c r="AE230" i="1" s="1"/>
  <c r="AH230" i="1" s="1" a="1"/>
  <c r="AH230" i="1" s="1"/>
  <c r="AE231" i="1" a="1"/>
  <c r="AE231" i="1" s="1"/>
  <c r="AH231" i="1" s="1" a="1"/>
  <c r="AH231" i="1" s="1"/>
  <c r="AE232" i="1" a="1"/>
  <c r="AE232" i="1" s="1"/>
  <c r="AH232" i="1" s="1" a="1"/>
  <c r="AH232" i="1" s="1"/>
  <c r="AE233" i="1" a="1"/>
  <c r="AE233" i="1" s="1"/>
  <c r="AH233" i="1" s="1" a="1"/>
  <c r="AH233" i="1" s="1"/>
  <c r="AE234" i="1" a="1"/>
  <c r="AE234" i="1" s="1"/>
  <c r="AH234" i="1" s="1" a="1"/>
  <c r="AH234" i="1" s="1"/>
  <c r="AE235" i="1" a="1"/>
  <c r="AE235" i="1" s="1"/>
  <c r="AH235" i="1" s="1" a="1"/>
  <c r="AH235" i="1" s="1"/>
  <c r="AE236" i="1" a="1"/>
  <c r="AE236" i="1" s="1"/>
  <c r="AH236" i="1" s="1" a="1"/>
  <c r="AH236" i="1" s="1"/>
  <c r="AE237" i="1" a="1"/>
  <c r="AE237" i="1" s="1"/>
  <c r="AH237" i="1" s="1" a="1"/>
  <c r="AH237" i="1" s="1"/>
  <c r="AE238" i="1" a="1"/>
  <c r="AE238" i="1" s="1"/>
  <c r="AH238" i="1" s="1" a="1"/>
  <c r="AH238" i="1" s="1"/>
  <c r="AE239" i="1" a="1"/>
  <c r="AE239" i="1" s="1"/>
  <c r="AH239" i="1" s="1" a="1"/>
  <c r="AH239" i="1" s="1"/>
  <c r="AE240" i="1" a="1"/>
  <c r="AE240" i="1" s="1"/>
  <c r="AH240" i="1" s="1" a="1"/>
  <c r="AH240" i="1" s="1"/>
  <c r="AE241" i="1" a="1"/>
  <c r="AE241" i="1" s="1"/>
  <c r="AH241" i="1" s="1" a="1"/>
  <c r="AH241" i="1" s="1"/>
  <c r="AE242" i="1" a="1"/>
  <c r="AE242" i="1" s="1"/>
  <c r="AH242" i="1" s="1" a="1"/>
  <c r="AH242" i="1" s="1"/>
  <c r="AE243" i="1" a="1"/>
  <c r="AE243" i="1" s="1"/>
  <c r="AH243" i="1" s="1" a="1"/>
  <c r="AH243" i="1" s="1"/>
  <c r="AE244" i="1" a="1"/>
  <c r="AE244" i="1" s="1"/>
  <c r="AH244" i="1" s="1" a="1"/>
  <c r="AH244" i="1" s="1"/>
  <c r="AE245" i="1" a="1"/>
  <c r="AE245" i="1" s="1"/>
  <c r="AH245" i="1" s="1" a="1"/>
  <c r="AH245" i="1" s="1"/>
  <c r="AE246" i="1" a="1"/>
  <c r="AE246" i="1" s="1"/>
  <c r="AH246" i="1" s="1" a="1"/>
  <c r="AH246" i="1" s="1"/>
  <c r="AE247" i="1" a="1"/>
  <c r="AE247" i="1" s="1"/>
  <c r="AH247" i="1" s="1" a="1"/>
  <c r="AH247" i="1" s="1"/>
  <c r="AE248" i="1" a="1"/>
  <c r="AE248" i="1" s="1"/>
  <c r="AH248" i="1" s="1" a="1"/>
  <c r="AH248" i="1" s="1"/>
  <c r="AE249" i="1" a="1"/>
  <c r="AE249" i="1" s="1"/>
  <c r="AH249" i="1" s="1" a="1"/>
  <c r="AH249" i="1" s="1"/>
  <c r="AE250" i="1" a="1"/>
  <c r="AE250" i="1" s="1"/>
  <c r="AH250" i="1" s="1" a="1"/>
  <c r="AH250" i="1" s="1"/>
  <c r="AE251" i="1" a="1"/>
  <c r="AE251" i="1" s="1"/>
  <c r="AH251" i="1" s="1" a="1"/>
  <c r="AH251" i="1" s="1"/>
  <c r="AE252" i="1" a="1"/>
  <c r="AE252" i="1" s="1"/>
  <c r="AH252" i="1" s="1" a="1"/>
  <c r="AH252" i="1" s="1"/>
  <c r="AE253" i="1" a="1"/>
  <c r="AE253" i="1" s="1"/>
  <c r="AH253" i="1" s="1" a="1"/>
  <c r="AH253" i="1" s="1"/>
  <c r="AE254" i="1" a="1"/>
  <c r="AE254" i="1" s="1"/>
  <c r="AH254" i="1" s="1" a="1"/>
  <c r="AH254" i="1" s="1"/>
  <c r="AE255" i="1" a="1"/>
  <c r="AE255" i="1" s="1"/>
  <c r="AH255" i="1" s="1" a="1"/>
  <c r="AH255" i="1" s="1"/>
  <c r="AE256" i="1" a="1"/>
  <c r="AE256" i="1" s="1"/>
  <c r="AH256" i="1" s="1" a="1"/>
  <c r="AH256" i="1" s="1"/>
  <c r="AE257" i="1" a="1"/>
  <c r="AE257" i="1" s="1"/>
  <c r="AH257" i="1" s="1" a="1"/>
  <c r="AH257" i="1" s="1"/>
  <c r="AE258" i="1" a="1"/>
  <c r="AE258" i="1" s="1"/>
  <c r="AH258" i="1" s="1" a="1"/>
  <c r="AH258" i="1" s="1"/>
  <c r="AE259" i="1" a="1"/>
  <c r="AE259" i="1" s="1"/>
  <c r="AH259" i="1" s="1" a="1"/>
  <c r="AH259" i="1" s="1"/>
  <c r="AE260" i="1" a="1"/>
  <c r="AE260" i="1" s="1"/>
  <c r="AH260" i="1" s="1" a="1"/>
  <c r="AH260" i="1" s="1"/>
  <c r="AE261" i="1" a="1"/>
  <c r="AE261" i="1" s="1"/>
  <c r="AH261" i="1" s="1" a="1"/>
  <c r="AH261" i="1" s="1"/>
  <c r="AE262" i="1" a="1"/>
  <c r="AE262" i="1" s="1"/>
  <c r="AH262" i="1" s="1" a="1"/>
  <c r="AH262" i="1" s="1"/>
  <c r="AE263" i="1" a="1"/>
  <c r="AE263" i="1" s="1"/>
  <c r="AH263" i="1" s="1" a="1"/>
  <c r="AH263" i="1" s="1"/>
  <c r="AE264" i="1" a="1"/>
  <c r="AE264" i="1" s="1"/>
  <c r="AH264" i="1" s="1" a="1"/>
  <c r="AH264" i="1" s="1"/>
  <c r="AE265" i="1" a="1"/>
  <c r="AE265" i="1" s="1"/>
  <c r="AH265" i="1" s="1" a="1"/>
  <c r="AH265" i="1" s="1"/>
  <c r="AE266" i="1" a="1"/>
  <c r="AE266" i="1" s="1"/>
  <c r="AH266" i="1" s="1" a="1"/>
  <c r="AH266" i="1" s="1"/>
  <c r="AE267" i="1" a="1"/>
  <c r="AE267" i="1" s="1"/>
  <c r="AH267" i="1" s="1" a="1"/>
  <c r="AH267" i="1" s="1"/>
  <c r="AE268" i="1" a="1"/>
  <c r="AE268" i="1" s="1"/>
  <c r="AH268" i="1" s="1" a="1"/>
  <c r="AH268" i="1" s="1"/>
  <c r="AE269" i="1" a="1"/>
  <c r="AE269" i="1" s="1"/>
  <c r="AH269" i="1" s="1" a="1"/>
  <c r="AH269" i="1" s="1"/>
  <c r="AE270" i="1" a="1"/>
  <c r="AE270" i="1" s="1"/>
  <c r="AH270" i="1" s="1" a="1"/>
  <c r="AH270" i="1" s="1"/>
  <c r="AE271" i="1" a="1"/>
  <c r="AE271" i="1" s="1"/>
  <c r="AH271" i="1" s="1" a="1"/>
  <c r="AH271" i="1" s="1"/>
  <c r="AE272" i="1" a="1"/>
  <c r="AE272" i="1" s="1"/>
  <c r="AH272" i="1" s="1" a="1"/>
  <c r="AH272" i="1" s="1"/>
  <c r="AE273" i="1" a="1"/>
  <c r="AE273" i="1" s="1"/>
  <c r="AH273" i="1" s="1" a="1"/>
  <c r="AH273" i="1" s="1"/>
  <c r="AE274" i="1" a="1"/>
  <c r="AE274" i="1" s="1"/>
  <c r="AH274" i="1" s="1" a="1"/>
  <c r="AH274" i="1" s="1"/>
  <c r="AE275" i="1" a="1"/>
  <c r="AE275" i="1" s="1"/>
  <c r="AH275" i="1" s="1" a="1"/>
  <c r="AH275" i="1" s="1"/>
  <c r="AE276" i="1" a="1"/>
  <c r="AE276" i="1" s="1"/>
  <c r="AH276" i="1" s="1" a="1"/>
  <c r="AH276" i="1" s="1"/>
  <c r="AE277" i="1" a="1"/>
  <c r="AE277" i="1" s="1"/>
  <c r="AH277" i="1" s="1" a="1"/>
  <c r="AH277" i="1" s="1"/>
  <c r="AE278" i="1" a="1"/>
  <c r="AE278" i="1" s="1"/>
  <c r="AH278" i="1" s="1" a="1"/>
  <c r="AH278" i="1" s="1"/>
  <c r="AE279" i="1" a="1"/>
  <c r="AE279" i="1" s="1"/>
  <c r="AH279" i="1" s="1" a="1"/>
  <c r="AH279" i="1" s="1"/>
  <c r="AE280" i="1" a="1"/>
  <c r="AE280" i="1" s="1"/>
  <c r="AH280" i="1" s="1" a="1"/>
  <c r="AH280" i="1" s="1"/>
  <c r="AE281" i="1" a="1"/>
  <c r="AE281" i="1" s="1"/>
  <c r="AH281" i="1" s="1" a="1"/>
  <c r="AH281" i="1" s="1"/>
  <c r="AE282" i="1" a="1"/>
  <c r="AE282" i="1" s="1"/>
  <c r="AH282" i="1" s="1" a="1"/>
  <c r="AH282" i="1" s="1"/>
  <c r="AE283" i="1" a="1"/>
  <c r="AE283" i="1" s="1"/>
  <c r="AH283" i="1" s="1" a="1"/>
  <c r="AH283" i="1" s="1"/>
  <c r="AE284" i="1" a="1"/>
  <c r="AE284" i="1" s="1"/>
  <c r="AH284" i="1" s="1" a="1"/>
  <c r="AH284" i="1" s="1"/>
  <c r="AE285" i="1" a="1"/>
  <c r="AE285" i="1" s="1"/>
  <c r="AH285" i="1" s="1" a="1"/>
  <c r="AH285" i="1" s="1"/>
  <c r="AE286" i="1" a="1"/>
  <c r="AE286" i="1" s="1"/>
  <c r="AH286" i="1" s="1" a="1"/>
  <c r="AH286" i="1" s="1"/>
  <c r="AE287" i="1" a="1"/>
  <c r="AE287" i="1" s="1"/>
  <c r="AH287" i="1" s="1" a="1"/>
  <c r="AH287" i="1" s="1"/>
  <c r="AE288" i="1" a="1"/>
  <c r="AE288" i="1" s="1"/>
  <c r="AH288" i="1" s="1" a="1"/>
  <c r="AH288" i="1" s="1"/>
  <c r="AE289" i="1" a="1"/>
  <c r="AE289" i="1" s="1"/>
  <c r="AH289" i="1" s="1" a="1"/>
  <c r="AH289" i="1" s="1"/>
  <c r="AE290" i="1" a="1"/>
  <c r="AE290" i="1" s="1"/>
  <c r="AH290" i="1" s="1" a="1"/>
  <c r="AH290" i="1" s="1"/>
  <c r="AE291" i="1" a="1"/>
  <c r="AE291" i="1" s="1"/>
  <c r="AH291" i="1" s="1" a="1"/>
  <c r="AH291" i="1" s="1"/>
  <c r="AE292" i="1" a="1"/>
  <c r="AE292" i="1" s="1"/>
  <c r="AH292" i="1" s="1" a="1"/>
  <c r="AH292" i="1" s="1"/>
  <c r="AE293" i="1" a="1"/>
  <c r="AE293" i="1" s="1"/>
  <c r="AH293" i="1" s="1" a="1"/>
  <c r="AH293" i="1" s="1"/>
  <c r="AE294" i="1" a="1"/>
  <c r="AE294" i="1" s="1"/>
  <c r="AH294" i="1" s="1" a="1"/>
  <c r="AH294" i="1" s="1"/>
  <c r="AE295" i="1" a="1"/>
  <c r="AE295" i="1" s="1"/>
  <c r="AH295" i="1" s="1" a="1"/>
  <c r="AH295" i="1" s="1"/>
  <c r="AE296" i="1" a="1"/>
  <c r="AE296" i="1" s="1"/>
  <c r="AH296" i="1" s="1" a="1"/>
  <c r="AH296" i="1" s="1"/>
  <c r="AE297" i="1" a="1"/>
  <c r="AE297" i="1" s="1"/>
  <c r="AH297" i="1" s="1" a="1"/>
  <c r="AH297" i="1" s="1"/>
  <c r="AE298" i="1" a="1"/>
  <c r="AE298" i="1" s="1"/>
  <c r="AH298" i="1" s="1" a="1"/>
  <c r="AH298" i="1" s="1"/>
  <c r="AE299" i="1" a="1"/>
  <c r="AE299" i="1" s="1"/>
  <c r="AH299" i="1" s="1" a="1"/>
  <c r="AH299" i="1" s="1"/>
  <c r="AE300" i="1" a="1"/>
  <c r="AE300" i="1" s="1"/>
  <c r="AH300" i="1" s="1" a="1"/>
  <c r="AH300" i="1" s="1"/>
  <c r="AE301" i="1" a="1"/>
  <c r="AE301" i="1" s="1"/>
  <c r="AH301" i="1" s="1" a="1"/>
  <c r="AH301" i="1" s="1"/>
  <c r="AE302" i="1" a="1"/>
  <c r="AE302" i="1" s="1"/>
  <c r="AH302" i="1" s="1" a="1"/>
  <c r="AH302" i="1" s="1"/>
  <c r="AE303" i="1" a="1"/>
  <c r="AE303" i="1" s="1"/>
  <c r="AH303" i="1" s="1" a="1"/>
  <c r="AH303" i="1" s="1"/>
  <c r="AE304" i="1" a="1"/>
  <c r="AE304" i="1" s="1"/>
  <c r="AH304" i="1" s="1" a="1"/>
  <c r="AH304" i="1" s="1"/>
  <c r="AE305" i="1" a="1"/>
  <c r="AE305" i="1" s="1"/>
  <c r="AH305" i="1" s="1" a="1"/>
  <c r="AH305" i="1" s="1"/>
  <c r="AE306" i="1" a="1"/>
  <c r="AE306" i="1" s="1"/>
  <c r="AH306" i="1" s="1" a="1"/>
  <c r="AH306" i="1" s="1"/>
  <c r="AE307" i="1" a="1"/>
  <c r="AE307" i="1" s="1"/>
  <c r="AH307" i="1" s="1" a="1"/>
  <c r="AH307" i="1" s="1"/>
  <c r="AE308" i="1" a="1"/>
  <c r="AE308" i="1" s="1"/>
  <c r="AH308" i="1" s="1" a="1"/>
  <c r="AH308" i="1" s="1"/>
  <c r="AE309" i="1" a="1"/>
  <c r="AE309" i="1" s="1"/>
  <c r="AH309" i="1" s="1" a="1"/>
  <c r="AH309" i="1" s="1"/>
  <c r="AE310" i="1" a="1"/>
  <c r="AE310" i="1" s="1"/>
  <c r="AH310" i="1" s="1" a="1"/>
  <c r="AH310" i="1" s="1"/>
  <c r="AE311" i="1" a="1"/>
  <c r="AE311" i="1" s="1"/>
  <c r="AH311" i="1" s="1" a="1"/>
  <c r="AH311" i="1" s="1"/>
  <c r="AE312" i="1" a="1"/>
  <c r="AE312" i="1" s="1"/>
  <c r="AH312" i="1" s="1" a="1"/>
  <c r="AH312" i="1" s="1"/>
  <c r="AE313" i="1" a="1"/>
  <c r="AE313" i="1" s="1"/>
  <c r="AH313" i="1" s="1" a="1"/>
  <c r="AH313" i="1" s="1"/>
  <c r="AE314" i="1" a="1"/>
  <c r="AE314" i="1" s="1"/>
  <c r="AH314" i="1" s="1" a="1"/>
  <c r="AH314" i="1" s="1"/>
  <c r="AE315" i="1" a="1"/>
  <c r="AE315" i="1" s="1"/>
  <c r="AH315" i="1" s="1" a="1"/>
  <c r="AH315" i="1" s="1"/>
  <c r="AE316" i="1" a="1"/>
  <c r="AE316" i="1" s="1"/>
  <c r="AH316" i="1" s="1" a="1"/>
  <c r="AH316" i="1" s="1"/>
  <c r="AE317" i="1" a="1"/>
  <c r="AE317" i="1" s="1"/>
  <c r="AH317" i="1" s="1" a="1"/>
  <c r="AH317" i="1" s="1"/>
  <c r="AE318" i="1" a="1"/>
  <c r="AE318" i="1" s="1"/>
  <c r="AH318" i="1" s="1" a="1"/>
  <c r="AH318" i="1" s="1"/>
  <c r="AE319" i="1" a="1"/>
  <c r="AE319" i="1" s="1"/>
  <c r="AH319" i="1" s="1" a="1"/>
  <c r="AH319" i="1" s="1"/>
  <c r="AE320" i="1" a="1"/>
  <c r="AE320" i="1" s="1"/>
  <c r="AH320" i="1" s="1" a="1"/>
  <c r="AH320" i="1" s="1"/>
  <c r="AE321" i="1" a="1"/>
  <c r="AE321" i="1" s="1"/>
  <c r="AH321" i="1" s="1" a="1"/>
  <c r="AH321" i="1" s="1"/>
  <c r="AE322" i="1" a="1"/>
  <c r="AE322" i="1" s="1"/>
  <c r="AH322" i="1" s="1" a="1"/>
  <c r="AH322" i="1" s="1"/>
  <c r="AE323" i="1" a="1"/>
  <c r="AE323" i="1" s="1"/>
  <c r="AH323" i="1" s="1" a="1"/>
  <c r="AH323" i="1" s="1"/>
  <c r="AE324" i="1" a="1"/>
  <c r="AE324" i="1" s="1"/>
  <c r="AH324" i="1" s="1" a="1"/>
  <c r="AH324" i="1" s="1"/>
  <c r="AE325" i="1" a="1"/>
  <c r="AE325" i="1" s="1"/>
  <c r="AH325" i="1" s="1" a="1"/>
  <c r="AH325" i="1" s="1"/>
  <c r="AE326" i="1" a="1"/>
  <c r="AE326" i="1" s="1"/>
  <c r="AH326" i="1" s="1" a="1"/>
  <c r="AH326" i="1" s="1"/>
  <c r="AE327" i="1" a="1"/>
  <c r="AE327" i="1" s="1"/>
  <c r="AH327" i="1" s="1" a="1"/>
  <c r="AH327" i="1" s="1"/>
  <c r="AE328" i="1" a="1"/>
  <c r="AE328" i="1" s="1"/>
  <c r="AH328" i="1" s="1" a="1"/>
  <c r="AH328" i="1" s="1"/>
  <c r="AE329" i="1" a="1"/>
  <c r="AE329" i="1" s="1"/>
  <c r="AH329" i="1" s="1" a="1"/>
  <c r="AH329" i="1" s="1"/>
  <c r="AE330" i="1" a="1"/>
  <c r="AE330" i="1" s="1"/>
  <c r="AH330" i="1" s="1" a="1"/>
  <c r="AH330" i="1" s="1"/>
  <c r="AE331" i="1" a="1"/>
  <c r="AE331" i="1" s="1"/>
  <c r="AH331" i="1" s="1" a="1"/>
  <c r="AH331" i="1" s="1"/>
  <c r="AE332" i="1" a="1"/>
  <c r="AE332" i="1" s="1"/>
  <c r="AH332" i="1" s="1" a="1"/>
  <c r="AH332" i="1" s="1"/>
  <c r="AE333" i="1" a="1"/>
  <c r="AE333" i="1" s="1"/>
  <c r="AH333" i="1" s="1" a="1"/>
  <c r="AH333" i="1" s="1"/>
  <c r="AE334" i="1" a="1"/>
  <c r="AE334" i="1" s="1"/>
  <c r="AH334" i="1" s="1" a="1"/>
  <c r="AH334" i="1" s="1"/>
  <c r="AE335" i="1" a="1"/>
  <c r="AE335" i="1" s="1"/>
  <c r="AH335" i="1" s="1" a="1"/>
  <c r="AH335" i="1" s="1"/>
  <c r="AE336" i="1" a="1"/>
  <c r="AE336" i="1" s="1"/>
  <c r="AH336" i="1" s="1" a="1"/>
  <c r="AH336" i="1" s="1"/>
  <c r="AE337" i="1" a="1"/>
  <c r="AE337" i="1" s="1"/>
  <c r="AH337" i="1" s="1" a="1"/>
  <c r="AH337" i="1" s="1"/>
  <c r="AE338" i="1" a="1"/>
  <c r="AE338" i="1" s="1"/>
  <c r="AH338" i="1" s="1" a="1"/>
  <c r="AH338" i="1" s="1"/>
  <c r="AE339" i="1" a="1"/>
  <c r="AE339" i="1" s="1"/>
  <c r="AH339" i="1" s="1" a="1"/>
  <c r="AH339" i="1" s="1"/>
  <c r="AE340" i="1" a="1"/>
  <c r="AE340" i="1" s="1"/>
  <c r="AH340" i="1" s="1" a="1"/>
  <c r="AH340" i="1" s="1"/>
  <c r="AE341" i="1" a="1"/>
  <c r="AE341" i="1" s="1"/>
  <c r="AH341" i="1" s="1" a="1"/>
  <c r="AH341" i="1" s="1"/>
  <c r="AE342" i="1" a="1"/>
  <c r="AE342" i="1" s="1"/>
  <c r="AH342" i="1" s="1" a="1"/>
  <c r="AH342" i="1" s="1"/>
  <c r="AE343" i="1" a="1"/>
  <c r="AE343" i="1" s="1"/>
  <c r="AH343" i="1" s="1" a="1"/>
  <c r="AH343" i="1" s="1"/>
  <c r="AE344" i="1" a="1"/>
  <c r="AE344" i="1" s="1"/>
  <c r="AH344" i="1" s="1" a="1"/>
  <c r="AH344" i="1" s="1"/>
  <c r="AE345" i="1" a="1"/>
  <c r="AE345" i="1" s="1"/>
  <c r="AH345" i="1" s="1" a="1"/>
  <c r="AH345" i="1" s="1"/>
  <c r="AE346" i="1" a="1"/>
  <c r="AE346" i="1" s="1"/>
  <c r="AH346" i="1" s="1" a="1"/>
  <c r="AH346" i="1" s="1"/>
  <c r="AE347" i="1" a="1"/>
  <c r="AE347" i="1" s="1"/>
  <c r="AH347" i="1" s="1" a="1"/>
  <c r="AH347" i="1" s="1"/>
  <c r="AE348" i="1" a="1"/>
  <c r="AE348" i="1" s="1"/>
  <c r="AH348" i="1" s="1" a="1"/>
  <c r="AH348" i="1" s="1"/>
  <c r="AE349" i="1" a="1"/>
  <c r="AE349" i="1" s="1"/>
  <c r="AH349" i="1" s="1" a="1"/>
  <c r="AH349" i="1" s="1"/>
  <c r="AE350" i="1" a="1"/>
  <c r="AE350" i="1" s="1"/>
  <c r="AH350" i="1" s="1" a="1"/>
  <c r="AH350" i="1" s="1"/>
  <c r="AE351" i="1" a="1"/>
  <c r="AE351" i="1" s="1"/>
  <c r="AH351" i="1" s="1" a="1"/>
  <c r="AH351" i="1" s="1"/>
  <c r="AE352" i="1" a="1"/>
  <c r="AE352" i="1" s="1"/>
  <c r="AH352" i="1" s="1" a="1"/>
  <c r="AH352" i="1" s="1"/>
  <c r="AE353" i="1" a="1"/>
  <c r="AE353" i="1" s="1"/>
  <c r="AH353" i="1" s="1" a="1"/>
  <c r="AH353" i="1" s="1"/>
  <c r="AE354" i="1" a="1"/>
  <c r="AE354" i="1" s="1"/>
  <c r="AH354" i="1" s="1" a="1"/>
  <c r="AH354" i="1" s="1"/>
  <c r="AE355" i="1" a="1"/>
  <c r="AE355" i="1" s="1"/>
  <c r="AH355" i="1" s="1" a="1"/>
  <c r="AH355" i="1" s="1"/>
  <c r="AE356" i="1" a="1"/>
  <c r="AE356" i="1" s="1"/>
  <c r="AH356" i="1" s="1" a="1"/>
  <c r="AH356" i="1" s="1"/>
  <c r="AE357" i="1" a="1"/>
  <c r="AE357" i="1" s="1"/>
  <c r="AH357" i="1" s="1" a="1"/>
  <c r="AH357" i="1" s="1"/>
  <c r="AE358" i="1" a="1"/>
  <c r="AE358" i="1" s="1"/>
  <c r="AH358" i="1" s="1" a="1"/>
  <c r="AH358" i="1" s="1"/>
  <c r="AE359" i="1" a="1"/>
  <c r="AE359" i="1" s="1"/>
  <c r="AH359" i="1" s="1" a="1"/>
  <c r="AH359" i="1" s="1"/>
  <c r="AE360" i="1" a="1"/>
  <c r="AE360" i="1" s="1"/>
  <c r="AH360" i="1" s="1" a="1"/>
  <c r="AH360" i="1" s="1"/>
  <c r="AE361" i="1" a="1"/>
  <c r="AE361" i="1" s="1"/>
  <c r="AH361" i="1" s="1" a="1"/>
  <c r="AH361" i="1" s="1"/>
  <c r="AE362" i="1" a="1"/>
  <c r="AE362" i="1" s="1"/>
  <c r="AH362" i="1" s="1" a="1"/>
  <c r="AH362" i="1" s="1"/>
  <c r="AE363" i="1" a="1"/>
  <c r="AE363" i="1" s="1"/>
  <c r="AH363" i="1" s="1" a="1"/>
  <c r="AH363" i="1" s="1"/>
  <c r="AE364" i="1" a="1"/>
  <c r="AE364" i="1" s="1"/>
  <c r="AH364" i="1" s="1" a="1"/>
  <c r="AH364" i="1" s="1"/>
  <c r="AE365" i="1" a="1"/>
  <c r="AE365" i="1" s="1"/>
  <c r="AH365" i="1" s="1" a="1"/>
  <c r="AH365" i="1" s="1"/>
  <c r="AE366" i="1" a="1"/>
  <c r="AE366" i="1" s="1"/>
  <c r="AH366" i="1" s="1" a="1"/>
  <c r="AH366" i="1" s="1"/>
  <c r="AE367" i="1" a="1"/>
  <c r="AE367" i="1" s="1"/>
  <c r="AH367" i="1" s="1" a="1"/>
  <c r="AH367" i="1" s="1"/>
  <c r="AE368" i="1" a="1"/>
  <c r="AE368" i="1" s="1"/>
  <c r="AH368" i="1" s="1" a="1"/>
  <c r="AH368" i="1" s="1"/>
  <c r="AE369" i="1" a="1"/>
  <c r="AE369" i="1" s="1"/>
  <c r="AH369" i="1" s="1" a="1"/>
  <c r="AH369" i="1" s="1"/>
  <c r="AE370" i="1" a="1"/>
  <c r="AE370" i="1" s="1"/>
  <c r="AH370" i="1" s="1" a="1"/>
  <c r="AH370" i="1" s="1"/>
  <c r="AE371" i="1" a="1"/>
  <c r="AE371" i="1" s="1"/>
  <c r="AH371" i="1" s="1" a="1"/>
  <c r="AH371" i="1" s="1"/>
  <c r="AE372" i="1" a="1"/>
  <c r="AE372" i="1" s="1"/>
  <c r="AH372" i="1" s="1" a="1"/>
  <c r="AH372" i="1" s="1"/>
  <c r="AE373" i="1" a="1"/>
  <c r="AE373" i="1" s="1"/>
  <c r="AH373" i="1" s="1" a="1"/>
  <c r="AH373" i="1" s="1"/>
  <c r="AE374" i="1" a="1"/>
  <c r="AE374" i="1" s="1"/>
  <c r="AH374" i="1" s="1" a="1"/>
  <c r="AH374" i="1" s="1"/>
  <c r="AE375" i="1" a="1"/>
  <c r="AE375" i="1" s="1"/>
  <c r="AH375" i="1" s="1" a="1"/>
  <c r="AH375" i="1" s="1"/>
  <c r="AE376" i="1" a="1"/>
  <c r="AE376" i="1" s="1"/>
  <c r="AH376" i="1" s="1" a="1"/>
  <c r="AH376" i="1" s="1"/>
  <c r="AE377" i="1" a="1"/>
  <c r="AE377" i="1" s="1"/>
  <c r="AH377" i="1" s="1" a="1"/>
  <c r="AH377" i="1" s="1"/>
  <c r="AE378" i="1" a="1"/>
  <c r="AE378" i="1" s="1"/>
  <c r="AH378" i="1" s="1" a="1"/>
  <c r="AH378" i="1" s="1"/>
  <c r="AE379" i="1" a="1"/>
  <c r="AE379" i="1" s="1"/>
  <c r="AH379" i="1" s="1" a="1"/>
  <c r="AH379" i="1" s="1"/>
  <c r="AE380" i="1" a="1"/>
  <c r="AE380" i="1" s="1"/>
  <c r="AH380" i="1" s="1" a="1"/>
  <c r="AH380" i="1" s="1"/>
  <c r="AE381" i="1" a="1"/>
  <c r="AE381" i="1" s="1"/>
  <c r="AH381" i="1" s="1" a="1"/>
  <c r="AH381" i="1" s="1"/>
  <c r="AE382" i="1" a="1"/>
  <c r="AE382" i="1" s="1"/>
  <c r="AH382" i="1" s="1" a="1"/>
  <c r="AH382" i="1" s="1"/>
  <c r="AE383" i="1" a="1"/>
  <c r="AE383" i="1" s="1"/>
  <c r="AH383" i="1" s="1" a="1"/>
  <c r="AH383" i="1" s="1"/>
  <c r="AE384" i="1" a="1"/>
  <c r="AE384" i="1" s="1"/>
  <c r="AH384" i="1" s="1" a="1"/>
  <c r="AH384" i="1" s="1"/>
  <c r="AE385" i="1" a="1"/>
  <c r="AE385" i="1" s="1"/>
  <c r="AH385" i="1" s="1" a="1"/>
  <c r="AH385" i="1" s="1"/>
  <c r="AE386" i="1" a="1"/>
  <c r="AE386" i="1" s="1"/>
  <c r="AH386" i="1" s="1" a="1"/>
  <c r="AH386" i="1" s="1"/>
  <c r="AE387" i="1" a="1"/>
  <c r="AE387" i="1" s="1"/>
  <c r="AH387" i="1" s="1" a="1"/>
  <c r="AH387" i="1" s="1"/>
  <c r="AE388" i="1" a="1"/>
  <c r="AE388" i="1" s="1"/>
  <c r="AH388" i="1" s="1" a="1"/>
  <c r="AH388" i="1" s="1"/>
  <c r="AE389" i="1" a="1"/>
  <c r="AE389" i="1" s="1"/>
  <c r="AH389" i="1" s="1" a="1"/>
  <c r="AH389" i="1" s="1"/>
  <c r="AE390" i="1" a="1"/>
  <c r="AE390" i="1" s="1"/>
  <c r="AH390" i="1" s="1" a="1"/>
  <c r="AH390" i="1" s="1"/>
  <c r="AE391" i="1" a="1"/>
  <c r="AE391" i="1" s="1"/>
  <c r="AH391" i="1" s="1" a="1"/>
  <c r="AH391" i="1" s="1"/>
  <c r="AE392" i="1" a="1"/>
  <c r="AE392" i="1" s="1"/>
  <c r="AH392" i="1" s="1" a="1"/>
  <c r="AH392" i="1" s="1"/>
  <c r="AE393" i="1" a="1"/>
  <c r="AE393" i="1" s="1"/>
  <c r="AH393" i="1" s="1" a="1"/>
  <c r="AH393" i="1" s="1"/>
  <c r="AE394" i="1" a="1"/>
  <c r="AE394" i="1" s="1"/>
  <c r="AH394" i="1" s="1" a="1"/>
  <c r="AH394" i="1" s="1"/>
  <c r="AE395" i="1" a="1"/>
  <c r="AE395" i="1" s="1"/>
  <c r="AH395" i="1" s="1" a="1"/>
  <c r="AH395" i="1" s="1"/>
  <c r="AE396" i="1" a="1"/>
  <c r="AE396" i="1" s="1"/>
  <c r="AH396" i="1" s="1" a="1"/>
  <c r="AH396" i="1" s="1"/>
  <c r="AE397" i="1" a="1"/>
  <c r="AE397" i="1" s="1"/>
  <c r="AH397" i="1" s="1" a="1"/>
  <c r="AH397" i="1" s="1"/>
  <c r="AE398" i="1" a="1"/>
  <c r="AE398" i="1" s="1"/>
  <c r="AH398" i="1" s="1" a="1"/>
  <c r="AH398" i="1" s="1"/>
  <c r="AE399" i="1" a="1"/>
  <c r="AE399" i="1" s="1"/>
  <c r="AH399" i="1" s="1" a="1"/>
  <c r="AH399" i="1" s="1"/>
  <c r="AE400" i="1" a="1"/>
  <c r="AE400" i="1" s="1"/>
  <c r="AH400" i="1" s="1" a="1"/>
  <c r="AH400" i="1" s="1"/>
  <c r="AE401" i="1" a="1"/>
  <c r="AE401" i="1" s="1"/>
  <c r="AH401" i="1" s="1" a="1"/>
  <c r="AH401" i="1" s="1"/>
  <c r="AE402" i="1" a="1"/>
  <c r="AE402" i="1" s="1"/>
  <c r="AH402" i="1" s="1" a="1"/>
  <c r="AH402" i="1" s="1"/>
  <c r="AE403" i="1" a="1"/>
  <c r="AE403" i="1" s="1"/>
  <c r="AH403" i="1" s="1" a="1"/>
  <c r="AH403" i="1" s="1"/>
  <c r="AE404" i="1" a="1"/>
  <c r="AE404" i="1" s="1"/>
  <c r="AH404" i="1" s="1" a="1"/>
  <c r="AH404" i="1" s="1"/>
  <c r="AE405" i="1" a="1"/>
  <c r="AE405" i="1" s="1"/>
  <c r="AH405" i="1" s="1" a="1"/>
  <c r="AH405" i="1" s="1"/>
  <c r="AE406" i="1" a="1"/>
  <c r="AE406" i="1" s="1"/>
  <c r="AH406" i="1" s="1" a="1"/>
  <c r="AH406" i="1" s="1"/>
  <c r="AE407" i="1" a="1"/>
  <c r="AE407" i="1" s="1"/>
  <c r="AH407" i="1" s="1" a="1"/>
  <c r="AH407" i="1" s="1"/>
  <c r="AE408" i="1" a="1"/>
  <c r="AE408" i="1" s="1"/>
  <c r="AH408" i="1" s="1" a="1"/>
  <c r="AH408" i="1" s="1"/>
  <c r="AE409" i="1" a="1"/>
  <c r="AE409" i="1" s="1"/>
  <c r="AH409" i="1" s="1" a="1"/>
  <c r="AH409" i="1" s="1"/>
  <c r="AE410" i="1" a="1"/>
  <c r="AE410" i="1" s="1"/>
  <c r="AH410" i="1" s="1" a="1"/>
  <c r="AH410" i="1" s="1"/>
  <c r="AE411" i="1" a="1"/>
  <c r="AE411" i="1" s="1"/>
  <c r="AH411" i="1" s="1" a="1"/>
  <c r="AH411" i="1" s="1"/>
  <c r="AE412" i="1" a="1"/>
  <c r="AE412" i="1" s="1"/>
  <c r="AH412" i="1" s="1" a="1"/>
  <c r="AH412" i="1" s="1"/>
  <c r="AE413" i="1" a="1"/>
  <c r="AE413" i="1" s="1"/>
  <c r="AH413" i="1" s="1" a="1"/>
  <c r="AH413" i="1" s="1"/>
  <c r="AE414" i="1" a="1"/>
  <c r="AE414" i="1" s="1"/>
  <c r="AH414" i="1" s="1" a="1"/>
  <c r="AH414" i="1" s="1"/>
  <c r="AE415" i="1" a="1"/>
  <c r="AE415" i="1" s="1"/>
  <c r="AH415" i="1" s="1" a="1"/>
  <c r="AH415" i="1" s="1"/>
  <c r="AE416" i="1" a="1"/>
  <c r="AE416" i="1" s="1"/>
  <c r="AH416" i="1" s="1" a="1"/>
  <c r="AH416" i="1" s="1"/>
  <c r="AE417" i="1" a="1"/>
  <c r="AE417" i="1" s="1"/>
  <c r="AH417" i="1" s="1" a="1"/>
  <c r="AH417" i="1" s="1"/>
  <c r="AE418" i="1" a="1"/>
  <c r="AE418" i="1" s="1"/>
  <c r="AH418" i="1" s="1" a="1"/>
  <c r="AH418" i="1" s="1"/>
  <c r="AE419" i="1" a="1"/>
  <c r="AE419" i="1" s="1"/>
  <c r="AH419" i="1" s="1" a="1"/>
  <c r="AH419" i="1" s="1"/>
  <c r="AE420" i="1" a="1"/>
  <c r="AE420" i="1" s="1"/>
  <c r="AH420" i="1" s="1" a="1"/>
  <c r="AH420" i="1" s="1"/>
  <c r="AE421" i="1" a="1"/>
  <c r="AE421" i="1" s="1"/>
  <c r="AH421" i="1" s="1" a="1"/>
  <c r="AH421" i="1" s="1"/>
  <c r="AE422" i="1" a="1"/>
  <c r="AE422" i="1" s="1"/>
  <c r="AH422" i="1" s="1" a="1"/>
  <c r="AH422" i="1" s="1"/>
  <c r="AE423" i="1" a="1"/>
  <c r="AE423" i="1" s="1"/>
  <c r="AH423" i="1" s="1" a="1"/>
  <c r="AH423" i="1" s="1"/>
  <c r="AE424" i="1" a="1"/>
  <c r="AE424" i="1" s="1"/>
  <c r="AH424" i="1" s="1" a="1"/>
  <c r="AH424" i="1" s="1"/>
  <c r="AE425" i="1" a="1"/>
  <c r="AE425" i="1" s="1"/>
  <c r="AH425" i="1" s="1" a="1"/>
  <c r="AH425" i="1" s="1"/>
  <c r="AE426" i="1" a="1"/>
  <c r="AE426" i="1" s="1"/>
  <c r="AH426" i="1" s="1" a="1"/>
  <c r="AH426" i="1" s="1"/>
  <c r="AE427" i="1" a="1"/>
  <c r="AE427" i="1" s="1"/>
  <c r="AH427" i="1" s="1" a="1"/>
  <c r="AH427" i="1" s="1"/>
  <c r="AE428" i="1" a="1"/>
  <c r="AE428" i="1" s="1"/>
  <c r="AH428" i="1" s="1" a="1"/>
  <c r="AH428" i="1" s="1"/>
  <c r="AE429" i="1" a="1"/>
  <c r="AE429" i="1" s="1"/>
  <c r="AH429" i="1" s="1" a="1"/>
  <c r="AH429" i="1" s="1"/>
  <c r="AE430" i="1" a="1"/>
  <c r="AE430" i="1" s="1"/>
  <c r="AH430" i="1" s="1" a="1"/>
  <c r="AH430" i="1" s="1"/>
  <c r="AE431" i="1" a="1"/>
  <c r="AE431" i="1" s="1"/>
  <c r="AH431" i="1" s="1" a="1"/>
  <c r="AH431" i="1" s="1"/>
  <c r="AE432" i="1" a="1"/>
  <c r="AE432" i="1" s="1"/>
  <c r="AH432" i="1" s="1" a="1"/>
  <c r="AH432" i="1" s="1"/>
  <c r="AE433" i="1" a="1"/>
  <c r="AE433" i="1" s="1"/>
  <c r="AH433" i="1" s="1" a="1"/>
  <c r="AH433" i="1" s="1"/>
  <c r="AE434" i="1" a="1"/>
  <c r="AE434" i="1" s="1"/>
  <c r="AH434" i="1" s="1" a="1"/>
  <c r="AH434" i="1" s="1"/>
  <c r="AE435" i="1" a="1"/>
  <c r="AE435" i="1" s="1"/>
  <c r="AH435" i="1" s="1" a="1"/>
  <c r="AH435" i="1" s="1"/>
  <c r="AE436" i="1" a="1"/>
  <c r="AE436" i="1" s="1"/>
  <c r="AH436" i="1" s="1" a="1"/>
  <c r="AH436" i="1" s="1"/>
  <c r="AE437" i="1" a="1"/>
  <c r="AE437" i="1" s="1"/>
  <c r="AH437" i="1" s="1" a="1"/>
  <c r="AH437" i="1" s="1"/>
  <c r="AE438" i="1" a="1"/>
  <c r="AE438" i="1" s="1"/>
  <c r="AH438" i="1" s="1" a="1"/>
  <c r="AH438" i="1" s="1"/>
  <c r="AE439" i="1" a="1"/>
  <c r="AE439" i="1" s="1"/>
  <c r="AH439" i="1" s="1" a="1"/>
  <c r="AH439" i="1" s="1"/>
  <c r="AE440" i="1" a="1"/>
  <c r="AE440" i="1" s="1"/>
  <c r="AH440" i="1" s="1" a="1"/>
  <c r="AH440" i="1" s="1"/>
  <c r="AE441" i="1" a="1"/>
  <c r="AE441" i="1" s="1"/>
  <c r="AH441" i="1" s="1" a="1"/>
  <c r="AH441" i="1" s="1"/>
  <c r="AE442" i="1" a="1"/>
  <c r="AE442" i="1" s="1"/>
  <c r="AH442" i="1" s="1" a="1"/>
  <c r="AH442" i="1" s="1"/>
  <c r="AE443" i="1" a="1"/>
  <c r="AE443" i="1" s="1"/>
  <c r="AH443" i="1" s="1" a="1"/>
  <c r="AH443" i="1" s="1"/>
  <c r="AE444" i="1" a="1"/>
  <c r="AE444" i="1" s="1"/>
  <c r="AH444" i="1" s="1" a="1"/>
  <c r="AH444" i="1" s="1"/>
  <c r="AE445" i="1" a="1"/>
  <c r="AE445" i="1" s="1"/>
  <c r="AH445" i="1" s="1" a="1"/>
  <c r="AH445" i="1" s="1"/>
  <c r="AE446" i="1" a="1"/>
  <c r="AE446" i="1" s="1"/>
  <c r="AH446" i="1" s="1" a="1"/>
  <c r="AH446" i="1" s="1"/>
  <c r="AE447" i="1" a="1"/>
  <c r="AE447" i="1" s="1"/>
  <c r="AH447" i="1" s="1" a="1"/>
  <c r="AH447" i="1" s="1"/>
  <c r="AE448" i="1" a="1"/>
  <c r="AE448" i="1" s="1"/>
  <c r="AH448" i="1" s="1" a="1"/>
  <c r="AH448" i="1" s="1"/>
  <c r="AE449" i="1" a="1"/>
  <c r="AE449" i="1" s="1"/>
  <c r="AH449" i="1" s="1" a="1"/>
  <c r="AH449" i="1" s="1"/>
  <c r="AE450" i="1" a="1"/>
  <c r="AE450" i="1" s="1"/>
  <c r="AH450" i="1" s="1" a="1"/>
  <c r="AH450" i="1" s="1"/>
  <c r="AE451" i="1" a="1"/>
  <c r="AE451" i="1" s="1"/>
  <c r="AH451" i="1" s="1" a="1"/>
  <c r="AH451" i="1" s="1"/>
  <c r="AE452" i="1" a="1"/>
  <c r="AE452" i="1" s="1"/>
  <c r="AH452" i="1" s="1" a="1"/>
  <c r="AH452" i="1" s="1"/>
  <c r="AE453" i="1" a="1"/>
  <c r="AE453" i="1" s="1"/>
  <c r="AH453" i="1" s="1" a="1"/>
  <c r="AH453" i="1" s="1"/>
  <c r="AE454" i="1" a="1"/>
  <c r="AE454" i="1" s="1"/>
  <c r="AH454" i="1" s="1" a="1"/>
  <c r="AH454" i="1" s="1"/>
  <c r="AE455" i="1" a="1"/>
  <c r="AE455" i="1" s="1"/>
  <c r="AH455" i="1" s="1" a="1"/>
  <c r="AH455" i="1" s="1"/>
  <c r="AE456" i="1" a="1"/>
  <c r="AE456" i="1" s="1"/>
  <c r="AH456" i="1" s="1" a="1"/>
  <c r="AH456" i="1" s="1"/>
  <c r="AE457" i="1" a="1"/>
  <c r="AE457" i="1" s="1"/>
  <c r="AH457" i="1" s="1" a="1"/>
  <c r="AH457" i="1" s="1"/>
  <c r="AE458" i="1" a="1"/>
  <c r="AE458" i="1" s="1"/>
  <c r="AH458" i="1" s="1" a="1"/>
  <c r="AH458" i="1" s="1"/>
  <c r="AE459" i="1" a="1"/>
  <c r="AE459" i="1" s="1"/>
  <c r="AH459" i="1" s="1" a="1"/>
  <c r="AH459" i="1" s="1"/>
  <c r="AE460" i="1" a="1"/>
  <c r="AE460" i="1" s="1"/>
  <c r="AH460" i="1" s="1" a="1"/>
  <c r="AH460" i="1" s="1"/>
  <c r="AE461" i="1" a="1"/>
  <c r="AE461" i="1" s="1"/>
  <c r="AH461" i="1" s="1" a="1"/>
  <c r="AH461" i="1" s="1"/>
  <c r="AE462" i="1" a="1"/>
  <c r="AE462" i="1" s="1"/>
  <c r="AH462" i="1" s="1" a="1"/>
  <c r="AH462" i="1" s="1"/>
  <c r="AE463" i="1" a="1"/>
  <c r="AE463" i="1" s="1"/>
  <c r="AH463" i="1" s="1" a="1"/>
  <c r="AH463" i="1" s="1"/>
  <c r="AE464" i="1" a="1"/>
  <c r="AE464" i="1" s="1"/>
  <c r="AH464" i="1" s="1" a="1"/>
  <c r="AH464" i="1" s="1"/>
  <c r="AE465" i="1" a="1"/>
  <c r="AE465" i="1" s="1"/>
  <c r="AH465" i="1" s="1" a="1"/>
  <c r="AH465" i="1" s="1"/>
  <c r="AE466" i="1" a="1"/>
  <c r="AE466" i="1" s="1"/>
  <c r="AH466" i="1" s="1" a="1"/>
  <c r="AH466" i="1" s="1"/>
  <c r="AE467" i="1" a="1"/>
  <c r="AE467" i="1" s="1"/>
  <c r="AH467" i="1" s="1" a="1"/>
  <c r="AH467" i="1" s="1"/>
  <c r="AE468" i="1" a="1"/>
  <c r="AE468" i="1" s="1"/>
  <c r="AH468" i="1" s="1" a="1"/>
  <c r="AH468" i="1" s="1"/>
  <c r="AE469" i="1" a="1"/>
  <c r="AE469" i="1" s="1"/>
  <c r="AH469" i="1" s="1" a="1"/>
  <c r="AH469" i="1" s="1"/>
  <c r="AE470" i="1" a="1"/>
  <c r="AE470" i="1" s="1"/>
  <c r="AH470" i="1" s="1" a="1"/>
  <c r="AH470" i="1" s="1"/>
  <c r="AE471" i="1" a="1"/>
  <c r="AE471" i="1" s="1"/>
  <c r="AH471" i="1" s="1" a="1"/>
  <c r="AH471" i="1" s="1"/>
  <c r="AE472" i="1" a="1"/>
  <c r="AE472" i="1" s="1"/>
  <c r="AH472" i="1" s="1" a="1"/>
  <c r="AH472" i="1" s="1"/>
  <c r="AE473" i="1" a="1"/>
  <c r="AE473" i="1" s="1"/>
  <c r="AH473" i="1" s="1" a="1"/>
  <c r="AH473" i="1" s="1"/>
  <c r="AE474" i="1" a="1"/>
  <c r="AE474" i="1" s="1"/>
  <c r="AH474" i="1" s="1" a="1"/>
  <c r="AH474" i="1" s="1"/>
  <c r="AE475" i="1" a="1"/>
  <c r="AE475" i="1" s="1"/>
  <c r="AH475" i="1" s="1" a="1"/>
  <c r="AH475" i="1" s="1"/>
  <c r="AE476" i="1" a="1"/>
  <c r="AE476" i="1" s="1"/>
  <c r="AH476" i="1" s="1" a="1"/>
  <c r="AH476" i="1" s="1"/>
  <c r="AE477" i="1" a="1"/>
  <c r="AE477" i="1" s="1"/>
  <c r="AH477" i="1" s="1" a="1"/>
  <c r="AH477" i="1" s="1"/>
  <c r="AE478" i="1" a="1"/>
  <c r="AE478" i="1" s="1"/>
  <c r="AH478" i="1" s="1" a="1"/>
  <c r="AH478" i="1" s="1"/>
  <c r="AE479" i="1" a="1"/>
  <c r="AE479" i="1" s="1"/>
  <c r="AH479" i="1" s="1" a="1"/>
  <c r="AH479" i="1" s="1"/>
  <c r="AE480" i="1" a="1"/>
  <c r="AE480" i="1" s="1"/>
  <c r="AH480" i="1" s="1" a="1"/>
  <c r="AH480" i="1" s="1"/>
  <c r="AE481" i="1" a="1"/>
  <c r="AE481" i="1" s="1"/>
  <c r="AH481" i="1" s="1" a="1"/>
  <c r="AH481" i="1" s="1"/>
  <c r="AE482" i="1" a="1"/>
  <c r="AE482" i="1" s="1"/>
  <c r="AH482" i="1" s="1" a="1"/>
  <c r="AH482" i="1" s="1"/>
  <c r="AE483" i="1" a="1"/>
  <c r="AE483" i="1" s="1"/>
  <c r="AH483" i="1" s="1" a="1"/>
  <c r="AH483" i="1" s="1"/>
  <c r="AE484" i="1" a="1"/>
  <c r="AE484" i="1" s="1"/>
  <c r="AH484" i="1" s="1" a="1"/>
  <c r="AH484" i="1" s="1"/>
  <c r="AE485" i="1" a="1"/>
  <c r="AE485" i="1" s="1"/>
  <c r="AH485" i="1" s="1" a="1"/>
  <c r="AH485" i="1" s="1"/>
  <c r="AE486" i="1" a="1"/>
  <c r="AE486" i="1" s="1"/>
  <c r="AH486" i="1" s="1" a="1"/>
  <c r="AH486" i="1" s="1"/>
  <c r="AE487" i="1" a="1"/>
  <c r="AE487" i="1" s="1"/>
  <c r="AH487" i="1" s="1" a="1"/>
  <c r="AH487" i="1" s="1"/>
  <c r="AE488" i="1" a="1"/>
  <c r="AE488" i="1" s="1"/>
  <c r="AH488" i="1" s="1" a="1"/>
  <c r="AH488" i="1" s="1"/>
  <c r="AE489" i="1" a="1"/>
  <c r="AE489" i="1" s="1"/>
  <c r="AH489" i="1" s="1" a="1"/>
  <c r="AH489" i="1" s="1"/>
  <c r="AE490" i="1" a="1"/>
  <c r="AE490" i="1" s="1"/>
  <c r="AH490" i="1" s="1" a="1"/>
  <c r="AH490" i="1" s="1"/>
  <c r="AE491" i="1" a="1"/>
  <c r="AE491" i="1" s="1"/>
  <c r="AH491" i="1" s="1" a="1"/>
  <c r="AH491" i="1" s="1"/>
  <c r="AE492" i="1" a="1"/>
  <c r="AE492" i="1" s="1"/>
  <c r="AH492" i="1" s="1" a="1"/>
  <c r="AH492" i="1" s="1"/>
  <c r="AE493" i="1" a="1"/>
  <c r="AE493" i="1" s="1"/>
  <c r="AH493" i="1" s="1" a="1"/>
  <c r="AH493" i="1" s="1"/>
  <c r="AE494" i="1" a="1"/>
  <c r="AE494" i="1" s="1"/>
  <c r="AH494" i="1" s="1" a="1"/>
  <c r="AH494" i="1" s="1"/>
  <c r="AE495" i="1" a="1"/>
  <c r="AE495" i="1" s="1"/>
  <c r="AH495" i="1" s="1" a="1"/>
  <c r="AH495" i="1" s="1"/>
  <c r="AE496" i="1" a="1"/>
  <c r="AE496" i="1" s="1"/>
  <c r="AH496" i="1" s="1" a="1"/>
  <c r="AH496" i="1" s="1"/>
  <c r="AE497" i="1" a="1"/>
  <c r="AE497" i="1" s="1"/>
  <c r="AH497" i="1" s="1" a="1"/>
  <c r="AH497" i="1" s="1"/>
  <c r="AE498" i="1" a="1"/>
  <c r="AE498" i="1" s="1"/>
  <c r="AH498" i="1" s="1" a="1"/>
  <c r="AH498" i="1" s="1"/>
  <c r="AE499" i="1" a="1"/>
  <c r="AE499" i="1" s="1"/>
  <c r="AH499" i="1" s="1" a="1"/>
  <c r="AH499" i="1" s="1"/>
  <c r="AE500" i="1" a="1"/>
  <c r="AE500" i="1" s="1"/>
  <c r="AH500" i="1" s="1" a="1"/>
  <c r="AH500" i="1" s="1"/>
  <c r="AE501" i="1" a="1"/>
  <c r="AE501" i="1" s="1"/>
  <c r="AH501" i="1" s="1" a="1"/>
  <c r="AH501" i="1" s="1"/>
  <c r="AE502" i="1" a="1"/>
  <c r="AE502" i="1" s="1"/>
  <c r="AH502" i="1" s="1" a="1"/>
  <c r="AH502" i="1" s="1"/>
  <c r="AE503" i="1" a="1"/>
  <c r="AE503" i="1" s="1"/>
  <c r="AH503" i="1" s="1" a="1"/>
  <c r="AH503" i="1" s="1"/>
  <c r="AE504" i="1" a="1"/>
  <c r="AE504" i="1" s="1"/>
  <c r="AH504" i="1" s="1" a="1"/>
  <c r="AH504" i="1" s="1"/>
  <c r="AE505" i="1" a="1"/>
  <c r="AE505" i="1" s="1"/>
  <c r="AH505" i="1" s="1" a="1"/>
  <c r="AH505" i="1" s="1"/>
  <c r="AE506" i="1" a="1"/>
  <c r="AE506" i="1" s="1"/>
  <c r="AH506" i="1" s="1" a="1"/>
  <c r="AH506" i="1" s="1"/>
  <c r="AE507" i="1" a="1"/>
  <c r="AE507" i="1" s="1"/>
  <c r="AH507" i="1" s="1" a="1"/>
  <c r="AH507" i="1" s="1"/>
  <c r="AE508" i="1" a="1"/>
  <c r="AE508" i="1" s="1"/>
  <c r="AH508" i="1" s="1" a="1"/>
  <c r="AH508" i="1" s="1"/>
  <c r="AE509" i="1" a="1"/>
  <c r="AE509" i="1" s="1"/>
  <c r="AH509" i="1" s="1" a="1"/>
  <c r="AH509" i="1" s="1"/>
  <c r="AE510" i="1" a="1"/>
  <c r="AE510" i="1" s="1"/>
  <c r="AH510" i="1" s="1" a="1"/>
  <c r="AH510" i="1" s="1"/>
  <c r="AE511" i="1" a="1"/>
  <c r="AE511" i="1" s="1"/>
  <c r="AH511" i="1" s="1" a="1"/>
  <c r="AH511" i="1" s="1"/>
  <c r="AE512" i="1" a="1"/>
  <c r="AE512" i="1" s="1"/>
  <c r="AH512" i="1" s="1" a="1"/>
  <c r="AH512" i="1" s="1"/>
  <c r="AE513" i="1" a="1"/>
  <c r="AE513" i="1" s="1"/>
  <c r="AH513" i="1" s="1" a="1"/>
  <c r="AH513" i="1" s="1"/>
  <c r="AE514" i="1" a="1"/>
  <c r="AE514" i="1" s="1"/>
  <c r="AH514" i="1" s="1" a="1"/>
  <c r="AH514" i="1" s="1"/>
  <c r="AE515" i="1" a="1"/>
  <c r="AE515" i="1" s="1"/>
  <c r="AH515" i="1" s="1" a="1"/>
  <c r="AH515" i="1" s="1"/>
  <c r="AE516" i="1" a="1"/>
  <c r="AE516" i="1" s="1"/>
  <c r="AH516" i="1" s="1" a="1"/>
  <c r="AH516" i="1" s="1"/>
  <c r="AE517" i="1" a="1"/>
  <c r="AE517" i="1" s="1"/>
  <c r="AH517" i="1" s="1" a="1"/>
  <c r="AH517" i="1" s="1"/>
  <c r="AE518" i="1" a="1"/>
  <c r="AE518" i="1" s="1"/>
  <c r="AH518" i="1" s="1" a="1"/>
  <c r="AH518" i="1" s="1"/>
  <c r="AE519" i="1" a="1"/>
  <c r="AE519" i="1" s="1"/>
  <c r="AH519" i="1" s="1" a="1"/>
  <c r="AH519" i="1" s="1"/>
  <c r="AE520" i="1" a="1"/>
  <c r="AE520" i="1" s="1"/>
  <c r="AH520" i="1" s="1" a="1"/>
  <c r="AH520" i="1" s="1"/>
  <c r="AE521" i="1" a="1"/>
  <c r="AE521" i="1" s="1"/>
  <c r="AH521" i="1" s="1" a="1"/>
  <c r="AH521" i="1" s="1"/>
  <c r="AE522" i="1" a="1"/>
  <c r="AE522" i="1" s="1"/>
  <c r="AH522" i="1" s="1" a="1"/>
  <c r="AH522" i="1" s="1"/>
  <c r="AE523" i="1" a="1"/>
  <c r="AE523" i="1" s="1"/>
  <c r="AH523" i="1" s="1" a="1"/>
  <c r="AH523" i="1" s="1"/>
  <c r="AE524" i="1" a="1"/>
  <c r="AE524" i="1" s="1"/>
  <c r="AH524" i="1" s="1" a="1"/>
  <c r="AH524" i="1" s="1"/>
  <c r="AE525" i="1" a="1"/>
  <c r="AE525" i="1" s="1"/>
  <c r="AH525" i="1" s="1" a="1"/>
  <c r="AH525" i="1" s="1"/>
  <c r="AE526" i="1" a="1"/>
  <c r="AE526" i="1" s="1"/>
  <c r="AH526" i="1" s="1" a="1"/>
  <c r="AH526" i="1" s="1"/>
  <c r="AE527" i="1" a="1"/>
  <c r="AE527" i="1" s="1"/>
  <c r="AH527" i="1" s="1" a="1"/>
  <c r="AH527" i="1" s="1"/>
  <c r="AE528" i="1" a="1"/>
  <c r="AE528" i="1" s="1"/>
  <c r="AH528" i="1" s="1" a="1"/>
  <c r="AH528" i="1" s="1"/>
  <c r="AE529" i="1" a="1"/>
  <c r="AE529" i="1" s="1"/>
  <c r="AH529" i="1" s="1" a="1"/>
  <c r="AH529" i="1" s="1"/>
  <c r="AE530" i="1" a="1"/>
  <c r="AE530" i="1" s="1"/>
  <c r="AH530" i="1" s="1" a="1"/>
  <c r="AH530" i="1" s="1"/>
  <c r="AE531" i="1" a="1"/>
  <c r="AE531" i="1" s="1"/>
  <c r="AH531" i="1" s="1" a="1"/>
  <c r="AH531" i="1" s="1"/>
  <c r="AE532" i="1" a="1"/>
  <c r="AE532" i="1" s="1"/>
  <c r="AH532" i="1" s="1" a="1"/>
  <c r="AH532" i="1" s="1"/>
  <c r="AE533" i="1" a="1"/>
  <c r="AE533" i="1" s="1"/>
  <c r="AH533" i="1" s="1" a="1"/>
  <c r="AH533" i="1" s="1"/>
  <c r="AE534" i="1" a="1"/>
  <c r="AE534" i="1" s="1"/>
  <c r="AH534" i="1" s="1" a="1"/>
  <c r="AH534" i="1" s="1"/>
  <c r="AE535" i="1" a="1"/>
  <c r="AE535" i="1" s="1"/>
  <c r="AH535" i="1" s="1" a="1"/>
  <c r="AH535" i="1" s="1"/>
  <c r="AE536" i="1" a="1"/>
  <c r="AE536" i="1" s="1"/>
  <c r="AH536" i="1" s="1" a="1"/>
  <c r="AH536" i="1" s="1"/>
  <c r="AE537" i="1" a="1"/>
  <c r="AE537" i="1" s="1"/>
  <c r="AH537" i="1" s="1" a="1"/>
  <c r="AH537" i="1" s="1"/>
  <c r="AE538" i="1" a="1"/>
  <c r="AE538" i="1" s="1"/>
  <c r="AH538" i="1" s="1" a="1"/>
  <c r="AH538" i="1" s="1"/>
  <c r="AE539" i="1" a="1"/>
  <c r="AE539" i="1" s="1"/>
  <c r="AH539" i="1" s="1" a="1"/>
  <c r="AH539" i="1" s="1"/>
  <c r="AE540" i="1" a="1"/>
  <c r="AE540" i="1" s="1"/>
  <c r="AH540" i="1" s="1" a="1"/>
  <c r="AH540" i="1" s="1"/>
  <c r="AE541" i="1" a="1"/>
  <c r="AE541" i="1" s="1"/>
  <c r="AH541" i="1" s="1" a="1"/>
  <c r="AH541" i="1" s="1"/>
  <c r="AE542" i="1" a="1"/>
  <c r="AE542" i="1" s="1"/>
  <c r="AH542" i="1" s="1" a="1"/>
  <c r="AH542" i="1" s="1"/>
  <c r="AE543" i="1" a="1"/>
  <c r="AE543" i="1" s="1"/>
  <c r="AH543" i="1" s="1" a="1"/>
  <c r="AH543" i="1" s="1"/>
  <c r="AE544" i="1" a="1"/>
  <c r="AE544" i="1" s="1"/>
  <c r="AH544" i="1" s="1" a="1"/>
  <c r="AH544" i="1" s="1"/>
  <c r="AE545" i="1" a="1"/>
  <c r="AE545" i="1" s="1"/>
  <c r="AH545" i="1" s="1" a="1"/>
  <c r="AH545" i="1" s="1"/>
  <c r="AE546" i="1" a="1"/>
  <c r="AE546" i="1" s="1"/>
  <c r="AH546" i="1" s="1" a="1"/>
  <c r="AH546" i="1" s="1"/>
  <c r="AE547" i="1" a="1"/>
  <c r="AE547" i="1" s="1"/>
  <c r="AH547" i="1" s="1" a="1"/>
  <c r="AH547" i="1" s="1"/>
  <c r="AE548" i="1" a="1"/>
  <c r="AE548" i="1" s="1"/>
  <c r="AH548" i="1" s="1" a="1"/>
  <c r="AH548" i="1" s="1"/>
  <c r="AE549" i="1" a="1"/>
  <c r="AE549" i="1" s="1"/>
  <c r="AH549" i="1" s="1" a="1"/>
  <c r="AH549" i="1" s="1"/>
  <c r="AE550" i="1" a="1"/>
  <c r="AE550" i="1" s="1"/>
  <c r="AH550" i="1" s="1" a="1"/>
  <c r="AH550" i="1" s="1"/>
  <c r="AE551" i="1" a="1"/>
  <c r="AE551" i="1" s="1"/>
  <c r="AH551" i="1" s="1" a="1"/>
  <c r="AH551" i="1" s="1"/>
  <c r="AE552" i="1" a="1"/>
  <c r="AE552" i="1" s="1"/>
  <c r="AH552" i="1" s="1" a="1"/>
  <c r="AH552" i="1" s="1"/>
  <c r="AE553" i="1" a="1"/>
  <c r="AE553" i="1" s="1"/>
  <c r="AH553" i="1" s="1" a="1"/>
  <c r="AH553" i="1" s="1"/>
  <c r="AE554" i="1" a="1"/>
  <c r="AE554" i="1" s="1"/>
  <c r="AH554" i="1" s="1" a="1"/>
  <c r="AH554" i="1" s="1"/>
  <c r="AE555" i="1" a="1"/>
  <c r="AE555" i="1" s="1"/>
  <c r="AH555" i="1" s="1" a="1"/>
  <c r="AH555" i="1" s="1"/>
  <c r="AE556" i="1" a="1"/>
  <c r="AE556" i="1" s="1"/>
  <c r="AH556" i="1" s="1" a="1"/>
  <c r="AH556" i="1" s="1"/>
  <c r="AE557" i="1" a="1"/>
  <c r="AE557" i="1" s="1"/>
  <c r="AH557" i="1" s="1" a="1"/>
  <c r="AH557" i="1" s="1"/>
  <c r="AE558" i="1" a="1"/>
  <c r="AE558" i="1" s="1"/>
  <c r="AH558" i="1" s="1" a="1"/>
  <c r="AH558" i="1" s="1"/>
  <c r="AE559" i="1" a="1"/>
  <c r="AE559" i="1" s="1"/>
  <c r="AH559" i="1" s="1" a="1"/>
  <c r="AH559" i="1" s="1"/>
  <c r="AE560" i="1" a="1"/>
  <c r="AE560" i="1" s="1"/>
  <c r="AH560" i="1" s="1" a="1"/>
  <c r="AH560" i="1" s="1"/>
  <c r="AE561" i="1" a="1"/>
  <c r="AE561" i="1" s="1"/>
  <c r="AH561" i="1" s="1" a="1"/>
  <c r="AH561" i="1" s="1"/>
  <c r="AE562" i="1" a="1"/>
  <c r="AE562" i="1" s="1"/>
  <c r="AH562" i="1" s="1" a="1"/>
  <c r="AH562" i="1" s="1"/>
  <c r="AE563" i="1" a="1"/>
  <c r="AE563" i="1" s="1"/>
  <c r="AH563" i="1" s="1" a="1"/>
  <c r="AH563" i="1" s="1"/>
  <c r="AE564" i="1" a="1"/>
  <c r="AE564" i="1" s="1"/>
  <c r="AH564" i="1" s="1" a="1"/>
  <c r="AH564" i="1" s="1"/>
  <c r="AE565" i="1" a="1"/>
  <c r="AE565" i="1" s="1"/>
  <c r="AH565" i="1" s="1" a="1"/>
  <c r="AH565" i="1" s="1"/>
  <c r="AE566" i="1" a="1"/>
  <c r="AE566" i="1" s="1"/>
  <c r="AH566" i="1" s="1" a="1"/>
  <c r="AH566" i="1" s="1"/>
  <c r="AE567" i="1" a="1"/>
  <c r="AE567" i="1" s="1"/>
  <c r="AH567" i="1" s="1" a="1"/>
  <c r="AH567" i="1" s="1"/>
  <c r="AE568" i="1" a="1"/>
  <c r="AE568" i="1" s="1"/>
  <c r="AH568" i="1" s="1" a="1"/>
  <c r="AH568" i="1" s="1"/>
  <c r="AE569" i="1" a="1"/>
  <c r="AE569" i="1" s="1"/>
  <c r="AH569" i="1" s="1" a="1"/>
  <c r="AH569" i="1" s="1"/>
  <c r="AE570" i="1" a="1"/>
  <c r="AE570" i="1" s="1"/>
  <c r="AH570" i="1" s="1" a="1"/>
  <c r="AH570" i="1" s="1"/>
  <c r="AE571" i="1" a="1"/>
  <c r="AE571" i="1" s="1"/>
  <c r="AH571" i="1" s="1" a="1"/>
  <c r="AH571" i="1" s="1"/>
  <c r="AE572" i="1" a="1"/>
  <c r="AE572" i="1" s="1"/>
  <c r="AH572" i="1" s="1" a="1"/>
  <c r="AH572" i="1" s="1"/>
  <c r="AE573" i="1" a="1"/>
  <c r="AE573" i="1" s="1"/>
  <c r="AH573" i="1" s="1" a="1"/>
  <c r="AH573" i="1" s="1"/>
  <c r="AE574" i="1" a="1"/>
  <c r="AE574" i="1" s="1"/>
  <c r="AH574" i="1" s="1" a="1"/>
  <c r="AH574" i="1" s="1"/>
  <c r="AE575" i="1" a="1"/>
  <c r="AE575" i="1" s="1"/>
  <c r="AH575" i="1" s="1" a="1"/>
  <c r="AH575" i="1" s="1"/>
  <c r="AE576" i="1" a="1"/>
  <c r="AE576" i="1" s="1"/>
  <c r="AH576" i="1" s="1" a="1"/>
  <c r="AH576" i="1" s="1"/>
  <c r="AE577" i="1" a="1"/>
  <c r="AE577" i="1" s="1"/>
  <c r="AH577" i="1" s="1" a="1"/>
  <c r="AH577" i="1" s="1"/>
  <c r="AE578" i="1" a="1"/>
  <c r="AE578" i="1" s="1"/>
  <c r="AH578" i="1" s="1" a="1"/>
  <c r="AH578" i="1" s="1"/>
  <c r="AE579" i="1" a="1"/>
  <c r="AE579" i="1" s="1"/>
  <c r="AH579" i="1" s="1" a="1"/>
  <c r="AH579" i="1" s="1"/>
  <c r="AE580" i="1" a="1"/>
  <c r="AE580" i="1" s="1"/>
  <c r="AH580" i="1" s="1" a="1"/>
  <c r="AH580" i="1" s="1"/>
  <c r="AE581" i="1" a="1"/>
  <c r="AE581" i="1" s="1"/>
  <c r="AH581" i="1" s="1" a="1"/>
  <c r="AH581" i="1" s="1"/>
  <c r="AE582" i="1" a="1"/>
  <c r="AE582" i="1" s="1"/>
  <c r="AH582" i="1" s="1" a="1"/>
  <c r="AH582" i="1" s="1"/>
  <c r="AE583" i="1" a="1"/>
  <c r="AE583" i="1" s="1"/>
  <c r="AH583" i="1" s="1" a="1"/>
  <c r="AH583" i="1" s="1"/>
  <c r="AE584" i="1" a="1"/>
  <c r="AE584" i="1" s="1"/>
  <c r="AH584" i="1" s="1" a="1"/>
  <c r="AH584" i="1" s="1"/>
  <c r="AE585" i="1" a="1"/>
  <c r="AE585" i="1" s="1"/>
  <c r="AH585" i="1" s="1" a="1"/>
  <c r="AH585" i="1" s="1"/>
  <c r="AE586" i="1" a="1"/>
  <c r="AE586" i="1" s="1"/>
  <c r="AH586" i="1" s="1" a="1"/>
  <c r="AH586" i="1" s="1"/>
  <c r="AE587" i="1" a="1"/>
  <c r="AE587" i="1" s="1"/>
  <c r="AH587" i="1" s="1" a="1"/>
  <c r="AH587" i="1" s="1"/>
  <c r="AE588" i="1" a="1"/>
  <c r="AE588" i="1" s="1"/>
  <c r="AH588" i="1" s="1" a="1"/>
  <c r="AH588" i="1" s="1"/>
  <c r="AE589" i="1" a="1"/>
  <c r="AE589" i="1" s="1"/>
  <c r="AH589" i="1" s="1" a="1"/>
  <c r="AH589" i="1" s="1"/>
  <c r="AE590" i="1" a="1"/>
  <c r="AE590" i="1" s="1"/>
  <c r="AH590" i="1" s="1" a="1"/>
  <c r="AH590" i="1" s="1"/>
  <c r="AE591" i="1" a="1"/>
  <c r="AE591" i="1" s="1"/>
  <c r="AH591" i="1" s="1" a="1"/>
  <c r="AH591" i="1" s="1"/>
  <c r="AE592" i="1" a="1"/>
  <c r="AE592" i="1" s="1"/>
  <c r="AH592" i="1" s="1" a="1"/>
  <c r="AH592" i="1" s="1"/>
  <c r="AE593" i="1" a="1"/>
  <c r="AE593" i="1" s="1"/>
  <c r="AH593" i="1" s="1" a="1"/>
  <c r="AH593" i="1" s="1"/>
  <c r="AE594" i="1" a="1"/>
  <c r="AE594" i="1" s="1"/>
  <c r="AH594" i="1" s="1" a="1"/>
  <c r="AH594" i="1" s="1"/>
  <c r="AE595" i="1" a="1"/>
  <c r="AE595" i="1" s="1"/>
  <c r="AH595" i="1" s="1" a="1"/>
  <c r="AH595" i="1" s="1"/>
  <c r="AE596" i="1" a="1"/>
  <c r="AE596" i="1" s="1"/>
  <c r="AH596" i="1" s="1" a="1"/>
  <c r="AH596" i="1" s="1"/>
  <c r="AE597" i="1" a="1"/>
  <c r="AE597" i="1" s="1"/>
  <c r="AH597" i="1" s="1" a="1"/>
  <c r="AH597" i="1" s="1"/>
  <c r="AE598" i="1" a="1"/>
  <c r="AE598" i="1" s="1"/>
  <c r="AH598" i="1" s="1" a="1"/>
  <c r="AH598" i="1" s="1"/>
  <c r="AE599" i="1" a="1"/>
  <c r="AE599" i="1" s="1"/>
  <c r="AH599" i="1" s="1" a="1"/>
  <c r="AH599" i="1" s="1"/>
  <c r="AE600" i="1" a="1"/>
  <c r="AE600" i="1" s="1"/>
  <c r="AH600" i="1" s="1" a="1"/>
  <c r="AH600" i="1" s="1"/>
  <c r="AE601" i="1" a="1"/>
  <c r="AE601" i="1" s="1"/>
  <c r="AH601" i="1" s="1" a="1"/>
  <c r="AH601" i="1" s="1"/>
  <c r="AE604" i="1" a="1"/>
  <c r="AE604" i="1" s="1"/>
  <c r="AH604" i="1" s="1" a="1"/>
  <c r="AH604" i="1" s="1"/>
  <c r="AE605" i="1" a="1"/>
  <c r="AE605" i="1" s="1"/>
  <c r="AH605" i="1" s="1" a="1"/>
  <c r="AH605" i="1" s="1"/>
  <c r="AE607" i="1" a="1"/>
  <c r="AE607" i="1" s="1"/>
  <c r="AH607" i="1" s="1" a="1"/>
  <c r="AH607" i="1" s="1"/>
  <c r="AE608" i="1" a="1"/>
  <c r="AE608" i="1" s="1"/>
  <c r="AH608" i="1" s="1" a="1"/>
  <c r="AH608" i="1" s="1"/>
  <c r="AE609" i="1" a="1"/>
  <c r="AE609" i="1" s="1"/>
  <c r="AH609" i="1" s="1" a="1"/>
  <c r="AH609" i="1" s="1"/>
  <c r="AE610" i="1" a="1"/>
  <c r="AE610" i="1" s="1"/>
  <c r="AH610" i="1" s="1" a="1"/>
  <c r="AH610" i="1" s="1"/>
  <c r="AE611" i="1" a="1"/>
  <c r="AE611" i="1" s="1"/>
  <c r="AH611" i="1" s="1" a="1"/>
  <c r="AH611" i="1" s="1"/>
  <c r="AE612" i="1" a="1"/>
  <c r="AE612" i="1" s="1"/>
  <c r="AH612" i="1" s="1" a="1"/>
  <c r="AH612" i="1" s="1"/>
  <c r="AE613" i="1" a="1"/>
  <c r="AE613" i="1" s="1"/>
  <c r="AH613" i="1" s="1" a="1"/>
  <c r="AH613" i="1" s="1"/>
  <c r="AE614" i="1" a="1"/>
  <c r="AE614" i="1" s="1"/>
  <c r="AH614" i="1" s="1" a="1"/>
  <c r="AH614" i="1" s="1"/>
  <c r="AE615" i="1" a="1"/>
  <c r="AE615" i="1" s="1"/>
  <c r="AH615" i="1" s="1" a="1"/>
  <c r="AH615" i="1" s="1"/>
  <c r="AE616" i="1" a="1"/>
  <c r="AE616" i="1" s="1"/>
  <c r="AH616" i="1" s="1" a="1"/>
  <c r="AH616" i="1" s="1"/>
  <c r="AE617" i="1" a="1"/>
  <c r="AE617" i="1" s="1"/>
  <c r="AH617" i="1" s="1" a="1"/>
  <c r="AH617" i="1" s="1"/>
  <c r="AE618" i="1" a="1"/>
  <c r="AE618" i="1" s="1"/>
  <c r="AH618" i="1" s="1" a="1"/>
  <c r="AH618" i="1" s="1"/>
  <c r="AE619" i="1" a="1"/>
  <c r="AE619" i="1" s="1"/>
  <c r="AH619" i="1" s="1" a="1"/>
  <c r="AH619" i="1" s="1"/>
  <c r="AE620" i="1" a="1"/>
  <c r="AE620" i="1" s="1"/>
  <c r="AH620" i="1" s="1" a="1"/>
  <c r="AH620" i="1" s="1"/>
  <c r="AE621" i="1" a="1"/>
  <c r="AE621" i="1" s="1"/>
  <c r="AH621" i="1" s="1" a="1"/>
  <c r="AH621" i="1" s="1"/>
  <c r="AE622" i="1" a="1"/>
  <c r="AE622" i="1" s="1"/>
  <c r="AH622" i="1" s="1" a="1"/>
  <c r="AH622" i="1" s="1"/>
  <c r="AE623" i="1" a="1"/>
  <c r="AE623" i="1" s="1"/>
  <c r="AH623" i="1" s="1" a="1"/>
  <c r="AH623" i="1" s="1"/>
  <c r="AE624" i="1" a="1"/>
  <c r="AE624" i="1" s="1"/>
  <c r="AH624" i="1" s="1" a="1"/>
  <c r="AH624" i="1" s="1"/>
  <c r="AE625" i="1" a="1"/>
  <c r="AE625" i="1" s="1"/>
  <c r="AH625" i="1" s="1" a="1"/>
  <c r="AH625" i="1" s="1"/>
  <c r="AE626" i="1" a="1"/>
  <c r="AE626" i="1" s="1"/>
  <c r="AH626" i="1" s="1" a="1"/>
  <c r="AH626" i="1" s="1"/>
  <c r="AE627" i="1" a="1"/>
  <c r="AE627" i="1" s="1"/>
  <c r="AH627" i="1" s="1" a="1"/>
  <c r="AH627" i="1" s="1"/>
  <c r="AE628" i="1" a="1"/>
  <c r="AE628" i="1" s="1"/>
  <c r="AH628" i="1" s="1" a="1"/>
  <c r="AH628" i="1" s="1"/>
  <c r="AE629" i="1" a="1"/>
  <c r="AE629" i="1" s="1"/>
  <c r="AH629" i="1" s="1" a="1"/>
  <c r="AH629" i="1" s="1"/>
  <c r="AE630" i="1" a="1"/>
  <c r="AE630" i="1" s="1"/>
  <c r="AH630" i="1" s="1" a="1"/>
  <c r="AH630" i="1" s="1"/>
  <c r="AE631" i="1" a="1"/>
  <c r="AE631" i="1" s="1"/>
  <c r="AH631" i="1" s="1" a="1"/>
  <c r="AH631" i="1" s="1"/>
  <c r="AE632" i="1" a="1"/>
  <c r="AE632" i="1" s="1"/>
  <c r="AH632" i="1" s="1" a="1"/>
  <c r="AH632" i="1" s="1"/>
  <c r="AE633" i="1" a="1"/>
  <c r="AE633" i="1" s="1"/>
  <c r="AH633" i="1" s="1" a="1"/>
  <c r="AH633" i="1" s="1"/>
  <c r="AE634" i="1" a="1"/>
  <c r="AE634" i="1" s="1"/>
  <c r="AH634" i="1" s="1" a="1"/>
  <c r="AH634" i="1" s="1"/>
  <c r="AE635" i="1" a="1"/>
  <c r="AE635" i="1" s="1"/>
  <c r="AH635" i="1" s="1" a="1"/>
  <c r="AH635" i="1" s="1"/>
  <c r="AE636" i="1" a="1"/>
  <c r="AE636" i="1" s="1"/>
  <c r="AH636" i="1" s="1" a="1"/>
  <c r="AH636" i="1" s="1"/>
  <c r="AE637" i="1" a="1"/>
  <c r="AE637" i="1" s="1"/>
  <c r="AH637" i="1" s="1" a="1"/>
  <c r="AH637" i="1" s="1"/>
  <c r="AE638" i="1" a="1"/>
  <c r="AE638" i="1" s="1"/>
  <c r="AH638" i="1" s="1" a="1"/>
  <c r="AH638" i="1" s="1"/>
  <c r="AE639" i="1" a="1"/>
  <c r="AE639" i="1" s="1"/>
  <c r="AH639" i="1" s="1" a="1"/>
  <c r="AH639" i="1" s="1"/>
  <c r="AE640" i="1" a="1"/>
  <c r="AE640" i="1" s="1"/>
  <c r="AH640" i="1" s="1" a="1"/>
  <c r="AH640" i="1" s="1"/>
  <c r="AE641" i="1" a="1"/>
  <c r="AE641" i="1" s="1"/>
  <c r="AH641" i="1" s="1" a="1"/>
  <c r="AH641" i="1" s="1"/>
  <c r="AE642" i="1" a="1"/>
  <c r="AE642" i="1" s="1"/>
  <c r="AH642" i="1" s="1" a="1"/>
  <c r="AH642" i="1" s="1"/>
  <c r="AE643" i="1" a="1"/>
  <c r="AE643" i="1" s="1"/>
  <c r="AH643" i="1" s="1" a="1"/>
  <c r="AH643" i="1" s="1"/>
  <c r="AE644" i="1" a="1"/>
  <c r="AE644" i="1" s="1"/>
  <c r="AH644" i="1" s="1" a="1"/>
  <c r="AH644" i="1" s="1"/>
  <c r="AE645" i="1" a="1"/>
  <c r="AE645" i="1" s="1"/>
  <c r="AH645" i="1" s="1" a="1"/>
  <c r="AH645" i="1" s="1"/>
  <c r="AE646" i="1" a="1"/>
  <c r="AE646" i="1" s="1"/>
  <c r="AH646" i="1" s="1" a="1"/>
  <c r="AH646" i="1" s="1"/>
  <c r="AE647" i="1" a="1"/>
  <c r="AE647" i="1" s="1"/>
  <c r="AH647" i="1" s="1" a="1"/>
  <c r="AH647" i="1" s="1"/>
  <c r="AE648" i="1" a="1"/>
  <c r="AE648" i="1" s="1"/>
  <c r="AH648" i="1" s="1" a="1"/>
  <c r="AH648" i="1" s="1"/>
  <c r="AE649" i="1" a="1"/>
  <c r="AE649" i="1" s="1"/>
  <c r="AH649" i="1" s="1" a="1"/>
  <c r="AH649" i="1" s="1"/>
  <c r="AE650" i="1" a="1"/>
  <c r="AE650" i="1" s="1"/>
  <c r="AH650" i="1" s="1" a="1"/>
  <c r="AH650" i="1" s="1"/>
  <c r="AE651" i="1" a="1"/>
  <c r="AE651" i="1" s="1"/>
  <c r="AH651" i="1" s="1" a="1"/>
  <c r="AH651" i="1" s="1"/>
  <c r="AE652" i="1" a="1"/>
  <c r="AE652" i="1" s="1"/>
  <c r="AH652" i="1" s="1" a="1"/>
  <c r="AH652" i="1" s="1"/>
  <c r="AE653" i="1" a="1"/>
  <c r="AE653" i="1" s="1"/>
  <c r="AH653" i="1" s="1" a="1"/>
  <c r="AH653" i="1" s="1"/>
  <c r="AE654" i="1" a="1"/>
  <c r="AE654" i="1" s="1"/>
  <c r="AH654" i="1" s="1" a="1"/>
  <c r="AH654" i="1" s="1"/>
  <c r="AE655" i="1" a="1"/>
  <c r="AE655" i="1" s="1"/>
  <c r="AH655" i="1" s="1" a="1"/>
  <c r="AH655" i="1" s="1"/>
  <c r="AE656" i="1" a="1"/>
  <c r="AE656" i="1" s="1"/>
  <c r="AH656" i="1" s="1" a="1"/>
  <c r="AH656" i="1" s="1"/>
  <c r="AE657" i="1" a="1"/>
  <c r="AE657" i="1" s="1"/>
  <c r="AH657" i="1" s="1" a="1"/>
  <c r="AH657" i="1" s="1"/>
  <c r="AE658" i="1" a="1"/>
  <c r="AE658" i="1" s="1"/>
  <c r="AH658" i="1" s="1" a="1"/>
  <c r="AH658" i="1" s="1"/>
  <c r="AE659" i="1" a="1"/>
  <c r="AE659" i="1" s="1"/>
  <c r="AH659" i="1" s="1" a="1"/>
  <c r="AH659" i="1" s="1"/>
  <c r="AE660" i="1" a="1"/>
  <c r="AE660" i="1" s="1"/>
  <c r="AH660" i="1" s="1" a="1"/>
  <c r="AH660" i="1" s="1"/>
  <c r="AE661" i="1" a="1"/>
  <c r="AE661" i="1" s="1"/>
  <c r="AH661" i="1" s="1" a="1"/>
  <c r="AH661" i="1" s="1"/>
  <c r="AE663" i="1" a="1"/>
  <c r="AE663" i="1" s="1"/>
  <c r="AH663" i="1" s="1" a="1"/>
  <c r="AH663" i="1" s="1"/>
  <c r="AE664" i="1" a="1"/>
  <c r="AE664" i="1" s="1"/>
  <c r="AH664" i="1" s="1" a="1"/>
  <c r="AH664" i="1" s="1"/>
  <c r="AE665" i="1" a="1"/>
  <c r="AE665" i="1" s="1"/>
  <c r="AH665" i="1" s="1" a="1"/>
  <c r="AH665" i="1" s="1"/>
  <c r="AE666" i="1" a="1"/>
  <c r="AE666" i="1" s="1"/>
  <c r="AH666" i="1" s="1" a="1"/>
  <c r="AH666" i="1" s="1"/>
  <c r="AE667" i="1" a="1"/>
  <c r="AE667" i="1" s="1"/>
  <c r="AH667" i="1" s="1" a="1"/>
  <c r="AH667" i="1" s="1"/>
  <c r="AE668" i="1" a="1"/>
  <c r="AE668" i="1" s="1"/>
  <c r="AH668" i="1" s="1" a="1"/>
  <c r="AH668" i="1" s="1"/>
  <c r="AE669" i="1" a="1"/>
  <c r="AE669" i="1" s="1"/>
  <c r="AH669" i="1" s="1" a="1"/>
  <c r="AH669" i="1" s="1"/>
  <c r="AE670" i="1" a="1"/>
  <c r="AE670" i="1" s="1"/>
  <c r="AH670" i="1" s="1" a="1"/>
  <c r="AH670" i="1" s="1"/>
  <c r="AE671" i="1" a="1"/>
  <c r="AE671" i="1" s="1"/>
  <c r="AH671" i="1" s="1" a="1"/>
  <c r="AH671" i="1" s="1"/>
  <c r="AE672" i="1" a="1"/>
  <c r="AE672" i="1" s="1"/>
  <c r="AH672" i="1" s="1" a="1"/>
  <c r="AH672" i="1" s="1"/>
  <c r="AE673" i="1" a="1"/>
  <c r="AE673" i="1" s="1"/>
  <c r="AH673" i="1" s="1" a="1"/>
  <c r="AH673" i="1" s="1"/>
  <c r="AE674" i="1" a="1"/>
  <c r="AE674" i="1" s="1"/>
  <c r="AH674" i="1" s="1" a="1"/>
  <c r="AH674" i="1" s="1"/>
  <c r="AE675" i="1" a="1"/>
  <c r="AE675" i="1" s="1"/>
  <c r="AH675" i="1" s="1" a="1"/>
  <c r="AH675" i="1" s="1"/>
  <c r="AE676" i="1" a="1"/>
  <c r="AE676" i="1" s="1"/>
  <c r="AH676" i="1" s="1" a="1"/>
  <c r="AH676" i="1" s="1"/>
  <c r="AE677" i="1" a="1"/>
  <c r="AE677" i="1" s="1"/>
  <c r="AH677" i="1" s="1" a="1"/>
  <c r="AH677" i="1" s="1"/>
  <c r="AE678" i="1" a="1"/>
  <c r="AE678" i="1" s="1"/>
  <c r="AH678" i="1" s="1" a="1"/>
  <c r="AH678" i="1" s="1"/>
  <c r="AE679" i="1" a="1"/>
  <c r="AE679" i="1" s="1"/>
  <c r="AH679" i="1" s="1" a="1"/>
  <c r="AH679" i="1" s="1"/>
  <c r="AE680" i="1" a="1"/>
  <c r="AE680" i="1" s="1"/>
  <c r="AH680" i="1" s="1" a="1"/>
  <c r="AH680" i="1" s="1"/>
  <c r="AE681" i="1" a="1"/>
  <c r="AE681" i="1" s="1"/>
  <c r="AH681" i="1" s="1" a="1"/>
  <c r="AH681" i="1" s="1"/>
  <c r="AE682" i="1" a="1"/>
  <c r="AE682" i="1" s="1"/>
  <c r="AH682" i="1" s="1" a="1"/>
  <c r="AH682" i="1" s="1"/>
  <c r="AE683" i="1" a="1"/>
  <c r="AE683" i="1" s="1"/>
  <c r="AH683" i="1" s="1" a="1"/>
  <c r="AH683" i="1" s="1"/>
  <c r="AE684" i="1" a="1"/>
  <c r="AE684" i="1" s="1"/>
  <c r="AH684" i="1" s="1" a="1"/>
  <c r="AH684" i="1" s="1"/>
  <c r="AE685" i="1" a="1"/>
  <c r="AE685" i="1" s="1"/>
  <c r="AH685" i="1" s="1" a="1"/>
  <c r="AH685" i="1" s="1"/>
  <c r="AE686" i="1" a="1"/>
  <c r="AE686" i="1" s="1"/>
  <c r="AH686" i="1" s="1" a="1"/>
  <c r="AH686" i="1" s="1"/>
  <c r="AE687" i="1" a="1"/>
  <c r="AE687" i="1" s="1"/>
  <c r="AH687" i="1" s="1" a="1"/>
  <c r="AH687" i="1" s="1"/>
  <c r="AE688" i="1" a="1"/>
  <c r="AE688" i="1" s="1"/>
  <c r="AH688" i="1" s="1" a="1"/>
  <c r="AH688" i="1" s="1"/>
  <c r="AE689" i="1" a="1"/>
  <c r="AE689" i="1" s="1"/>
  <c r="AH689" i="1" s="1" a="1"/>
  <c r="AH689" i="1" s="1"/>
  <c r="AE690" i="1" a="1"/>
  <c r="AE690" i="1" s="1"/>
  <c r="AH690" i="1" s="1" a="1"/>
  <c r="AH690" i="1" s="1"/>
  <c r="AE691" i="1" a="1"/>
  <c r="AE691" i="1" s="1"/>
  <c r="AH691" i="1" s="1" a="1"/>
  <c r="AH691" i="1" s="1"/>
  <c r="AE692" i="1" a="1"/>
  <c r="AE692" i="1" s="1"/>
  <c r="AH692" i="1" s="1" a="1"/>
  <c r="AH692" i="1" s="1"/>
  <c r="AE693" i="1" a="1"/>
  <c r="AE693" i="1" s="1"/>
  <c r="AH693" i="1" s="1" a="1"/>
  <c r="AH693" i="1" s="1"/>
  <c r="AE694" i="1" a="1"/>
  <c r="AE694" i="1" s="1"/>
  <c r="AH694" i="1" s="1" a="1"/>
  <c r="AH694" i="1" s="1"/>
  <c r="AE695" i="1" a="1"/>
  <c r="AE695" i="1" s="1"/>
  <c r="AH695" i="1" s="1" a="1"/>
  <c r="AH695" i="1" s="1"/>
  <c r="AE696" i="1" a="1"/>
  <c r="AE696" i="1" s="1"/>
  <c r="AH696" i="1" s="1" a="1"/>
  <c r="AH696" i="1" s="1"/>
  <c r="AE697" i="1" a="1"/>
  <c r="AE697" i="1" s="1"/>
  <c r="AH697" i="1" s="1" a="1"/>
  <c r="AH697" i="1" s="1"/>
  <c r="AE698" i="1" a="1"/>
  <c r="AE698" i="1" s="1"/>
  <c r="AH698" i="1" s="1" a="1"/>
  <c r="AH698" i="1" s="1"/>
  <c r="AE699" i="1" a="1"/>
  <c r="AE699" i="1" s="1"/>
  <c r="AH699" i="1" s="1" a="1"/>
  <c r="AH699" i="1" s="1"/>
  <c r="AE700" i="1" a="1"/>
  <c r="AE700" i="1" s="1"/>
  <c r="AH700" i="1" s="1" a="1"/>
  <c r="AH700" i="1" s="1"/>
  <c r="AE701" i="1" a="1"/>
  <c r="AE701" i="1" s="1"/>
  <c r="AH701" i="1" s="1" a="1"/>
  <c r="AH701" i="1" s="1"/>
  <c r="AE702" i="1" a="1"/>
  <c r="AE702" i="1" s="1"/>
  <c r="AH702" i="1" s="1" a="1"/>
  <c r="AH702" i="1" s="1"/>
  <c r="AE703" i="1" a="1"/>
  <c r="AE703" i="1" s="1"/>
  <c r="AH703" i="1" s="1" a="1"/>
  <c r="AH703" i="1" s="1"/>
  <c r="AE704" i="1" a="1"/>
  <c r="AE704" i="1" s="1"/>
  <c r="AH704" i="1" s="1" a="1"/>
  <c r="AH704" i="1" s="1"/>
  <c r="AE705" i="1" a="1"/>
  <c r="AE705" i="1" s="1"/>
  <c r="AH705" i="1" s="1" a="1"/>
  <c r="AH705" i="1" s="1"/>
  <c r="AE706" i="1" a="1"/>
  <c r="AE706" i="1" s="1"/>
  <c r="AH706" i="1" s="1" a="1"/>
  <c r="AH706" i="1" s="1"/>
  <c r="AE707" i="1" a="1"/>
  <c r="AE707" i="1" s="1"/>
  <c r="AH707" i="1" s="1" a="1"/>
  <c r="AH707" i="1" s="1"/>
  <c r="AE708" i="1" a="1"/>
  <c r="AE708" i="1" s="1"/>
  <c r="AH708" i="1" s="1" a="1"/>
  <c r="AH708" i="1" s="1"/>
  <c r="AE709" i="1" a="1"/>
  <c r="AE709" i="1" s="1"/>
  <c r="AH709" i="1" s="1" a="1"/>
  <c r="AH709" i="1" s="1"/>
  <c r="AE710" i="1" a="1"/>
  <c r="AE710" i="1" s="1"/>
  <c r="AH710" i="1" s="1" a="1"/>
  <c r="AH710" i="1" s="1"/>
  <c r="AE711" i="1" a="1"/>
  <c r="AE711" i="1" s="1"/>
  <c r="AH711" i="1" s="1" a="1"/>
  <c r="AH711" i="1" s="1"/>
  <c r="AE712" i="1" a="1"/>
  <c r="AE712" i="1" s="1"/>
  <c r="AH712" i="1" s="1" a="1"/>
  <c r="AH712" i="1" s="1"/>
  <c r="AE713" i="1" a="1"/>
  <c r="AE713" i="1" s="1"/>
  <c r="AH713" i="1" s="1" a="1"/>
  <c r="AH713" i="1" s="1"/>
  <c r="AE714" i="1" a="1"/>
  <c r="AE714" i="1" s="1"/>
  <c r="AH714" i="1" s="1" a="1"/>
  <c r="AH714" i="1" s="1"/>
  <c r="AE715" i="1" a="1"/>
  <c r="AE715" i="1" s="1"/>
  <c r="AH715" i="1" s="1" a="1"/>
  <c r="AH715" i="1" s="1"/>
  <c r="AE716" i="1" a="1"/>
  <c r="AE716" i="1" s="1"/>
  <c r="AH716" i="1" s="1" a="1"/>
  <c r="AH716" i="1" s="1"/>
  <c r="AE717" i="1" a="1"/>
  <c r="AE717" i="1" s="1"/>
  <c r="AH717" i="1" s="1" a="1"/>
  <c r="AH717" i="1" s="1"/>
  <c r="AE718" i="1" a="1"/>
  <c r="AE718" i="1" s="1"/>
  <c r="AH718" i="1" s="1" a="1"/>
  <c r="AH718" i="1" s="1"/>
  <c r="AE719" i="1" a="1"/>
  <c r="AE719" i="1" s="1"/>
  <c r="AH719" i="1" s="1" a="1"/>
  <c r="AH719" i="1" s="1"/>
  <c r="AE720" i="1" a="1"/>
  <c r="AE720" i="1" s="1"/>
  <c r="AH720" i="1" s="1" a="1"/>
  <c r="AH720" i="1" s="1"/>
  <c r="AE721" i="1" a="1"/>
  <c r="AE721" i="1" s="1"/>
  <c r="AH721" i="1" s="1" a="1"/>
  <c r="AH721" i="1" s="1"/>
  <c r="AE722" i="1" a="1"/>
  <c r="AE722" i="1" s="1"/>
  <c r="AH722" i="1" s="1" a="1"/>
  <c r="AH722" i="1" s="1"/>
  <c r="AE723" i="1" a="1"/>
  <c r="AE723" i="1" s="1"/>
  <c r="AH723" i="1" s="1" a="1"/>
  <c r="AH723" i="1" s="1"/>
  <c r="AE724" i="1" a="1"/>
  <c r="AE724" i="1" s="1"/>
  <c r="AH724" i="1" s="1" a="1"/>
  <c r="AH724" i="1" s="1"/>
  <c r="AE725" i="1" a="1"/>
  <c r="AE725" i="1" s="1"/>
  <c r="AH725" i="1" s="1" a="1"/>
  <c r="AH725" i="1" s="1"/>
  <c r="AE726" i="1" a="1"/>
  <c r="AE726" i="1" s="1"/>
  <c r="AH726" i="1" s="1" a="1"/>
  <c r="AH726" i="1" s="1"/>
  <c r="AE727" i="1" a="1"/>
  <c r="AE727" i="1" s="1"/>
  <c r="AH727" i="1" s="1" a="1"/>
  <c r="AH727" i="1" s="1"/>
  <c r="AE728" i="1" a="1"/>
  <c r="AE728" i="1" s="1"/>
  <c r="AH728" i="1" s="1" a="1"/>
  <c r="AH728" i="1" s="1"/>
  <c r="AE729" i="1" a="1"/>
  <c r="AE729" i="1" s="1"/>
  <c r="AH729" i="1" s="1" a="1"/>
  <c r="AH729" i="1" s="1"/>
  <c r="AE730" i="1" a="1"/>
  <c r="AE730" i="1" s="1"/>
  <c r="AH730" i="1" s="1" a="1"/>
  <c r="AH730" i="1" s="1"/>
  <c r="AE731" i="1" a="1"/>
  <c r="AE731" i="1" s="1"/>
  <c r="AH731" i="1" s="1" a="1"/>
  <c r="AH731" i="1" s="1"/>
  <c r="AE732" i="1" a="1"/>
  <c r="AE732" i="1" s="1"/>
  <c r="AH732" i="1" s="1" a="1"/>
  <c r="AH732" i="1" s="1"/>
  <c r="AE733" i="1" a="1"/>
  <c r="AE733" i="1" s="1"/>
  <c r="AH733" i="1" s="1" a="1"/>
  <c r="AH733" i="1" s="1"/>
  <c r="AE734" i="1" a="1"/>
  <c r="AE734" i="1" s="1"/>
  <c r="AH734" i="1" s="1" a="1"/>
  <c r="AH734" i="1" s="1"/>
  <c r="AE735" i="1" a="1"/>
  <c r="AE735" i="1" s="1"/>
  <c r="AH735" i="1" s="1" a="1"/>
  <c r="AH735" i="1" s="1"/>
  <c r="AE736" i="1" a="1"/>
  <c r="AE736" i="1" s="1"/>
  <c r="AH736" i="1" s="1" a="1"/>
  <c r="AH736" i="1" s="1"/>
  <c r="AE737" i="1" a="1"/>
  <c r="AE737" i="1" s="1"/>
  <c r="AH737" i="1" s="1" a="1"/>
  <c r="AH737" i="1" s="1"/>
  <c r="AE738" i="1" a="1"/>
  <c r="AE738" i="1" s="1"/>
  <c r="AH738" i="1" s="1" a="1"/>
  <c r="AH738" i="1" s="1"/>
  <c r="AE739" i="1" a="1"/>
  <c r="AE739" i="1" s="1"/>
  <c r="AH739" i="1" s="1" a="1"/>
  <c r="AH739" i="1" s="1"/>
  <c r="AE740" i="1" a="1"/>
  <c r="AE740" i="1" s="1"/>
  <c r="AH740" i="1" s="1" a="1"/>
  <c r="AH740" i="1" s="1"/>
  <c r="AE741" i="1" a="1"/>
  <c r="AE741" i="1" s="1"/>
  <c r="AH741" i="1" s="1" a="1"/>
  <c r="AH741" i="1" s="1"/>
  <c r="AE742" i="1" a="1"/>
  <c r="AE742" i="1" s="1"/>
  <c r="AH742" i="1" s="1" a="1"/>
  <c r="AH742" i="1" s="1"/>
  <c r="AE743" i="1" a="1"/>
  <c r="AE743" i="1" s="1"/>
  <c r="AH743" i="1" s="1" a="1"/>
  <c r="AH743" i="1" s="1"/>
  <c r="AE744" i="1" a="1"/>
  <c r="AE744" i="1" s="1"/>
  <c r="AH744" i="1" s="1" a="1"/>
  <c r="AH744" i="1" s="1"/>
  <c r="AE745" i="1" a="1"/>
  <c r="AE745" i="1" s="1"/>
  <c r="AH745" i="1" s="1" a="1"/>
  <c r="AH745" i="1" s="1"/>
  <c r="AE746" i="1" a="1"/>
  <c r="AE746" i="1" s="1"/>
  <c r="AH746" i="1" s="1" a="1"/>
  <c r="AH746" i="1" s="1"/>
  <c r="AE747" i="1" a="1"/>
  <c r="AE747" i="1" s="1"/>
  <c r="AH747" i="1" s="1" a="1"/>
  <c r="AH747" i="1" s="1"/>
  <c r="AE748" i="1" a="1"/>
  <c r="AE748" i="1" s="1"/>
  <c r="AH748" i="1" s="1" a="1"/>
  <c r="AH748" i="1" s="1"/>
  <c r="AE749" i="1" a="1"/>
  <c r="AE749" i="1" s="1"/>
  <c r="AH749" i="1" s="1" a="1"/>
  <c r="AH749" i="1" s="1"/>
  <c r="AE750" i="1" a="1"/>
  <c r="AE750" i="1" s="1"/>
  <c r="AH750" i="1" s="1" a="1"/>
  <c r="AH750" i="1" s="1"/>
  <c r="AE751" i="1" a="1"/>
  <c r="AE751" i="1" s="1"/>
  <c r="AH751" i="1" s="1" a="1"/>
  <c r="AH751" i="1" s="1"/>
  <c r="AE752" i="1" a="1"/>
  <c r="AE752" i="1" s="1"/>
  <c r="AH752" i="1" s="1" a="1"/>
  <c r="AH752" i="1" s="1"/>
  <c r="AE753" i="1" a="1"/>
  <c r="AE753" i="1" s="1"/>
  <c r="AH753" i="1" s="1" a="1"/>
  <c r="AH753" i="1" s="1"/>
  <c r="AE754" i="1" a="1"/>
  <c r="AE754" i="1" s="1"/>
  <c r="AH754" i="1" s="1" a="1"/>
  <c r="AH754" i="1" s="1"/>
  <c r="AE760" i="1" a="1"/>
  <c r="AE760" i="1" s="1"/>
  <c r="AH760" i="1" s="1" a="1"/>
  <c r="AH760" i="1" s="1"/>
  <c r="AE761" i="1" a="1"/>
  <c r="AE761" i="1" s="1"/>
  <c r="AH761" i="1" s="1" a="1"/>
  <c r="AH761" i="1" s="1"/>
  <c r="AE762" i="1" a="1"/>
  <c r="AE762" i="1" s="1"/>
  <c r="AH762" i="1" s="1" a="1"/>
  <c r="AH762" i="1" s="1"/>
  <c r="AE763" i="1" a="1"/>
  <c r="AE763" i="1" s="1"/>
  <c r="AH763" i="1" s="1" a="1"/>
  <c r="AH763" i="1" s="1"/>
  <c r="AE764" i="1" a="1"/>
  <c r="AE764" i="1" s="1"/>
  <c r="AH764" i="1" s="1" a="1"/>
  <c r="AH764" i="1" s="1"/>
  <c r="AE765" i="1" a="1"/>
  <c r="AE765" i="1" s="1"/>
  <c r="AH765" i="1" s="1" a="1"/>
  <c r="AH765" i="1" s="1"/>
  <c r="AE766" i="1" a="1"/>
  <c r="AE766" i="1" s="1"/>
  <c r="AH766" i="1" s="1" a="1"/>
  <c r="AH766" i="1" s="1"/>
  <c r="AE767" i="1" a="1"/>
  <c r="AE767" i="1" s="1"/>
  <c r="AH767" i="1" s="1" a="1"/>
  <c r="AH767" i="1" s="1"/>
  <c r="AE768" i="1" a="1"/>
  <c r="AE768" i="1" s="1"/>
  <c r="AH768" i="1" s="1" a="1"/>
  <c r="AH768" i="1" s="1"/>
  <c r="AE769" i="1" a="1"/>
  <c r="AE769" i="1" s="1"/>
  <c r="AH769" i="1" s="1" a="1"/>
  <c r="AH769" i="1" s="1"/>
  <c r="AE770" i="1" a="1"/>
  <c r="AE770" i="1" s="1"/>
  <c r="AH770" i="1" s="1" a="1"/>
  <c r="AH770" i="1" s="1"/>
  <c r="AE771" i="1" a="1"/>
  <c r="AE771" i="1" s="1"/>
  <c r="AH771" i="1" s="1" a="1"/>
  <c r="AH771" i="1" s="1"/>
  <c r="AE772" i="1" a="1"/>
  <c r="AE772" i="1" s="1"/>
  <c r="AH772" i="1" s="1" a="1"/>
  <c r="AH772" i="1" s="1"/>
  <c r="AE773" i="1" a="1"/>
  <c r="AE773" i="1" s="1"/>
  <c r="AH773" i="1" s="1" a="1"/>
  <c r="AH773" i="1" s="1"/>
  <c r="AE774" i="1" a="1"/>
  <c r="AE774" i="1" s="1"/>
  <c r="AH774" i="1" s="1" a="1"/>
  <c r="AH774" i="1" s="1"/>
  <c r="AE775" i="1" a="1"/>
  <c r="AE775" i="1" s="1"/>
  <c r="AH775" i="1" s="1" a="1"/>
  <c r="AH775" i="1" s="1"/>
  <c r="AE776" i="1" a="1"/>
  <c r="AE776" i="1" s="1"/>
  <c r="AH776" i="1" s="1" a="1"/>
  <c r="AH776" i="1" s="1"/>
  <c r="AE777" i="1" a="1"/>
  <c r="AE777" i="1" s="1"/>
  <c r="AH777" i="1" s="1" a="1"/>
  <c r="AH777" i="1" s="1"/>
  <c r="AE778" i="1" a="1"/>
  <c r="AE778" i="1" s="1"/>
  <c r="AH778" i="1" s="1" a="1"/>
  <c r="AH778" i="1" s="1"/>
  <c r="AE779" i="1" a="1"/>
  <c r="AE779" i="1" s="1"/>
  <c r="AH779" i="1" s="1" a="1"/>
  <c r="AH779" i="1" s="1"/>
  <c r="AE780" i="1" a="1"/>
  <c r="AE780" i="1" s="1"/>
  <c r="AH780" i="1" s="1" a="1"/>
  <c r="AH780" i="1" s="1"/>
  <c r="AE781" i="1" a="1"/>
  <c r="AE781" i="1" s="1"/>
  <c r="AH781" i="1" s="1" a="1"/>
  <c r="AH781" i="1" s="1"/>
  <c r="AE782" i="1" a="1"/>
  <c r="AE782" i="1" s="1"/>
  <c r="AH782" i="1" s="1" a="1"/>
  <c r="AH782" i="1" s="1"/>
  <c r="AE783" i="1" a="1"/>
  <c r="AE783" i="1" s="1"/>
  <c r="AH783" i="1" s="1" a="1"/>
  <c r="AH783" i="1" s="1"/>
  <c r="AE784" i="1" a="1"/>
  <c r="AE784" i="1" s="1"/>
  <c r="AH784" i="1" s="1" a="1"/>
  <c r="AH784" i="1" s="1"/>
  <c r="AE785" i="1" a="1"/>
  <c r="AE785" i="1" s="1"/>
  <c r="AH785" i="1" s="1" a="1"/>
  <c r="AH785" i="1" s="1"/>
  <c r="AE786" i="1" a="1"/>
  <c r="AE786" i="1" s="1"/>
  <c r="AH786" i="1" s="1" a="1"/>
  <c r="AH786" i="1" s="1"/>
  <c r="AE787" i="1" a="1"/>
  <c r="AE787" i="1" s="1"/>
  <c r="AH787" i="1" s="1" a="1"/>
  <c r="AH787" i="1" s="1"/>
  <c r="AE788" i="1" a="1"/>
  <c r="AE788" i="1" s="1"/>
  <c r="AH788" i="1" s="1" a="1"/>
  <c r="AH788" i="1" s="1"/>
  <c r="AE789" i="1" a="1"/>
  <c r="AE789" i="1" s="1"/>
  <c r="AH789" i="1" s="1" a="1"/>
  <c r="AH789" i="1" s="1"/>
  <c r="AE790" i="1" a="1"/>
  <c r="AE790" i="1" s="1"/>
  <c r="AH790" i="1" s="1" a="1"/>
  <c r="AH790" i="1" s="1"/>
  <c r="AE791" i="1" a="1"/>
  <c r="AE791" i="1" s="1"/>
  <c r="AH791" i="1" s="1" a="1"/>
  <c r="AH791" i="1" s="1"/>
  <c r="AE792" i="1" a="1"/>
  <c r="AE792" i="1" s="1"/>
  <c r="AH792" i="1" s="1" a="1"/>
  <c r="AH792" i="1" s="1"/>
  <c r="AE793" i="1" a="1"/>
  <c r="AE793" i="1" s="1"/>
  <c r="AH793" i="1" s="1" a="1"/>
  <c r="AH793" i="1" s="1"/>
  <c r="AE794" i="1" a="1"/>
  <c r="AE794" i="1" s="1"/>
  <c r="AH794" i="1" s="1" a="1"/>
  <c r="AH794" i="1" s="1"/>
  <c r="AE795" i="1" a="1"/>
  <c r="AE795" i="1" s="1"/>
  <c r="AH795" i="1" s="1" a="1"/>
  <c r="AH795" i="1" s="1"/>
  <c r="AE796" i="1" a="1"/>
  <c r="AE796" i="1" s="1"/>
  <c r="AH796" i="1" s="1" a="1"/>
  <c r="AH796" i="1" s="1"/>
  <c r="AE797" i="1" a="1"/>
  <c r="AE797" i="1" s="1"/>
  <c r="AH797" i="1" s="1" a="1"/>
  <c r="AH797" i="1" s="1"/>
  <c r="AE798" i="1" a="1"/>
  <c r="AE798" i="1" s="1"/>
  <c r="AH798" i="1" s="1" a="1"/>
  <c r="AH798" i="1" s="1"/>
  <c r="AE799" i="1" a="1"/>
  <c r="AE799" i="1" s="1"/>
  <c r="AH799" i="1" s="1" a="1"/>
  <c r="AH799" i="1" s="1"/>
  <c r="AE800" i="1" a="1"/>
  <c r="AE800" i="1" s="1"/>
  <c r="AH800" i="1" s="1" a="1"/>
  <c r="AH800" i="1" s="1"/>
  <c r="AE801" i="1" a="1"/>
  <c r="AE801" i="1" s="1"/>
  <c r="AH801" i="1" s="1" a="1"/>
  <c r="AH801" i="1" s="1"/>
  <c r="AE802" i="1" a="1"/>
  <c r="AE802" i="1" s="1"/>
  <c r="AH802" i="1" s="1" a="1"/>
  <c r="AH802" i="1" s="1"/>
  <c r="AE803" i="1" a="1"/>
  <c r="AE803" i="1" s="1"/>
  <c r="AH803" i="1" s="1" a="1"/>
  <c r="AH803" i="1" s="1"/>
  <c r="AE804" i="1" a="1"/>
  <c r="AE804" i="1" s="1"/>
  <c r="AH804" i="1" s="1" a="1"/>
  <c r="AH804" i="1" s="1"/>
  <c r="AE805" i="1" a="1"/>
  <c r="AE805" i="1" s="1"/>
  <c r="AH805" i="1" s="1" a="1"/>
  <c r="AH805" i="1" s="1"/>
  <c r="AE806" i="1" a="1"/>
  <c r="AE806" i="1" s="1"/>
  <c r="AH806" i="1" s="1" a="1"/>
  <c r="AH806" i="1" s="1"/>
  <c r="AE807" i="1" a="1"/>
  <c r="AE807" i="1" s="1"/>
  <c r="AH807" i="1" s="1" a="1"/>
  <c r="AH807" i="1" s="1"/>
  <c r="AE808" i="1" a="1"/>
  <c r="AE808" i="1" s="1"/>
  <c r="AH808" i="1" s="1" a="1"/>
  <c r="AH808" i="1" s="1"/>
  <c r="AE809" i="1" a="1"/>
  <c r="AE809" i="1" s="1"/>
  <c r="AH809" i="1" s="1" a="1"/>
  <c r="AH809" i="1" s="1"/>
  <c r="AE810" i="1" a="1"/>
  <c r="AE810" i="1" s="1"/>
  <c r="AH810" i="1" s="1" a="1"/>
  <c r="AH810" i="1" s="1"/>
  <c r="AE811" i="1" a="1"/>
  <c r="AE811" i="1" s="1"/>
  <c r="AH811" i="1" s="1" a="1"/>
  <c r="AH811" i="1" s="1"/>
  <c r="AE812" i="1" a="1"/>
  <c r="AE812" i="1" s="1"/>
  <c r="AH812" i="1" s="1" a="1"/>
  <c r="AH812" i="1" s="1"/>
  <c r="AE813" i="1" a="1"/>
  <c r="AE813" i="1" s="1"/>
  <c r="AH813" i="1" s="1" a="1"/>
  <c r="AH813" i="1" s="1"/>
  <c r="AE814" i="1" a="1"/>
  <c r="AE814" i="1" s="1"/>
  <c r="AH814" i="1" s="1" a="1"/>
  <c r="AH814" i="1" s="1"/>
  <c r="AE815" i="1" a="1"/>
  <c r="AE815" i="1" s="1"/>
  <c r="AH815" i="1" s="1" a="1"/>
  <c r="AH815" i="1" s="1"/>
  <c r="AE816" i="1" a="1"/>
  <c r="AE816" i="1" s="1"/>
  <c r="AH816" i="1" s="1" a="1"/>
  <c r="AH816" i="1" s="1"/>
  <c r="AE817" i="1" a="1"/>
  <c r="AE817" i="1" s="1"/>
  <c r="AH817" i="1" s="1" a="1"/>
  <c r="AH817" i="1" s="1"/>
  <c r="AE818" i="1" a="1"/>
  <c r="AE818" i="1" s="1"/>
  <c r="AH818" i="1" s="1" a="1"/>
  <c r="AH818" i="1" s="1"/>
  <c r="AE819" i="1" a="1"/>
  <c r="AE819" i="1" s="1"/>
  <c r="AH819" i="1" s="1" a="1"/>
  <c r="AH819" i="1" s="1"/>
  <c r="AE820" i="1" a="1"/>
  <c r="AE820" i="1" s="1"/>
  <c r="AH820" i="1" s="1" a="1"/>
  <c r="AH820" i="1" s="1"/>
  <c r="AE821" i="1" a="1"/>
  <c r="AE821" i="1" s="1"/>
  <c r="AH821" i="1" s="1" a="1"/>
  <c r="AH821" i="1" s="1"/>
  <c r="AE822" i="1" a="1"/>
  <c r="AE822" i="1" s="1"/>
  <c r="AH822" i="1" s="1" a="1"/>
  <c r="AH822" i="1" s="1"/>
  <c r="AE823" i="1" a="1"/>
  <c r="AE823" i="1" s="1"/>
  <c r="AH823" i="1" s="1" a="1"/>
  <c r="AH823" i="1" s="1"/>
  <c r="AE824" i="1" a="1"/>
  <c r="AE824" i="1" s="1"/>
  <c r="AH824" i="1" s="1" a="1"/>
  <c r="AH824" i="1" s="1"/>
  <c r="AE825" i="1" a="1"/>
  <c r="AE825" i="1" s="1"/>
  <c r="AH825" i="1" s="1" a="1"/>
  <c r="AH825" i="1" s="1"/>
  <c r="AE826" i="1" a="1"/>
  <c r="AE826" i="1" s="1"/>
  <c r="AH826" i="1" s="1" a="1"/>
  <c r="AH826" i="1" s="1"/>
  <c r="AE827" i="1" a="1"/>
  <c r="AE827" i="1" s="1"/>
  <c r="AH827" i="1" s="1" a="1"/>
  <c r="AH827" i="1" s="1"/>
  <c r="AE828" i="1" a="1"/>
  <c r="AE828" i="1" s="1"/>
  <c r="AH828" i="1" s="1" a="1"/>
  <c r="AH828" i="1" s="1"/>
  <c r="AE829" i="1" a="1"/>
  <c r="AE829" i="1" s="1"/>
  <c r="AH829" i="1" s="1" a="1"/>
  <c r="AH829" i="1" s="1"/>
  <c r="AE830" i="1" a="1"/>
  <c r="AE830" i="1" s="1"/>
  <c r="AH830" i="1" s="1" a="1"/>
  <c r="AH830" i="1" s="1"/>
  <c r="AE831" i="1" a="1"/>
  <c r="AE831" i="1" s="1"/>
  <c r="AH831" i="1" s="1" a="1"/>
  <c r="AH831" i="1" s="1"/>
  <c r="AE832" i="1" a="1"/>
  <c r="AE832" i="1" s="1"/>
  <c r="AH832" i="1" s="1" a="1"/>
  <c r="AH832" i="1" s="1"/>
  <c r="AE833" i="1" a="1"/>
  <c r="AE833" i="1" s="1"/>
  <c r="AH833" i="1" s="1" a="1"/>
  <c r="AH833" i="1" s="1"/>
  <c r="AE834" i="1" a="1"/>
  <c r="AE834" i="1" s="1"/>
  <c r="AH834" i="1" s="1" a="1"/>
  <c r="AH834" i="1" s="1"/>
  <c r="AE835" i="1" a="1"/>
  <c r="AE835" i="1" s="1"/>
  <c r="AH835" i="1" s="1" a="1"/>
  <c r="AH835" i="1" s="1"/>
  <c r="AE836" i="1" a="1"/>
  <c r="AE836" i="1" s="1"/>
  <c r="AH836" i="1" s="1" a="1"/>
  <c r="AH836" i="1" s="1"/>
  <c r="AE837" i="1" a="1"/>
  <c r="AE837" i="1" s="1"/>
  <c r="AH837" i="1" s="1" a="1"/>
  <c r="AH837" i="1" s="1"/>
  <c r="AE838" i="1" a="1"/>
  <c r="AE838" i="1" s="1"/>
  <c r="AH838" i="1" s="1" a="1"/>
  <c r="AH838" i="1" s="1"/>
  <c r="AE839" i="1" a="1"/>
  <c r="AE839" i="1" s="1"/>
  <c r="AH839" i="1" s="1" a="1"/>
  <c r="AH839" i="1" s="1"/>
  <c r="AE840" i="1" a="1"/>
  <c r="AE840" i="1" s="1"/>
  <c r="AH840" i="1" s="1" a="1"/>
  <c r="AH840" i="1" s="1"/>
  <c r="AE841" i="1" a="1"/>
  <c r="AE841" i="1" s="1"/>
  <c r="AH841" i="1" s="1" a="1"/>
  <c r="AH841" i="1" s="1"/>
  <c r="AE842" i="1" a="1"/>
  <c r="AE842" i="1" s="1"/>
  <c r="AH842" i="1" s="1" a="1"/>
  <c r="AH842" i="1" s="1"/>
  <c r="AE843" i="1" a="1"/>
  <c r="AE843" i="1" s="1"/>
  <c r="AH843" i="1" s="1" a="1"/>
  <c r="AH843" i="1" s="1"/>
  <c r="AE844" i="1" a="1"/>
  <c r="AE844" i="1" s="1"/>
  <c r="AH844" i="1" s="1" a="1"/>
  <c r="AH844" i="1" s="1"/>
  <c r="AE845" i="1" a="1"/>
  <c r="AE845" i="1" s="1"/>
  <c r="AH845" i="1" s="1" a="1"/>
  <c r="AH845" i="1" s="1"/>
  <c r="AE846" i="1" a="1"/>
  <c r="AE846" i="1" s="1"/>
  <c r="AH846" i="1" s="1" a="1"/>
  <c r="AH846" i="1" s="1"/>
  <c r="AE847" i="1" a="1"/>
  <c r="AE847" i="1" s="1"/>
  <c r="AH847" i="1" s="1" a="1"/>
  <c r="AH847" i="1" s="1"/>
  <c r="AE848" i="1" a="1"/>
  <c r="AE848" i="1" s="1"/>
  <c r="AH848" i="1" s="1" a="1"/>
  <c r="AH848" i="1" s="1"/>
  <c r="AE849" i="1" a="1"/>
  <c r="AE849" i="1" s="1"/>
  <c r="AH849" i="1" s="1" a="1"/>
  <c r="AH849" i="1" s="1"/>
  <c r="AE850" i="1" a="1"/>
  <c r="AE850" i="1" s="1"/>
  <c r="AH850" i="1" s="1" a="1"/>
  <c r="AH850" i="1" s="1"/>
  <c r="AE851" i="1" a="1"/>
  <c r="AE851" i="1" s="1"/>
  <c r="AH851" i="1" s="1" a="1"/>
  <c r="AH851" i="1" s="1"/>
  <c r="AE852" i="1" a="1"/>
  <c r="AE852" i="1" s="1"/>
  <c r="AH852" i="1" s="1" a="1"/>
  <c r="AH852" i="1" s="1"/>
  <c r="AE853" i="1" a="1"/>
  <c r="AE853" i="1" s="1"/>
  <c r="AH853" i="1" s="1" a="1"/>
  <c r="AH853" i="1" s="1"/>
  <c r="AE854" i="1" a="1"/>
  <c r="AE854" i="1" s="1"/>
  <c r="AH854" i="1" s="1" a="1"/>
  <c r="AH854" i="1" s="1"/>
  <c r="AE855" i="1" a="1"/>
  <c r="AE855" i="1" s="1"/>
  <c r="AH855" i="1" s="1" a="1"/>
  <c r="AH855" i="1" s="1"/>
  <c r="AE856" i="1" a="1"/>
  <c r="AE856" i="1" s="1"/>
  <c r="AH856" i="1" s="1" a="1"/>
  <c r="AH856" i="1" s="1"/>
  <c r="AE857" i="1" a="1"/>
  <c r="AE857" i="1" s="1"/>
  <c r="AH857" i="1" s="1" a="1"/>
  <c r="AH857" i="1" s="1"/>
  <c r="AE858" i="1" a="1"/>
  <c r="AE858" i="1" s="1"/>
  <c r="AH858" i="1" s="1" a="1"/>
  <c r="AH858" i="1" s="1"/>
  <c r="AE859" i="1" a="1"/>
  <c r="AE859" i="1" s="1"/>
  <c r="AH859" i="1" s="1" a="1"/>
  <c r="AH859" i="1" s="1"/>
  <c r="AE860" i="1" a="1"/>
  <c r="AE860" i="1" s="1"/>
  <c r="AH860" i="1" s="1" a="1"/>
  <c r="AH860" i="1" s="1"/>
  <c r="AE861" i="1" a="1"/>
  <c r="AE861" i="1" s="1"/>
  <c r="AH861" i="1" s="1" a="1"/>
  <c r="AH861" i="1" s="1"/>
  <c r="AE862" i="1" a="1"/>
  <c r="AE862" i="1" s="1"/>
  <c r="AH862" i="1" s="1" a="1"/>
  <c r="AH862" i="1" s="1"/>
  <c r="AE863" i="1" a="1"/>
  <c r="AE863" i="1" s="1"/>
  <c r="AH863" i="1" s="1" a="1"/>
  <c r="AH863" i="1" s="1"/>
  <c r="AE864" i="1" a="1"/>
  <c r="AE864" i="1" s="1"/>
  <c r="AH864" i="1" s="1" a="1"/>
  <c r="AH864" i="1" s="1"/>
  <c r="AE865" i="1" a="1"/>
  <c r="AE865" i="1" s="1"/>
  <c r="AH865" i="1" s="1" a="1"/>
  <c r="AH865" i="1" s="1"/>
  <c r="AE866" i="1" a="1"/>
  <c r="AE866" i="1" s="1"/>
  <c r="AH866" i="1" s="1" a="1"/>
  <c r="AH866" i="1" s="1"/>
  <c r="AE867" i="1" a="1"/>
  <c r="AE867" i="1" s="1"/>
  <c r="AH867" i="1" s="1" a="1"/>
  <c r="AH867" i="1" s="1"/>
  <c r="AE868" i="1" a="1"/>
  <c r="AE868" i="1" s="1"/>
  <c r="AH868" i="1" s="1" a="1"/>
  <c r="AH868" i="1" s="1"/>
  <c r="AE869" i="1" a="1"/>
  <c r="AE869" i="1" s="1"/>
  <c r="AH869" i="1" s="1" a="1"/>
  <c r="AH869" i="1" s="1"/>
  <c r="AE870" i="1" a="1"/>
  <c r="AE870" i="1" s="1"/>
  <c r="AH870" i="1" s="1" a="1"/>
  <c r="AH870" i="1" s="1"/>
  <c r="AE871" i="1" a="1"/>
  <c r="AE871" i="1" s="1"/>
  <c r="AH871" i="1" s="1" a="1"/>
  <c r="AH871" i="1" s="1"/>
  <c r="AE872" i="1" a="1"/>
  <c r="AE872" i="1" s="1"/>
  <c r="AH872" i="1" s="1" a="1"/>
  <c r="AH872" i="1" s="1"/>
  <c r="AE873" i="1" a="1"/>
  <c r="AE873" i="1" s="1"/>
  <c r="AH873" i="1" s="1" a="1"/>
  <c r="AH873" i="1" s="1"/>
  <c r="AE874" i="1" a="1"/>
  <c r="AE874" i="1" s="1"/>
  <c r="AH874" i="1" s="1" a="1"/>
  <c r="AH874" i="1" s="1"/>
  <c r="AE875" i="1" a="1"/>
  <c r="AE875" i="1" s="1"/>
  <c r="AH875" i="1" s="1" a="1"/>
  <c r="AH875" i="1" s="1"/>
  <c r="AE876" i="1" a="1"/>
  <c r="AE876" i="1" s="1"/>
  <c r="AH876" i="1" s="1" a="1"/>
  <c r="AH876" i="1" s="1"/>
  <c r="AE877" i="1" a="1"/>
  <c r="AE877" i="1" s="1"/>
  <c r="AH877" i="1" s="1" a="1"/>
  <c r="AH877" i="1" s="1"/>
  <c r="AE878" i="1" a="1"/>
  <c r="AE878" i="1" s="1"/>
  <c r="AH878" i="1" s="1" a="1"/>
  <c r="AH878" i="1" s="1"/>
  <c r="AE879" i="1" a="1"/>
  <c r="AE879" i="1" s="1"/>
  <c r="AH879" i="1" s="1" a="1"/>
  <c r="AH879" i="1" s="1"/>
  <c r="AE880" i="1" a="1"/>
  <c r="AE880" i="1" s="1"/>
  <c r="AH880" i="1" s="1" a="1"/>
  <c r="AH880" i="1" s="1"/>
  <c r="AE881" i="1" a="1"/>
  <c r="AE881" i="1" s="1"/>
  <c r="AH881" i="1" s="1" a="1"/>
  <c r="AH881" i="1" s="1"/>
  <c r="AE882" i="1" a="1"/>
  <c r="AE882" i="1" s="1"/>
  <c r="AH882" i="1" s="1" a="1"/>
  <c r="AH882" i="1" s="1"/>
  <c r="AE883" i="1" a="1"/>
  <c r="AE883" i="1" s="1"/>
  <c r="AH883" i="1" s="1" a="1"/>
  <c r="AH883" i="1" s="1"/>
  <c r="AE884" i="1" a="1"/>
  <c r="AE884" i="1" s="1"/>
  <c r="AH884" i="1" s="1" a="1"/>
  <c r="AH884" i="1" s="1"/>
  <c r="AE885" i="1" a="1"/>
  <c r="AE885" i="1" s="1"/>
  <c r="AH885" i="1" s="1" a="1"/>
  <c r="AH885" i="1" s="1"/>
  <c r="AE886" i="1" a="1"/>
  <c r="AE886" i="1" s="1"/>
  <c r="AH886" i="1" s="1" a="1"/>
  <c r="AH886" i="1" s="1"/>
  <c r="AE887" i="1" a="1"/>
  <c r="AE887" i="1" s="1"/>
  <c r="AH887" i="1" s="1" a="1"/>
  <c r="AH887" i="1" s="1"/>
  <c r="AE888" i="1" a="1"/>
  <c r="AE888" i="1" s="1"/>
  <c r="AH888" i="1" s="1" a="1"/>
  <c r="AH888" i="1" s="1"/>
  <c r="AE889" i="1" a="1"/>
  <c r="AE889" i="1" s="1"/>
  <c r="AH889" i="1" s="1" a="1"/>
  <c r="AH889" i="1" s="1"/>
  <c r="AE890" i="1" a="1"/>
  <c r="AE890" i="1" s="1"/>
  <c r="AH890" i="1" s="1" a="1"/>
  <c r="AH890" i="1" s="1"/>
  <c r="AE891" i="1" a="1"/>
  <c r="AE891" i="1" s="1"/>
  <c r="AH891" i="1" s="1" a="1"/>
  <c r="AH891" i="1" s="1"/>
  <c r="AE892" i="1" a="1"/>
  <c r="AE892" i="1" s="1"/>
  <c r="AH892" i="1" s="1" a="1"/>
  <c r="AH892" i="1" s="1"/>
  <c r="AE893" i="1" a="1"/>
  <c r="AE893" i="1" s="1"/>
  <c r="AH893" i="1" s="1" a="1"/>
  <c r="AH893" i="1" s="1"/>
  <c r="AE894" i="1" a="1"/>
  <c r="AE894" i="1" s="1"/>
  <c r="AH894" i="1" s="1" a="1"/>
  <c r="AH894" i="1" s="1"/>
  <c r="AE895" i="1" a="1"/>
  <c r="AE895" i="1" s="1"/>
  <c r="AH895" i="1" s="1" a="1"/>
  <c r="AH895" i="1" s="1"/>
  <c r="AE896" i="1" a="1"/>
  <c r="AE896" i="1" s="1"/>
  <c r="AH896" i="1" s="1" a="1"/>
  <c r="AH896" i="1" s="1"/>
  <c r="AE897" i="1" a="1"/>
  <c r="AE897" i="1" s="1"/>
  <c r="AH897" i="1" s="1" a="1"/>
  <c r="AH897" i="1" s="1"/>
  <c r="AE898" i="1" a="1"/>
  <c r="AE898" i="1" s="1"/>
  <c r="AH898" i="1" s="1" a="1"/>
  <c r="AH898" i="1" s="1"/>
  <c r="AE899" i="1" a="1"/>
  <c r="AE899" i="1" s="1"/>
  <c r="AH899" i="1" s="1" a="1"/>
  <c r="AH899" i="1" s="1"/>
  <c r="AE900" i="1" a="1"/>
  <c r="AE900" i="1" s="1"/>
  <c r="AH900" i="1" s="1" a="1"/>
  <c r="AH900" i="1" s="1"/>
  <c r="AE901" i="1" a="1"/>
  <c r="AE901" i="1" s="1"/>
  <c r="AH901" i="1" s="1" a="1"/>
  <c r="AH901" i="1" s="1"/>
  <c r="AE902" i="1" a="1"/>
  <c r="AE902" i="1" s="1"/>
  <c r="AH902" i="1" s="1" a="1"/>
  <c r="AH902" i="1" s="1"/>
  <c r="AE903" i="1" a="1"/>
  <c r="AE903" i="1" s="1"/>
  <c r="AH903" i="1" s="1" a="1"/>
  <c r="AH903" i="1" s="1"/>
  <c r="AE904" i="1" a="1"/>
  <c r="AE904" i="1" s="1"/>
  <c r="AH904" i="1" s="1" a="1"/>
  <c r="AH904" i="1" s="1"/>
  <c r="AE905" i="1" a="1"/>
  <c r="AE905" i="1" s="1"/>
  <c r="AH905" i="1" s="1" a="1"/>
  <c r="AH905" i="1" s="1"/>
  <c r="AE906" i="1" a="1"/>
  <c r="AE906" i="1" s="1"/>
  <c r="AH906" i="1" s="1" a="1"/>
  <c r="AH906" i="1" s="1"/>
  <c r="AE907" i="1" a="1"/>
  <c r="AE907" i="1" s="1"/>
  <c r="AH907" i="1" s="1" a="1"/>
  <c r="AH907" i="1" s="1"/>
  <c r="AE908" i="1" a="1"/>
  <c r="AE908" i="1" s="1"/>
  <c r="AH908" i="1" s="1" a="1"/>
  <c r="AH908" i="1" s="1"/>
  <c r="AE909" i="1" a="1"/>
  <c r="AE909" i="1" s="1"/>
  <c r="AH909" i="1" s="1" a="1"/>
  <c r="AH909" i="1" s="1"/>
  <c r="AE910" i="1" a="1"/>
  <c r="AE910" i="1" s="1"/>
  <c r="AH910" i="1" s="1" a="1"/>
  <c r="AH910" i="1" s="1"/>
  <c r="AE911" i="1" a="1"/>
  <c r="AE911" i="1" s="1"/>
  <c r="AH911" i="1" s="1" a="1"/>
  <c r="AH911" i="1" s="1"/>
  <c r="AE912" i="1" a="1"/>
  <c r="AE912" i="1" s="1"/>
  <c r="AH912" i="1" s="1" a="1"/>
  <c r="AH912" i="1" s="1"/>
  <c r="AE913" i="1" a="1"/>
  <c r="AE913" i="1" s="1"/>
  <c r="AH913" i="1" s="1" a="1"/>
  <c r="AH913" i="1" s="1"/>
  <c r="AE914" i="1" a="1"/>
  <c r="AE914" i="1" s="1"/>
  <c r="AH914" i="1" s="1" a="1"/>
  <c r="AH914" i="1" s="1"/>
  <c r="AE915" i="1" a="1"/>
  <c r="AE915" i="1" s="1"/>
  <c r="AH915" i="1" s="1" a="1"/>
  <c r="AH915" i="1" s="1"/>
  <c r="AE916" i="1" a="1"/>
  <c r="AE916" i="1" s="1"/>
  <c r="AH916" i="1" s="1" a="1"/>
  <c r="AH916" i="1" s="1"/>
  <c r="AE917" i="1" a="1"/>
  <c r="AE917" i="1" s="1"/>
  <c r="AH917" i="1" s="1" a="1"/>
  <c r="AH917" i="1" s="1"/>
  <c r="AE918" i="1" a="1"/>
  <c r="AE918" i="1" s="1"/>
  <c r="AH918" i="1" s="1" a="1"/>
  <c r="AH918" i="1" s="1"/>
  <c r="AE919" i="1" a="1"/>
  <c r="AE919" i="1" s="1"/>
  <c r="AH919" i="1" s="1" a="1"/>
  <c r="AH919" i="1" s="1"/>
  <c r="AE920" i="1" a="1"/>
  <c r="AE920" i="1" s="1"/>
  <c r="AH920" i="1" s="1" a="1"/>
  <c r="AH920" i="1" s="1"/>
  <c r="AE921" i="1" a="1"/>
  <c r="AE921" i="1" s="1"/>
  <c r="AH921" i="1" s="1" a="1"/>
  <c r="AH921" i="1" s="1"/>
  <c r="AE922" i="1" a="1"/>
  <c r="AE922" i="1" s="1"/>
  <c r="AH922" i="1" s="1" a="1"/>
  <c r="AH922" i="1" s="1"/>
  <c r="AE923" i="1" a="1"/>
  <c r="AE923" i="1" s="1"/>
  <c r="AH923" i="1" s="1" a="1"/>
  <c r="AH923" i="1" s="1"/>
  <c r="AE924" i="1" a="1"/>
  <c r="AE924" i="1" s="1"/>
  <c r="AH924" i="1" s="1" a="1"/>
  <c r="AH924" i="1" s="1"/>
  <c r="AE925" i="1" a="1"/>
  <c r="AE925" i="1" s="1"/>
  <c r="AH925" i="1" s="1" a="1"/>
  <c r="AH925" i="1" s="1"/>
  <c r="AE926" i="1" a="1"/>
  <c r="AE926" i="1" s="1"/>
  <c r="AH926" i="1" s="1" a="1"/>
  <c r="AH926" i="1" s="1"/>
  <c r="AE927" i="1" a="1"/>
  <c r="AE927" i="1" s="1"/>
  <c r="AH927" i="1" s="1" a="1"/>
  <c r="AH927" i="1" s="1"/>
  <c r="AE928" i="1" a="1"/>
  <c r="AE928" i="1" s="1"/>
  <c r="AH928" i="1" s="1" a="1"/>
  <c r="AH928" i="1" s="1"/>
  <c r="AE929" i="1" a="1"/>
  <c r="AE929" i="1" s="1"/>
  <c r="AH929" i="1" s="1" a="1"/>
  <c r="AH929" i="1" s="1"/>
  <c r="AE930" i="1" a="1"/>
  <c r="AE930" i="1" s="1"/>
  <c r="AH930" i="1" s="1" a="1"/>
  <c r="AH930" i="1" s="1"/>
  <c r="AE931" i="1" a="1"/>
  <c r="AE931" i="1" s="1"/>
  <c r="AH931" i="1" s="1" a="1"/>
  <c r="AH931" i="1" s="1"/>
  <c r="AE932" i="1" a="1"/>
  <c r="AE932" i="1" s="1"/>
  <c r="AH932" i="1" s="1" a="1"/>
  <c r="AH932" i="1" s="1"/>
  <c r="AE933" i="1" a="1"/>
  <c r="AE933" i="1" s="1"/>
  <c r="AH933" i="1" s="1" a="1"/>
  <c r="AH933" i="1" s="1"/>
  <c r="AE934" i="1" a="1"/>
  <c r="AE934" i="1" s="1"/>
  <c r="AH934" i="1" s="1" a="1"/>
  <c r="AH934" i="1" s="1"/>
  <c r="AE935" i="1" a="1"/>
  <c r="AE935" i="1" s="1"/>
  <c r="AH935" i="1" s="1" a="1"/>
  <c r="AH935" i="1" s="1"/>
  <c r="AE936" i="1" a="1"/>
  <c r="AE936" i="1" s="1"/>
  <c r="AH936" i="1" s="1" a="1"/>
  <c r="AH936" i="1" s="1"/>
  <c r="AE937" i="1" a="1"/>
  <c r="AE937" i="1" s="1"/>
  <c r="AH937" i="1" s="1" a="1"/>
  <c r="AH937" i="1" s="1"/>
  <c r="AE938" i="1" a="1"/>
  <c r="AE938" i="1" s="1"/>
  <c r="AH938" i="1" s="1" a="1"/>
  <c r="AH938" i="1" s="1"/>
  <c r="AE939" i="1" a="1"/>
  <c r="AE939" i="1" s="1"/>
  <c r="AH939" i="1" s="1" a="1"/>
  <c r="AH939" i="1" s="1"/>
  <c r="AE940" i="1" a="1"/>
  <c r="AE940" i="1" s="1"/>
  <c r="AH940" i="1" s="1" a="1"/>
  <c r="AH940" i="1" s="1"/>
  <c r="AE941" i="1" a="1"/>
  <c r="AE941" i="1" s="1"/>
  <c r="AH941" i="1" s="1" a="1"/>
  <c r="AH941" i="1" s="1"/>
  <c r="AE942" i="1" a="1"/>
  <c r="AE942" i="1" s="1"/>
  <c r="AH942" i="1" s="1" a="1"/>
  <c r="AH942" i="1" s="1"/>
  <c r="AE943" i="1" a="1"/>
  <c r="AE943" i="1" s="1"/>
  <c r="AH943" i="1" s="1" a="1"/>
  <c r="AH943" i="1" s="1"/>
  <c r="AE944" i="1" a="1"/>
  <c r="AE944" i="1" s="1"/>
  <c r="AH944" i="1" s="1" a="1"/>
  <c r="AH944" i="1" s="1"/>
  <c r="AE945" i="1" a="1"/>
  <c r="AE945" i="1" s="1"/>
  <c r="AH945" i="1" s="1" a="1"/>
  <c r="AH945" i="1" s="1"/>
  <c r="AE946" i="1" a="1"/>
  <c r="AE946" i="1" s="1"/>
  <c r="AH946" i="1" s="1" a="1"/>
  <c r="AH946" i="1" s="1"/>
  <c r="AE947" i="1" a="1"/>
  <c r="AE947" i="1" s="1"/>
  <c r="AH947" i="1" s="1" a="1"/>
  <c r="AH947" i="1" s="1"/>
  <c r="AE948" i="1" a="1"/>
  <c r="AE948" i="1" s="1"/>
  <c r="AH948" i="1" s="1" a="1"/>
  <c r="AH948" i="1" s="1"/>
  <c r="AE949" i="1" a="1"/>
  <c r="AE949" i="1" s="1"/>
  <c r="AH949" i="1" s="1" a="1"/>
  <c r="AH949" i="1" s="1"/>
  <c r="AE950" i="1" a="1"/>
  <c r="AE950" i="1" s="1"/>
  <c r="AH950" i="1" s="1" a="1"/>
  <c r="AH950" i="1" s="1"/>
  <c r="AE951" i="1" a="1"/>
  <c r="AE951" i="1" s="1"/>
  <c r="AH951" i="1" s="1" a="1"/>
  <c r="AH951" i="1" s="1"/>
  <c r="AE952" i="1" a="1"/>
  <c r="AE952" i="1" s="1"/>
  <c r="AH952" i="1" s="1" a="1"/>
  <c r="AH952" i="1" s="1"/>
  <c r="AE953" i="1" a="1"/>
  <c r="AE953" i="1" s="1"/>
  <c r="AH953" i="1" s="1" a="1"/>
  <c r="AH953" i="1" s="1"/>
  <c r="AE954" i="1" a="1"/>
  <c r="AE954" i="1" s="1"/>
  <c r="AH954" i="1" s="1" a="1"/>
  <c r="AH954" i="1" s="1"/>
  <c r="AE955" i="1" a="1"/>
  <c r="AE955" i="1" s="1"/>
  <c r="AH955" i="1" s="1" a="1"/>
  <c r="AH955" i="1" s="1"/>
  <c r="AE956" i="1" a="1"/>
  <c r="AE956" i="1" s="1"/>
  <c r="AH956" i="1" s="1" a="1"/>
  <c r="AH956" i="1" s="1"/>
  <c r="AE957" i="1" a="1"/>
  <c r="AE957" i="1" s="1"/>
  <c r="AH957" i="1" s="1" a="1"/>
  <c r="AH957" i="1" s="1"/>
  <c r="AE958" i="1" a="1"/>
  <c r="AE958" i="1" s="1"/>
  <c r="AH958" i="1" s="1" a="1"/>
  <c r="AH958" i="1" s="1"/>
  <c r="AE959" i="1" a="1"/>
  <c r="AE959" i="1" s="1"/>
  <c r="AH959" i="1" s="1" a="1"/>
  <c r="AH959" i="1" s="1"/>
  <c r="AE960" i="1" a="1"/>
  <c r="AE960" i="1" s="1"/>
  <c r="AH960" i="1" s="1" a="1"/>
  <c r="AH960" i="1" s="1"/>
  <c r="AE961" i="1" a="1"/>
  <c r="AE961" i="1" s="1"/>
  <c r="AH961" i="1" s="1" a="1"/>
  <c r="AH961" i="1" s="1"/>
  <c r="AE962" i="1" a="1"/>
  <c r="AE962" i="1" s="1"/>
  <c r="AH962" i="1" s="1" a="1"/>
  <c r="AH962" i="1" s="1"/>
  <c r="AE963" i="1" a="1"/>
  <c r="AE963" i="1" s="1"/>
  <c r="AH963" i="1" s="1" a="1"/>
  <c r="AH963" i="1" s="1"/>
  <c r="AE964" i="1" a="1"/>
  <c r="AE964" i="1" s="1"/>
  <c r="AH964" i="1" s="1" a="1"/>
  <c r="AH964" i="1" s="1"/>
  <c r="AE965" i="1" a="1"/>
  <c r="AE965" i="1" s="1"/>
  <c r="AH965" i="1" s="1" a="1"/>
  <c r="AH965" i="1" s="1"/>
  <c r="AE966" i="1" a="1"/>
  <c r="AE966" i="1" s="1"/>
  <c r="AH966" i="1" s="1" a="1"/>
  <c r="AH966" i="1" s="1"/>
  <c r="AE967" i="1" a="1"/>
  <c r="AE967" i="1" s="1"/>
  <c r="AH967" i="1" s="1" a="1"/>
  <c r="AH967" i="1" s="1"/>
  <c r="AE968" i="1" a="1"/>
  <c r="AE968" i="1" s="1"/>
  <c r="AH968" i="1" s="1" a="1"/>
  <c r="AH968" i="1" s="1"/>
  <c r="AE969" i="1" a="1"/>
  <c r="AE969" i="1" s="1"/>
  <c r="AH969" i="1" s="1" a="1"/>
  <c r="AH969" i="1" s="1"/>
  <c r="AE970" i="1" a="1"/>
  <c r="AE970" i="1" s="1"/>
  <c r="AH970" i="1" s="1" a="1"/>
  <c r="AH970" i="1" s="1"/>
  <c r="AE971" i="1" a="1"/>
  <c r="AE971" i="1" s="1"/>
  <c r="AH971" i="1" s="1" a="1"/>
  <c r="AH971" i="1" s="1"/>
  <c r="AE972" i="1" a="1"/>
  <c r="AE972" i="1" s="1"/>
  <c r="AH972" i="1" s="1" a="1"/>
  <c r="AH972" i="1" s="1"/>
  <c r="AE973" i="1" a="1"/>
  <c r="AE973" i="1" s="1"/>
  <c r="AH973" i="1" s="1" a="1"/>
  <c r="AH973" i="1" s="1"/>
  <c r="AE974" i="1" a="1"/>
  <c r="AE974" i="1" s="1"/>
  <c r="AH974" i="1" s="1" a="1"/>
  <c r="AH974" i="1" s="1"/>
  <c r="AE975" i="1" a="1"/>
  <c r="AE975" i="1" s="1"/>
  <c r="AH975" i="1" s="1" a="1"/>
  <c r="AH975" i="1" s="1"/>
  <c r="AE976" i="1" a="1"/>
  <c r="AE976" i="1" s="1"/>
  <c r="AH976" i="1" s="1" a="1"/>
  <c r="AH976" i="1" s="1"/>
  <c r="AE977" i="1" a="1"/>
  <c r="AE977" i="1" s="1"/>
  <c r="AH977" i="1" s="1" a="1"/>
  <c r="AH977" i="1" s="1"/>
  <c r="AE978" i="1" a="1"/>
  <c r="AE978" i="1" s="1"/>
  <c r="AH978" i="1" s="1" a="1"/>
  <c r="AH978" i="1" s="1"/>
  <c r="AE979" i="1" a="1"/>
  <c r="AE979" i="1" s="1"/>
  <c r="AH979" i="1" s="1" a="1"/>
  <c r="AH979" i="1" s="1"/>
  <c r="AE980" i="1" a="1"/>
  <c r="AE980" i="1" s="1"/>
  <c r="AH980" i="1" s="1" a="1"/>
  <c r="AH980" i="1" s="1"/>
  <c r="AE981" i="1" a="1"/>
  <c r="AE981" i="1" s="1"/>
  <c r="AH981" i="1" s="1" a="1"/>
  <c r="AH981" i="1" s="1"/>
  <c r="AE982" i="1" a="1"/>
  <c r="AE982" i="1" s="1"/>
  <c r="AH982" i="1" s="1" a="1"/>
  <c r="AH982" i="1" s="1"/>
  <c r="AE983" i="1" a="1"/>
  <c r="AE983" i="1" s="1"/>
  <c r="AH983" i="1" s="1" a="1"/>
  <c r="AH983" i="1" s="1"/>
  <c r="AE984" i="1" a="1"/>
  <c r="AE984" i="1" s="1"/>
  <c r="AH984" i="1" s="1" a="1"/>
  <c r="AH984" i="1" s="1"/>
  <c r="AE985" i="1" a="1"/>
  <c r="AE985" i="1" s="1"/>
  <c r="AH985" i="1" s="1" a="1"/>
  <c r="AH985" i="1" s="1"/>
  <c r="AE986" i="1" a="1"/>
  <c r="AE986" i="1" s="1"/>
  <c r="AH986" i="1" s="1" a="1"/>
  <c r="AH986" i="1" s="1"/>
  <c r="AE987" i="1" a="1"/>
  <c r="AE987" i="1" s="1"/>
  <c r="AH987" i="1" s="1" a="1"/>
  <c r="AH987" i="1" s="1"/>
  <c r="AE988" i="1" a="1"/>
  <c r="AE988" i="1" s="1"/>
  <c r="AH988" i="1" s="1" a="1"/>
  <c r="AH988" i="1" s="1"/>
  <c r="AE989" i="1" a="1"/>
  <c r="AE989" i="1" s="1"/>
  <c r="AH989" i="1" s="1" a="1"/>
  <c r="AH989" i="1" s="1"/>
  <c r="AE990" i="1" a="1"/>
  <c r="AE990" i="1" s="1"/>
  <c r="AH990" i="1" s="1" a="1"/>
  <c r="AH990" i="1" s="1"/>
  <c r="AE991" i="1" a="1"/>
  <c r="AE991" i="1" s="1"/>
  <c r="AH991" i="1" s="1" a="1"/>
  <c r="AH991" i="1" s="1"/>
  <c r="AE992" i="1" a="1"/>
  <c r="AE992" i="1" s="1"/>
  <c r="AH992" i="1" s="1" a="1"/>
  <c r="AH992" i="1" s="1"/>
  <c r="AE993" i="1" a="1"/>
  <c r="AE993" i="1" s="1"/>
  <c r="AH993" i="1" s="1" a="1"/>
  <c r="AH993" i="1" s="1"/>
  <c r="AE994" i="1" a="1"/>
  <c r="AE994" i="1" s="1"/>
  <c r="AH994" i="1" s="1" a="1"/>
  <c r="AH994" i="1" s="1"/>
  <c r="AE995" i="1" a="1"/>
  <c r="AE995" i="1" s="1"/>
  <c r="AH995" i="1" s="1" a="1"/>
  <c r="AH995" i="1" s="1"/>
  <c r="AE996" i="1" a="1"/>
  <c r="AE996" i="1" s="1"/>
  <c r="AH996" i="1" s="1" a="1"/>
  <c r="AH996" i="1" s="1"/>
  <c r="AE997" i="1" a="1"/>
  <c r="AE997" i="1" s="1"/>
  <c r="AH997" i="1" s="1" a="1"/>
  <c r="AH997" i="1" s="1"/>
  <c r="AE998" i="1" a="1"/>
  <c r="AE998" i="1" s="1"/>
  <c r="AH998" i="1" s="1" a="1"/>
  <c r="AH998" i="1" s="1"/>
  <c r="AE999" i="1" a="1"/>
  <c r="AE999" i="1" s="1"/>
  <c r="AH999" i="1" s="1" a="1"/>
  <c r="AH999" i="1" s="1"/>
  <c r="AE1000" i="1" a="1"/>
  <c r="AE1000" i="1" s="1"/>
  <c r="AH1000" i="1" s="1" a="1"/>
  <c r="AH1000" i="1" s="1"/>
  <c r="AE1001" i="1" a="1"/>
  <c r="AE1001" i="1" s="1"/>
  <c r="AH1001" i="1" s="1" a="1"/>
  <c r="AH1001" i="1" s="1"/>
  <c r="AE1002" i="1" a="1"/>
  <c r="AE1002" i="1" s="1"/>
  <c r="AH1002" i="1" s="1" a="1"/>
  <c r="AH1002" i="1" s="1"/>
  <c r="AE1003" i="1" a="1"/>
  <c r="AE1003" i="1" s="1"/>
  <c r="AH1003" i="1" s="1" a="1"/>
  <c r="AH1003" i="1" s="1"/>
  <c r="AE1004" i="1" a="1"/>
  <c r="AE1004" i="1" s="1"/>
  <c r="AH1004" i="1" s="1" a="1"/>
  <c r="AH1004" i="1" s="1"/>
  <c r="AE1005" i="1" a="1"/>
  <c r="AE1005" i="1" s="1"/>
  <c r="AH1005" i="1" s="1" a="1"/>
  <c r="AH1005" i="1" s="1"/>
  <c r="AE1006" i="1" a="1"/>
  <c r="AE1006" i="1" s="1"/>
  <c r="AH1006" i="1" s="1" a="1"/>
  <c r="AH1006" i="1" s="1"/>
  <c r="AE1007" i="1" a="1"/>
  <c r="AE1007" i="1" s="1"/>
  <c r="AH1007" i="1" s="1" a="1"/>
  <c r="AH1007" i="1" s="1"/>
  <c r="AE1008" i="1" a="1"/>
  <c r="AE1008" i="1" s="1"/>
  <c r="AH1008" i="1" s="1" a="1"/>
  <c r="AH1008" i="1" s="1"/>
  <c r="AE1009" i="1" a="1"/>
  <c r="AE1009" i="1" s="1"/>
  <c r="AH1009" i="1" s="1" a="1"/>
  <c r="AH1009" i="1" s="1"/>
  <c r="AE1010" i="1" a="1"/>
  <c r="AE1010" i="1" s="1"/>
  <c r="AH1010" i="1" s="1" a="1"/>
  <c r="AH1010" i="1" s="1"/>
  <c r="AE1011" i="1" a="1"/>
  <c r="AE1011" i="1" s="1"/>
  <c r="AH1011" i="1" s="1" a="1"/>
  <c r="AH1011" i="1" s="1"/>
  <c r="AE1012" i="1" a="1"/>
  <c r="AE1012" i="1" s="1"/>
  <c r="AH1012" i="1" s="1" a="1"/>
  <c r="AH1012" i="1" s="1"/>
  <c r="AE1013" i="1" a="1"/>
  <c r="AE1013" i="1" s="1"/>
  <c r="AH1013" i="1" s="1" a="1"/>
  <c r="AH1013" i="1" s="1"/>
  <c r="AE1014" i="1" a="1"/>
  <c r="AE1014" i="1" s="1"/>
  <c r="AH1014" i="1" s="1" a="1"/>
  <c r="AH1014" i="1" s="1"/>
  <c r="AE1015" i="1" a="1"/>
  <c r="AE1015" i="1" s="1"/>
  <c r="AH1015" i="1" s="1" a="1"/>
  <c r="AH1015" i="1" s="1"/>
  <c r="AE1016" i="1" a="1"/>
  <c r="AE1016" i="1" s="1"/>
  <c r="AH1016" i="1" s="1" a="1"/>
  <c r="AH1016" i="1" s="1"/>
  <c r="AE1017" i="1" a="1"/>
  <c r="AE1017" i="1" s="1"/>
  <c r="AH1017" i="1" s="1" a="1"/>
  <c r="AH1017" i="1" s="1"/>
  <c r="AE1018" i="1" a="1"/>
  <c r="AE1018" i="1" s="1"/>
  <c r="AH1018" i="1" s="1" a="1"/>
  <c r="AH1018" i="1" s="1"/>
  <c r="AE1019" i="1" a="1"/>
  <c r="AE1019" i="1" s="1"/>
  <c r="AH1019" i="1" s="1" a="1"/>
  <c r="AH1019" i="1" s="1"/>
  <c r="AE1020" i="1" a="1"/>
  <c r="AE1020" i="1" s="1"/>
  <c r="AH1020" i="1" s="1" a="1"/>
  <c r="AH1020" i="1" s="1"/>
  <c r="AE1021" i="1" a="1"/>
  <c r="AE1021" i="1" s="1"/>
  <c r="AH1021" i="1" s="1" a="1"/>
  <c r="AH1021" i="1" s="1"/>
  <c r="AE1022" i="1" a="1"/>
  <c r="AE1022" i="1" s="1"/>
  <c r="AH1022" i="1" s="1" a="1"/>
  <c r="AH1022" i="1" s="1"/>
  <c r="AE1023" i="1" a="1"/>
  <c r="AE1023" i="1" s="1"/>
  <c r="AH1023" i="1" s="1" a="1"/>
  <c r="AH1023" i="1" s="1"/>
  <c r="AE1024" i="1" a="1"/>
  <c r="AE1024" i="1" s="1"/>
  <c r="AH1024" i="1" s="1" a="1"/>
  <c r="AH1024" i="1" s="1"/>
  <c r="AE1025" i="1" a="1"/>
  <c r="AE1025" i="1" s="1"/>
  <c r="AH1025" i="1" s="1" a="1"/>
  <c r="AH1025" i="1" s="1"/>
  <c r="AE1026" i="1" a="1"/>
  <c r="AE1026" i="1" s="1"/>
  <c r="AH1026" i="1" s="1" a="1"/>
  <c r="AH1026" i="1" s="1"/>
  <c r="AE1027" i="1" a="1"/>
  <c r="AE1027" i="1" s="1"/>
  <c r="AH1027" i="1" s="1" a="1"/>
  <c r="AH1027" i="1" s="1"/>
  <c r="AE1028" i="1" a="1"/>
  <c r="AE1028" i="1" s="1"/>
  <c r="AH1028" i="1" s="1" a="1"/>
  <c r="AH1028" i="1" s="1"/>
  <c r="AE1029" i="1" a="1"/>
  <c r="AE1029" i="1" s="1"/>
  <c r="AH1029" i="1" s="1" a="1"/>
  <c r="AH1029" i="1" s="1"/>
  <c r="AE1030" i="1" a="1"/>
  <c r="AE1030" i="1" s="1"/>
  <c r="AH1030" i="1" s="1" a="1"/>
  <c r="AH1030" i="1" s="1"/>
  <c r="AE1031" i="1" a="1"/>
  <c r="AE1031" i="1" s="1"/>
  <c r="AH1031" i="1" s="1" a="1"/>
  <c r="AH1031" i="1" s="1"/>
  <c r="AE1032" i="1" a="1"/>
  <c r="AE1032" i="1" s="1"/>
  <c r="AH1032" i="1" s="1" a="1"/>
  <c r="AH1032" i="1" s="1"/>
  <c r="AE1033" i="1" a="1"/>
  <c r="AE1033" i="1" s="1"/>
  <c r="AH1033" i="1" s="1" a="1"/>
  <c r="AH1033" i="1" s="1"/>
  <c r="AE1034" i="1" a="1"/>
  <c r="AE1034" i="1" s="1"/>
  <c r="AH1034" i="1" s="1" a="1"/>
  <c r="AH1034" i="1" s="1"/>
  <c r="AE1035" i="1" a="1"/>
  <c r="AE1035" i="1" s="1"/>
  <c r="AH1035" i="1" s="1" a="1"/>
  <c r="AH1035" i="1" s="1"/>
  <c r="AE1036" i="1" a="1"/>
  <c r="AE1036" i="1" s="1"/>
  <c r="AH1036" i="1" s="1" a="1"/>
  <c r="AH1036" i="1" s="1"/>
  <c r="AE1037" i="1" a="1"/>
  <c r="AE1037" i="1" s="1"/>
  <c r="AH1037" i="1" s="1" a="1"/>
  <c r="AH1037" i="1" s="1"/>
  <c r="AE1038" i="1" a="1"/>
  <c r="AE1038" i="1" s="1"/>
  <c r="AH1038" i="1" s="1" a="1"/>
  <c r="AH1038" i="1" s="1"/>
  <c r="AE1039" i="1" a="1"/>
  <c r="AE1039" i="1" s="1"/>
  <c r="AH1039" i="1" s="1" a="1"/>
  <c r="AH1039" i="1" s="1"/>
  <c r="AE1040" i="1" a="1"/>
  <c r="AE1040" i="1" s="1"/>
  <c r="AH1040" i="1" s="1" a="1"/>
  <c r="AH1040" i="1" s="1"/>
  <c r="AE1041" i="1" a="1"/>
  <c r="AE1041" i="1" s="1"/>
  <c r="AH1041" i="1" s="1" a="1"/>
  <c r="AH1041" i="1" s="1"/>
  <c r="AE1042" i="1" a="1"/>
  <c r="AE1042" i="1" s="1"/>
  <c r="AH1042" i="1" s="1" a="1"/>
  <c r="AH1042" i="1" s="1"/>
  <c r="AE1043" i="1" a="1"/>
  <c r="AE1043" i="1" s="1"/>
  <c r="AH1043" i="1" s="1" a="1"/>
  <c r="AH1043" i="1" s="1"/>
  <c r="AE1044" i="1" a="1"/>
  <c r="AE1044" i="1" s="1"/>
  <c r="AH1044" i="1" s="1" a="1"/>
  <c r="AH1044" i="1" s="1"/>
  <c r="AE1045" i="1" a="1"/>
  <c r="AE1045" i="1" s="1"/>
  <c r="AH1045" i="1" s="1" a="1"/>
  <c r="AH1045" i="1" s="1"/>
  <c r="AE1046" i="1" a="1"/>
  <c r="AE1046" i="1" s="1"/>
  <c r="AH1046" i="1" s="1" a="1"/>
  <c r="AH1046" i="1" s="1"/>
  <c r="AE1047" i="1" a="1"/>
  <c r="AE1047" i="1" s="1"/>
  <c r="AH1047" i="1" s="1" a="1"/>
  <c r="AH1047" i="1" s="1"/>
  <c r="AE1048" i="1" a="1"/>
  <c r="AE1048" i="1" s="1"/>
  <c r="AH1048" i="1" s="1" a="1"/>
  <c r="AH1048" i="1" s="1"/>
  <c r="AE1049" i="1" a="1"/>
  <c r="AE1049" i="1" s="1"/>
  <c r="AH1049" i="1" s="1" a="1"/>
  <c r="AH1049" i="1" s="1"/>
  <c r="AE1050" i="1" a="1"/>
  <c r="AE1050" i="1" s="1"/>
  <c r="AH1050" i="1" s="1" a="1"/>
  <c r="AH1050" i="1" s="1"/>
  <c r="AE1051" i="1" a="1"/>
  <c r="AE1051" i="1" s="1"/>
  <c r="AH1051" i="1" s="1" a="1"/>
  <c r="AH1051" i="1" s="1"/>
  <c r="AE1052" i="1" a="1"/>
  <c r="AE1052" i="1" s="1"/>
  <c r="AH1052" i="1" s="1" a="1"/>
  <c r="AH1052" i="1" s="1"/>
  <c r="AE1053" i="1" a="1"/>
  <c r="AE1053" i="1" s="1"/>
  <c r="AH1053" i="1" s="1" a="1"/>
  <c r="AH1053" i="1" s="1"/>
  <c r="AE1054" i="1" a="1"/>
  <c r="AE1054" i="1" s="1"/>
  <c r="AH1054" i="1" s="1" a="1"/>
  <c r="AH1054" i="1" s="1"/>
  <c r="AE1055" i="1" a="1"/>
  <c r="AE1055" i="1" s="1"/>
  <c r="AH1055" i="1" s="1" a="1"/>
  <c r="AH1055" i="1" s="1"/>
  <c r="AE1056" i="1" a="1"/>
  <c r="AE1056" i="1" s="1"/>
  <c r="AH1056" i="1" s="1" a="1"/>
  <c r="AH1056" i="1" s="1"/>
  <c r="AE1057" i="1" a="1"/>
  <c r="AE1057" i="1" s="1"/>
  <c r="AH1057" i="1" s="1" a="1"/>
  <c r="AH1057" i="1" s="1"/>
  <c r="AE1058" i="1" a="1"/>
  <c r="AE1058" i="1" s="1"/>
  <c r="AH1058" i="1" s="1" a="1"/>
  <c r="AH1058" i="1" s="1"/>
  <c r="AE1059" i="1" a="1"/>
  <c r="AE1059" i="1" s="1"/>
  <c r="AH1059" i="1" s="1" a="1"/>
  <c r="AH1059" i="1" s="1"/>
  <c r="AE1060" i="1" a="1"/>
  <c r="AE1060" i="1" s="1"/>
  <c r="AH1060" i="1" s="1" a="1"/>
  <c r="AH1060" i="1" s="1"/>
  <c r="AE1061" i="1" a="1"/>
  <c r="AE1061" i="1" s="1"/>
  <c r="AH1061" i="1" s="1" a="1"/>
  <c r="AH1061" i="1" s="1"/>
  <c r="AE1062" i="1" a="1"/>
  <c r="AE1062" i="1" s="1"/>
  <c r="AH1062" i="1" s="1" a="1"/>
  <c r="AH1062" i="1" s="1"/>
  <c r="AE1063" i="1" a="1"/>
  <c r="AE1063" i="1" s="1"/>
  <c r="AH1063" i="1" s="1" a="1"/>
  <c r="AH1063" i="1" s="1"/>
  <c r="AE1064" i="1" a="1"/>
  <c r="AE1064" i="1" s="1"/>
  <c r="AH1064" i="1" s="1" a="1"/>
  <c r="AH1064" i="1" s="1"/>
  <c r="AE1065" i="1" a="1"/>
  <c r="AE1065" i="1" s="1"/>
  <c r="AH1065" i="1" s="1" a="1"/>
  <c r="AH1065" i="1" s="1"/>
  <c r="AE1066" i="1" a="1"/>
  <c r="AE1066" i="1" s="1"/>
  <c r="AH1066" i="1" s="1" a="1"/>
  <c r="AH1066" i="1" s="1"/>
  <c r="AE1067" i="1" a="1"/>
  <c r="AE1067" i="1" s="1"/>
  <c r="AH1067" i="1" s="1" a="1"/>
  <c r="AH1067" i="1" s="1"/>
  <c r="AE1068" i="1" a="1"/>
  <c r="AE1068" i="1" s="1"/>
  <c r="AH1068" i="1" s="1" a="1"/>
  <c r="AH1068" i="1" s="1"/>
  <c r="AE1069" i="1" a="1"/>
  <c r="AE1069" i="1" s="1"/>
  <c r="AH1069" i="1" s="1" a="1"/>
  <c r="AH1069" i="1" s="1"/>
  <c r="AE1070" i="1" a="1"/>
  <c r="AE1070" i="1" s="1"/>
  <c r="AH1070" i="1" s="1" a="1"/>
  <c r="AH1070" i="1" s="1"/>
  <c r="AE1071" i="1" a="1"/>
  <c r="AE1071" i="1" s="1"/>
  <c r="AH1071" i="1" s="1" a="1"/>
  <c r="AH1071" i="1" s="1"/>
  <c r="AE1072" i="1" a="1"/>
  <c r="AE1072" i="1" s="1"/>
  <c r="AH1072" i="1" s="1" a="1"/>
  <c r="AH1072" i="1" s="1"/>
  <c r="AE1073" i="1" a="1"/>
  <c r="AE1073" i="1" s="1"/>
  <c r="AH1073" i="1" s="1" a="1"/>
  <c r="AH1073" i="1" s="1"/>
  <c r="AE1074" i="1" a="1"/>
  <c r="AE1074" i="1" s="1"/>
  <c r="AH1074" i="1" s="1" a="1"/>
  <c r="AH1074" i="1" s="1"/>
  <c r="AF1074" i="1"/>
  <c r="AF1073" i="1"/>
  <c r="AF1072" i="1"/>
  <c r="AF1071" i="1"/>
  <c r="AF1070" i="1"/>
  <c r="AF1069" i="1"/>
  <c r="AF1068" i="1"/>
  <c r="AF1067" i="1"/>
  <c r="AF1066" i="1"/>
  <c r="AF1065" i="1"/>
  <c r="AF1064" i="1"/>
  <c r="AF1063" i="1"/>
  <c r="AF1062" i="1"/>
  <c r="AF1061" i="1"/>
  <c r="AF1060" i="1"/>
  <c r="AF1059" i="1"/>
  <c r="AF1058" i="1"/>
  <c r="AF1057" i="1"/>
  <c r="AF1056" i="1"/>
  <c r="AF1055" i="1"/>
  <c r="AF1054" i="1"/>
  <c r="AF1053" i="1"/>
  <c r="AF1052" i="1"/>
  <c r="AF1051" i="1"/>
  <c r="AF1050" i="1"/>
  <c r="AF1049" i="1"/>
  <c r="AF1048" i="1"/>
  <c r="AF1047" i="1"/>
  <c r="AF1046" i="1"/>
  <c r="AF1045" i="1"/>
  <c r="AF1044" i="1"/>
  <c r="AF1043" i="1"/>
  <c r="AF1042" i="1"/>
  <c r="AF1041" i="1"/>
  <c r="AF1040" i="1"/>
  <c r="AF1039" i="1"/>
  <c r="AF1038" i="1"/>
  <c r="AF1037" i="1"/>
  <c r="AF1036" i="1"/>
  <c r="AF1035" i="1"/>
  <c r="AF1034" i="1"/>
  <c r="AF1033" i="1"/>
  <c r="AF1032" i="1"/>
  <c r="AF1031" i="1"/>
  <c r="AF1030" i="1"/>
  <c r="AF1029" i="1"/>
  <c r="AF1028" i="1"/>
  <c r="AF1027" i="1"/>
  <c r="AF1026" i="1"/>
  <c r="AF1025" i="1"/>
  <c r="AF1024" i="1"/>
  <c r="AF1023" i="1"/>
  <c r="AF1022" i="1"/>
  <c r="AF1021" i="1"/>
  <c r="AF1020" i="1"/>
  <c r="AF1019" i="1"/>
  <c r="AF1018" i="1"/>
  <c r="AF1017" i="1"/>
  <c r="AF1016" i="1"/>
  <c r="AF1015" i="1"/>
  <c r="AF1014" i="1"/>
  <c r="AF1013" i="1"/>
  <c r="AF1012" i="1"/>
  <c r="AF1011" i="1"/>
  <c r="AF1010" i="1"/>
  <c r="AF1009" i="1"/>
  <c r="AF1008" i="1"/>
  <c r="AF1007" i="1"/>
  <c r="AF1006" i="1"/>
  <c r="AF1005" i="1"/>
  <c r="AF1004" i="1"/>
  <c r="AF1003" i="1"/>
  <c r="AF1002" i="1"/>
  <c r="AF1001" i="1"/>
  <c r="AF1000" i="1"/>
  <c r="AF999" i="1"/>
  <c r="AF998" i="1"/>
  <c r="AF997" i="1"/>
  <c r="AF996" i="1"/>
  <c r="AF995" i="1"/>
  <c r="AF994" i="1"/>
  <c r="AF993" i="1"/>
  <c r="AF992" i="1"/>
  <c r="AF991" i="1"/>
  <c r="AF990" i="1"/>
  <c r="AF989" i="1"/>
  <c r="AF988" i="1"/>
  <c r="AF987" i="1"/>
  <c r="AF986" i="1"/>
  <c r="AF985" i="1"/>
  <c r="AF984" i="1"/>
  <c r="AF983" i="1"/>
  <c r="AF982" i="1"/>
  <c r="AF981" i="1"/>
  <c r="AF980" i="1"/>
  <c r="AF979" i="1"/>
  <c r="AF978" i="1"/>
  <c r="AF977" i="1"/>
  <c r="AF976" i="1"/>
  <c r="AF975" i="1"/>
  <c r="AF974" i="1"/>
  <c r="AF973" i="1"/>
  <c r="AF972" i="1"/>
  <c r="AF971" i="1"/>
  <c r="AF970" i="1"/>
  <c r="AF969" i="1"/>
  <c r="AF968" i="1"/>
  <c r="AF967" i="1"/>
  <c r="AF966" i="1"/>
  <c r="AF965" i="1"/>
  <c r="AF964" i="1"/>
  <c r="AF963" i="1"/>
  <c r="AF962" i="1"/>
  <c r="AF961" i="1"/>
  <c r="AF960" i="1"/>
  <c r="AF959" i="1"/>
  <c r="AF958" i="1"/>
  <c r="AF957" i="1"/>
  <c r="AF956" i="1"/>
  <c r="AF955" i="1"/>
  <c r="AF954" i="1"/>
  <c r="AF953" i="1"/>
  <c r="AF952" i="1"/>
  <c r="AF951" i="1"/>
  <c r="AF950" i="1"/>
  <c r="AF949" i="1"/>
  <c r="AF948" i="1"/>
  <c r="AF947" i="1"/>
  <c r="AF946" i="1"/>
  <c r="AF945" i="1"/>
  <c r="AF944" i="1"/>
  <c r="AF943" i="1"/>
  <c r="AF942" i="1"/>
  <c r="AF941" i="1"/>
  <c r="AF940" i="1"/>
  <c r="AF939" i="1"/>
  <c r="AF938" i="1"/>
  <c r="AF937" i="1"/>
  <c r="AF936" i="1"/>
  <c r="AF935" i="1"/>
  <c r="AF934" i="1"/>
  <c r="AF933" i="1"/>
  <c r="AF932" i="1"/>
  <c r="AF931" i="1"/>
  <c r="AF930" i="1"/>
  <c r="AF929" i="1"/>
  <c r="AF928" i="1"/>
  <c r="AF927" i="1"/>
  <c r="AF926" i="1"/>
  <c r="AF925" i="1"/>
  <c r="AF924" i="1"/>
  <c r="AF923" i="1"/>
  <c r="AF922" i="1"/>
  <c r="AF921" i="1"/>
  <c r="AF920" i="1"/>
  <c r="AF919" i="1"/>
  <c r="AF918" i="1"/>
  <c r="AF917" i="1"/>
  <c r="AF916" i="1"/>
  <c r="AF915" i="1"/>
  <c r="AF914" i="1"/>
  <c r="AF913" i="1"/>
  <c r="AF912" i="1"/>
  <c r="AF911" i="1"/>
  <c r="AF910" i="1"/>
  <c r="AF909" i="1"/>
  <c r="AF908" i="1"/>
  <c r="AF907" i="1"/>
  <c r="AF906" i="1"/>
  <c r="AF905" i="1"/>
  <c r="AF904" i="1"/>
  <c r="AF903" i="1"/>
  <c r="AF902" i="1"/>
  <c r="AF901" i="1"/>
  <c r="AF900" i="1"/>
  <c r="AF899" i="1"/>
  <c r="AF898" i="1"/>
  <c r="AF897" i="1"/>
  <c r="AF896" i="1"/>
  <c r="AF895" i="1"/>
  <c r="AF894" i="1"/>
  <c r="AF893" i="1"/>
  <c r="AF892" i="1"/>
  <c r="AF891" i="1"/>
  <c r="AF890" i="1"/>
  <c r="AF889" i="1"/>
  <c r="AF888" i="1"/>
  <c r="AF887" i="1"/>
  <c r="AF886" i="1"/>
  <c r="AF885" i="1"/>
  <c r="AF884" i="1"/>
  <c r="AF883" i="1"/>
  <c r="AF882" i="1"/>
  <c r="AF881" i="1"/>
  <c r="AF880" i="1"/>
  <c r="AF879" i="1"/>
  <c r="AF878" i="1"/>
  <c r="AF877" i="1"/>
  <c r="AF876" i="1"/>
  <c r="AF875" i="1"/>
  <c r="AF874" i="1"/>
  <c r="AF873" i="1"/>
  <c r="AF872" i="1"/>
  <c r="AF871" i="1"/>
  <c r="AF870" i="1"/>
  <c r="AF869" i="1"/>
  <c r="AF868" i="1"/>
  <c r="AF867" i="1"/>
  <c r="AF866" i="1"/>
  <c r="AF865" i="1"/>
  <c r="AF864" i="1"/>
  <c r="AF863" i="1"/>
  <c r="AF862" i="1"/>
  <c r="AF861" i="1"/>
  <c r="AF860" i="1"/>
  <c r="AF859" i="1"/>
  <c r="AF858" i="1"/>
  <c r="AF857" i="1"/>
  <c r="AF856" i="1"/>
  <c r="AF855" i="1"/>
  <c r="AF854" i="1"/>
  <c r="AF853" i="1"/>
  <c r="AF852" i="1"/>
  <c r="AF851" i="1"/>
  <c r="AF850" i="1"/>
  <c r="AF849" i="1"/>
  <c r="AF848" i="1"/>
  <c r="AF847" i="1"/>
  <c r="AF846" i="1"/>
  <c r="AF845" i="1"/>
  <c r="AF844" i="1"/>
  <c r="AF843" i="1"/>
  <c r="AF842" i="1"/>
  <c r="AF841" i="1"/>
  <c r="AF840" i="1"/>
  <c r="AF839" i="1"/>
  <c r="AF838" i="1"/>
  <c r="AF837" i="1"/>
  <c r="AF836" i="1"/>
  <c r="AF835" i="1"/>
  <c r="AF834" i="1"/>
  <c r="AF833" i="1"/>
  <c r="AF832" i="1"/>
  <c r="AF831" i="1"/>
  <c r="AF830" i="1"/>
  <c r="AF829" i="1"/>
  <c r="AF828" i="1"/>
  <c r="AF827" i="1"/>
  <c r="AF826" i="1"/>
  <c r="AF825" i="1"/>
  <c r="AF824" i="1"/>
  <c r="AF823" i="1"/>
  <c r="AF822" i="1"/>
  <c r="AF821" i="1"/>
  <c r="AF820" i="1"/>
  <c r="AF819" i="1"/>
  <c r="AF818" i="1"/>
  <c r="AF817" i="1"/>
  <c r="AF816" i="1"/>
  <c r="AF815" i="1"/>
  <c r="AF814" i="1"/>
  <c r="AF813" i="1"/>
  <c r="AF812" i="1"/>
  <c r="AF811" i="1"/>
  <c r="AF810" i="1"/>
  <c r="AF809" i="1"/>
  <c r="AF808" i="1"/>
  <c r="AF807" i="1"/>
  <c r="AF806" i="1"/>
  <c r="AF805" i="1"/>
  <c r="AF804" i="1"/>
  <c r="AF803" i="1"/>
  <c r="AF802" i="1"/>
  <c r="AF801" i="1"/>
  <c r="AF800" i="1"/>
  <c r="AF799" i="1"/>
  <c r="AF798" i="1"/>
  <c r="AF797" i="1"/>
  <c r="AF796" i="1"/>
  <c r="AF795" i="1"/>
  <c r="AF794" i="1"/>
  <c r="AF793" i="1"/>
  <c r="AF792" i="1"/>
  <c r="AF791" i="1"/>
  <c r="AF790" i="1"/>
  <c r="AF789" i="1"/>
  <c r="AF788" i="1"/>
  <c r="AF787" i="1"/>
  <c r="AF786" i="1"/>
  <c r="AF785" i="1"/>
  <c r="AF784" i="1"/>
  <c r="AF783" i="1"/>
  <c r="AF782" i="1"/>
  <c r="AF781" i="1"/>
  <c r="AF780" i="1"/>
  <c r="AF779" i="1"/>
  <c r="AF778" i="1"/>
  <c r="AF777" i="1"/>
  <c r="AF776" i="1"/>
  <c r="AF775" i="1"/>
  <c r="AF774" i="1"/>
  <c r="AF773" i="1"/>
  <c r="AF772" i="1"/>
  <c r="AF771" i="1"/>
  <c r="AF770" i="1"/>
  <c r="AF769" i="1"/>
  <c r="AF768" i="1"/>
  <c r="AF767" i="1"/>
  <c r="AF766" i="1"/>
  <c r="AF765" i="1"/>
  <c r="AF764" i="1"/>
  <c r="AF763" i="1"/>
  <c r="AF762" i="1"/>
  <c r="AF761" i="1"/>
  <c r="AF760" i="1"/>
  <c r="AF754" i="1"/>
  <c r="AF753" i="1"/>
  <c r="AF752" i="1"/>
  <c r="AF751" i="1"/>
  <c r="AF750" i="1"/>
  <c r="AF749" i="1"/>
  <c r="AF748" i="1"/>
  <c r="AF747" i="1"/>
  <c r="AF746" i="1"/>
  <c r="AF745" i="1"/>
  <c r="AF744" i="1"/>
  <c r="AF743" i="1"/>
  <c r="AF742" i="1"/>
  <c r="AF741" i="1"/>
  <c r="AF740" i="1"/>
  <c r="AF739" i="1"/>
  <c r="AF738" i="1"/>
  <c r="AF737" i="1"/>
  <c r="AF736" i="1"/>
  <c r="AF735" i="1"/>
  <c r="AF734" i="1"/>
  <c r="AF733" i="1"/>
  <c r="AF732" i="1"/>
  <c r="AF731" i="1"/>
  <c r="AF730" i="1"/>
  <c r="AF729" i="1"/>
  <c r="AF728" i="1"/>
  <c r="AF727" i="1"/>
  <c r="AF726" i="1"/>
  <c r="AF725" i="1"/>
  <c r="AF724" i="1"/>
  <c r="AF723" i="1"/>
  <c r="AF722" i="1"/>
  <c r="AF721" i="1"/>
  <c r="AF720" i="1"/>
  <c r="AF719" i="1"/>
  <c r="AF718" i="1"/>
  <c r="AF717" i="1"/>
  <c r="AF716" i="1"/>
  <c r="AF715" i="1"/>
  <c r="AF714" i="1"/>
  <c r="AF713" i="1"/>
  <c r="AF712" i="1"/>
  <c r="AF711" i="1"/>
  <c r="AF710" i="1"/>
  <c r="AF709" i="1"/>
  <c r="AF708" i="1"/>
  <c r="AF707" i="1"/>
  <c r="AF706" i="1"/>
  <c r="AF705" i="1"/>
  <c r="AF704" i="1"/>
  <c r="AF703" i="1"/>
  <c r="AF702" i="1"/>
  <c r="AF701" i="1"/>
  <c r="AF700" i="1"/>
  <c r="AF699" i="1"/>
  <c r="AF698" i="1"/>
  <c r="AF697" i="1"/>
  <c r="AF696" i="1"/>
  <c r="AF695" i="1"/>
  <c r="AF694" i="1"/>
  <c r="AF693" i="1"/>
  <c r="AF692" i="1"/>
  <c r="AF691" i="1"/>
  <c r="AF690" i="1"/>
  <c r="AF689" i="1"/>
  <c r="AF688" i="1"/>
  <c r="AF687" i="1"/>
  <c r="AF686" i="1"/>
  <c r="AF685" i="1"/>
  <c r="AF684" i="1"/>
  <c r="AF683" i="1"/>
  <c r="AF682" i="1"/>
  <c r="AF681" i="1"/>
  <c r="AF680" i="1"/>
  <c r="AF679" i="1"/>
  <c r="AF678" i="1"/>
  <c r="AF677" i="1"/>
  <c r="AF676" i="1"/>
  <c r="AF675" i="1"/>
  <c r="AF674" i="1"/>
  <c r="AF673" i="1"/>
  <c r="AF672" i="1"/>
  <c r="AF671" i="1"/>
  <c r="AF670" i="1"/>
  <c r="AF669" i="1"/>
  <c r="AF668" i="1"/>
  <c r="AF667" i="1"/>
  <c r="AF666" i="1"/>
  <c r="AF665" i="1"/>
  <c r="AF664" i="1"/>
  <c r="AF663" i="1"/>
  <c r="AF662" i="1"/>
  <c r="AF661" i="1"/>
  <c r="AF660" i="1"/>
  <c r="AF659" i="1"/>
  <c r="AF658" i="1"/>
  <c r="AF657" i="1"/>
  <c r="AF656" i="1"/>
  <c r="AF655" i="1"/>
  <c r="AF654" i="1"/>
  <c r="AF653" i="1"/>
  <c r="AF652" i="1"/>
  <c r="AF651" i="1"/>
  <c r="AF650" i="1"/>
  <c r="AF649" i="1"/>
  <c r="AF648" i="1"/>
  <c r="AF647" i="1"/>
  <c r="AF646" i="1"/>
  <c r="AF645" i="1"/>
  <c r="AF644" i="1"/>
  <c r="AF643" i="1"/>
  <c r="AF642" i="1"/>
  <c r="AF641" i="1"/>
  <c r="AF640" i="1"/>
  <c r="AF639" i="1"/>
  <c r="AF638" i="1"/>
  <c r="AF637" i="1"/>
  <c r="AF636" i="1"/>
  <c r="AF635" i="1"/>
  <c r="AF634" i="1"/>
  <c r="AF633" i="1"/>
  <c r="AF632" i="1"/>
  <c r="AF631" i="1"/>
  <c r="AF630" i="1"/>
  <c r="AF629" i="1"/>
  <c r="AF628" i="1"/>
  <c r="AF627" i="1"/>
  <c r="AF626" i="1"/>
  <c r="AF625" i="1"/>
  <c r="AF624" i="1"/>
  <c r="AF623" i="1"/>
  <c r="AF622" i="1"/>
  <c r="AF621" i="1"/>
  <c r="AF620" i="1"/>
  <c r="AF619" i="1"/>
  <c r="AF618" i="1"/>
  <c r="AF617" i="1"/>
  <c r="AF616" i="1"/>
  <c r="AF615" i="1"/>
  <c r="AF614" i="1"/>
  <c r="AF613" i="1"/>
  <c r="AF612" i="1"/>
  <c r="AF611" i="1"/>
  <c r="AF610" i="1"/>
  <c r="AF609" i="1"/>
  <c r="AF608" i="1"/>
  <c r="AF607" i="1"/>
  <c r="AF606" i="1"/>
  <c r="AF605" i="1"/>
  <c r="AF604" i="1"/>
  <c r="AF603" i="1"/>
  <c r="AF602" i="1"/>
  <c r="AF601" i="1"/>
  <c r="AF600" i="1"/>
  <c r="AF599" i="1"/>
  <c r="AF598" i="1"/>
  <c r="AF597" i="1"/>
  <c r="AF596" i="1"/>
  <c r="AF595" i="1"/>
  <c r="AF594" i="1"/>
  <c r="AF593" i="1"/>
  <c r="AF592" i="1"/>
  <c r="AF591" i="1"/>
  <c r="AF590" i="1"/>
  <c r="AF589" i="1"/>
  <c r="AF588" i="1"/>
  <c r="AF587" i="1"/>
  <c r="AF586" i="1"/>
  <c r="AF585" i="1"/>
  <c r="AF584" i="1"/>
  <c r="AF583" i="1"/>
  <c r="AF582" i="1"/>
  <c r="AF581" i="1"/>
  <c r="AF580" i="1"/>
  <c r="AF579" i="1"/>
  <c r="AF578" i="1"/>
  <c r="AF577" i="1"/>
  <c r="AF576" i="1"/>
  <c r="AF575" i="1"/>
  <c r="AF574" i="1"/>
  <c r="AF573" i="1"/>
  <c r="AF572" i="1"/>
  <c r="AF571" i="1"/>
  <c r="AF570" i="1"/>
  <c r="AF569" i="1"/>
  <c r="AF568" i="1"/>
  <c r="AF567" i="1"/>
  <c r="AF566" i="1"/>
  <c r="AF565" i="1"/>
  <c r="AF564" i="1"/>
  <c r="AF563" i="1"/>
  <c r="AF562" i="1"/>
  <c r="AF561" i="1"/>
  <c r="AF560" i="1"/>
  <c r="AF559" i="1"/>
  <c r="AF558" i="1"/>
  <c r="AF557" i="1"/>
  <c r="AF556" i="1"/>
  <c r="AF555" i="1"/>
  <c r="AF554" i="1"/>
  <c r="AF553" i="1"/>
  <c r="AF552" i="1"/>
  <c r="AF551" i="1"/>
  <c r="AF550" i="1"/>
  <c r="AF549" i="1"/>
  <c r="AF548" i="1"/>
  <c r="AF547" i="1"/>
  <c r="AF546" i="1"/>
  <c r="AF545" i="1"/>
  <c r="AF544" i="1"/>
  <c r="AF543" i="1"/>
  <c r="AF542" i="1"/>
  <c r="AF541" i="1"/>
  <c r="AF540" i="1"/>
  <c r="AF539" i="1"/>
  <c r="AF538" i="1"/>
  <c r="AF537" i="1"/>
  <c r="AF536" i="1"/>
  <c r="AF535" i="1"/>
  <c r="AF534" i="1"/>
  <c r="AF533" i="1"/>
  <c r="AF532" i="1"/>
  <c r="AF531" i="1"/>
  <c r="AF530" i="1"/>
  <c r="AF529" i="1"/>
  <c r="AF528" i="1"/>
  <c r="AF527" i="1"/>
  <c r="AF526" i="1"/>
  <c r="AF525" i="1"/>
  <c r="AF524" i="1"/>
  <c r="AF523" i="1"/>
  <c r="AF522" i="1"/>
  <c r="AF521" i="1"/>
  <c r="AF520" i="1"/>
  <c r="AF519" i="1"/>
  <c r="AF518" i="1"/>
  <c r="AF517" i="1"/>
  <c r="AF516" i="1"/>
  <c r="AF515" i="1"/>
  <c r="AF514" i="1"/>
  <c r="AF513" i="1"/>
  <c r="AF512" i="1"/>
  <c r="AF511" i="1"/>
  <c r="AF510" i="1"/>
  <c r="AF509" i="1"/>
  <c r="AF508" i="1"/>
  <c r="AF507" i="1"/>
  <c r="AF506" i="1"/>
  <c r="AF505" i="1"/>
  <c r="AF504" i="1"/>
  <c r="AF503" i="1"/>
  <c r="AF502" i="1"/>
  <c r="AF501" i="1"/>
  <c r="AF500" i="1"/>
  <c r="AF499" i="1"/>
  <c r="AF498" i="1"/>
  <c r="AF497" i="1"/>
  <c r="AF496" i="1"/>
  <c r="AF495" i="1"/>
  <c r="AF494" i="1"/>
  <c r="AF493" i="1"/>
  <c r="AF492" i="1"/>
  <c r="AF491" i="1"/>
  <c r="AF490" i="1"/>
  <c r="AF489" i="1"/>
  <c r="AF488" i="1"/>
  <c r="AF487" i="1"/>
  <c r="AF486" i="1"/>
  <c r="AF485" i="1"/>
  <c r="AF484" i="1"/>
  <c r="AF483" i="1"/>
  <c r="AF482" i="1"/>
  <c r="AF481" i="1"/>
  <c r="AF480" i="1"/>
  <c r="AF479" i="1"/>
  <c r="AF478" i="1"/>
  <c r="AF477" i="1"/>
  <c r="AF476" i="1"/>
  <c r="AF475" i="1"/>
  <c r="AF474" i="1"/>
  <c r="AF473" i="1"/>
  <c r="AF472" i="1"/>
  <c r="AF471" i="1"/>
  <c r="AF470" i="1"/>
  <c r="AF469" i="1"/>
  <c r="AF468" i="1"/>
  <c r="AF467" i="1"/>
  <c r="AF466" i="1"/>
  <c r="AF465" i="1"/>
  <c r="AF464" i="1"/>
  <c r="AF463" i="1"/>
  <c r="AF462" i="1"/>
  <c r="AF461" i="1"/>
  <c r="AF460" i="1"/>
  <c r="AF459" i="1"/>
  <c r="AF458" i="1"/>
  <c r="AF457" i="1"/>
  <c r="AF456" i="1"/>
  <c r="AF455" i="1"/>
  <c r="AF454" i="1"/>
  <c r="AF453" i="1"/>
  <c r="AF452" i="1"/>
  <c r="AF451" i="1"/>
  <c r="AF450" i="1"/>
  <c r="AF449" i="1"/>
  <c r="AF448" i="1"/>
  <c r="AF447" i="1"/>
  <c r="AF446" i="1"/>
  <c r="AF445" i="1"/>
  <c r="AF444" i="1"/>
  <c r="AF443" i="1"/>
  <c r="AF442" i="1"/>
  <c r="AF441" i="1"/>
  <c r="AF440" i="1"/>
  <c r="AF439" i="1"/>
  <c r="AF438" i="1"/>
  <c r="AF437" i="1"/>
  <c r="AF436" i="1"/>
  <c r="AF435" i="1"/>
  <c r="AF434" i="1"/>
  <c r="AF433" i="1"/>
  <c r="AF432" i="1"/>
  <c r="AF431" i="1"/>
  <c r="AF430" i="1"/>
  <c r="AF429" i="1"/>
  <c r="AF428" i="1"/>
  <c r="AF427" i="1"/>
  <c r="AF426" i="1"/>
  <c r="AF425" i="1"/>
  <c r="AF424" i="1"/>
  <c r="AF423" i="1"/>
  <c r="AF422" i="1"/>
  <c r="AF421" i="1"/>
  <c r="AF420" i="1"/>
  <c r="AF419" i="1"/>
  <c r="AF418" i="1"/>
  <c r="AF417" i="1"/>
  <c r="AF416" i="1"/>
  <c r="AF415" i="1"/>
  <c r="AF414" i="1"/>
  <c r="AF413" i="1"/>
  <c r="AF412" i="1"/>
  <c r="AF411" i="1"/>
  <c r="AF410" i="1"/>
  <c r="AF409" i="1"/>
  <c r="AF408" i="1"/>
  <c r="AF407" i="1"/>
  <c r="AF406" i="1"/>
  <c r="AF405" i="1"/>
  <c r="AF404" i="1"/>
  <c r="AF403" i="1"/>
  <c r="AF402" i="1"/>
  <c r="AF401" i="1"/>
  <c r="AF400" i="1"/>
  <c r="AF399" i="1"/>
  <c r="AF398" i="1"/>
  <c r="AF397" i="1"/>
  <c r="AF396" i="1"/>
  <c r="AF395" i="1"/>
  <c r="AF394" i="1"/>
  <c r="AF393" i="1"/>
  <c r="AF392" i="1"/>
  <c r="AF391" i="1"/>
  <c r="AF390" i="1"/>
  <c r="AF389" i="1"/>
  <c r="AF388" i="1"/>
  <c r="AF387" i="1"/>
  <c r="AF386" i="1"/>
  <c r="AF385" i="1"/>
  <c r="AF384" i="1"/>
  <c r="AF383" i="1"/>
  <c r="AF382" i="1"/>
  <c r="AF381" i="1"/>
  <c r="AF380" i="1"/>
  <c r="AF379" i="1"/>
  <c r="AF378" i="1"/>
  <c r="AF377" i="1"/>
  <c r="AF376" i="1"/>
  <c r="AF375" i="1"/>
  <c r="AF374" i="1"/>
  <c r="AF373" i="1"/>
  <c r="AF372" i="1"/>
  <c r="AF371" i="1"/>
  <c r="AF370" i="1"/>
  <c r="AF369" i="1"/>
  <c r="AF368" i="1"/>
  <c r="AF367" i="1"/>
  <c r="AF366" i="1"/>
  <c r="AF365" i="1"/>
  <c r="AF364" i="1"/>
  <c r="AF363" i="1"/>
  <c r="AF362" i="1"/>
  <c r="AF361" i="1"/>
  <c r="AF360" i="1"/>
  <c r="AF359" i="1"/>
  <c r="AF358" i="1"/>
  <c r="AF357" i="1"/>
  <c r="AF356" i="1"/>
  <c r="AF355" i="1"/>
  <c r="AF354" i="1"/>
  <c r="AF353" i="1"/>
  <c r="AF352" i="1"/>
  <c r="AF351" i="1"/>
  <c r="AF350" i="1"/>
  <c r="AF349" i="1"/>
  <c r="AF348" i="1"/>
  <c r="AF347" i="1"/>
  <c r="AF346" i="1"/>
  <c r="AF345" i="1"/>
  <c r="AF344" i="1"/>
  <c r="AF343" i="1"/>
  <c r="AF342" i="1"/>
  <c r="AF341" i="1"/>
  <c r="AF340" i="1"/>
  <c r="AF339" i="1"/>
  <c r="AF338" i="1"/>
  <c r="AF337" i="1"/>
  <c r="AF336" i="1"/>
  <c r="AF335" i="1"/>
  <c r="AF334" i="1"/>
  <c r="AF333" i="1"/>
  <c r="AF332" i="1"/>
  <c r="AF331" i="1"/>
  <c r="AF330" i="1"/>
  <c r="AF329" i="1"/>
  <c r="AF328" i="1"/>
  <c r="AF327" i="1"/>
  <c r="AF326" i="1"/>
  <c r="AF325" i="1"/>
  <c r="AF324" i="1"/>
  <c r="AF323" i="1"/>
  <c r="AF322" i="1"/>
  <c r="AF321" i="1"/>
  <c r="AF320" i="1"/>
  <c r="AF319" i="1"/>
  <c r="AF318" i="1"/>
  <c r="AF317" i="1"/>
  <c r="AF316" i="1"/>
  <c r="AF315" i="1"/>
  <c r="AF314" i="1"/>
  <c r="AF313" i="1"/>
  <c r="AF312" i="1"/>
  <c r="AF311" i="1"/>
  <c r="AF310" i="1"/>
  <c r="AF309" i="1"/>
  <c r="AF308" i="1"/>
  <c r="AF307" i="1"/>
  <c r="AF306" i="1"/>
  <c r="AF305" i="1"/>
  <c r="AF304" i="1"/>
  <c r="AF303" i="1"/>
  <c r="AF302" i="1"/>
  <c r="AF301" i="1"/>
  <c r="AF300" i="1"/>
  <c r="AF299" i="1"/>
  <c r="AF298" i="1"/>
  <c r="AF297" i="1"/>
  <c r="AF296" i="1"/>
  <c r="AF295" i="1"/>
  <c r="AF294" i="1"/>
  <c r="AF293" i="1"/>
  <c r="AF292" i="1"/>
  <c r="AF291" i="1"/>
  <c r="AF290" i="1"/>
  <c r="AF289" i="1"/>
  <c r="AF288" i="1"/>
  <c r="AF287" i="1"/>
  <c r="AF286" i="1"/>
  <c r="AF285" i="1"/>
  <c r="AF284" i="1"/>
  <c r="AF283" i="1"/>
  <c r="AF282" i="1"/>
  <c r="AF281" i="1"/>
  <c r="AF280" i="1"/>
  <c r="AF279" i="1"/>
  <c r="AF278" i="1"/>
  <c r="AF277" i="1"/>
  <c r="AF276" i="1"/>
  <c r="AF275" i="1"/>
  <c r="AF274" i="1"/>
  <c r="AF273" i="1"/>
  <c r="AF272" i="1"/>
  <c r="AF271" i="1"/>
  <c r="AF270" i="1"/>
  <c r="AF269" i="1"/>
  <c r="AF268" i="1"/>
  <c r="AF267" i="1"/>
  <c r="AF266" i="1"/>
  <c r="AF265" i="1"/>
  <c r="AF264" i="1"/>
  <c r="AF263" i="1"/>
  <c r="AF262" i="1"/>
  <c r="AF261" i="1"/>
  <c r="AF260" i="1"/>
  <c r="AF259" i="1"/>
  <c r="AF258" i="1"/>
  <c r="AF257" i="1"/>
  <c r="AF256" i="1"/>
  <c r="AF255" i="1"/>
  <c r="AF254" i="1"/>
  <c r="AF253" i="1"/>
  <c r="AF252" i="1"/>
  <c r="AF251" i="1"/>
  <c r="AF250" i="1"/>
  <c r="AF249" i="1"/>
  <c r="AF248" i="1"/>
  <c r="AF247" i="1"/>
  <c r="AF246" i="1"/>
  <c r="AF245" i="1"/>
  <c r="AF244" i="1"/>
  <c r="AF243" i="1"/>
  <c r="AF242" i="1"/>
  <c r="AF241" i="1"/>
  <c r="AF240" i="1"/>
  <c r="AF239" i="1"/>
  <c r="AF238" i="1"/>
  <c r="AF237" i="1"/>
  <c r="AF236" i="1"/>
  <c r="AF235" i="1"/>
  <c r="AF234" i="1"/>
  <c r="AF233" i="1"/>
  <c r="AF232" i="1"/>
  <c r="AF231" i="1"/>
  <c r="AF230" i="1"/>
  <c r="AF229" i="1"/>
  <c r="AF228" i="1"/>
  <c r="AF227" i="1"/>
  <c r="AF226" i="1"/>
  <c r="AF225" i="1"/>
  <c r="AF224" i="1"/>
  <c r="AF223" i="1"/>
  <c r="AF222" i="1"/>
  <c r="AF221" i="1"/>
  <c r="AF220" i="1"/>
  <c r="AF219" i="1"/>
  <c r="AF218" i="1"/>
  <c r="AF217" i="1"/>
  <c r="AF216" i="1"/>
  <c r="AF215" i="1"/>
  <c r="AF214" i="1"/>
  <c r="AF213" i="1"/>
  <c r="AF212" i="1"/>
  <c r="AF211" i="1"/>
  <c r="AF210" i="1"/>
  <c r="AF209" i="1"/>
  <c r="AF208" i="1"/>
  <c r="AF207" i="1"/>
  <c r="AF206" i="1"/>
  <c r="AF205" i="1"/>
  <c r="AF204" i="1"/>
  <c r="AF203" i="1"/>
  <c r="AF202" i="1"/>
  <c r="AF201" i="1"/>
  <c r="AF200" i="1"/>
  <c r="AF199" i="1"/>
  <c r="AF198" i="1"/>
  <c r="AF197" i="1"/>
  <c r="AF196" i="1"/>
  <c r="AF195" i="1"/>
  <c r="AF194" i="1"/>
  <c r="AF193" i="1"/>
  <c r="AF192" i="1"/>
  <c r="AF191" i="1"/>
  <c r="AF190" i="1"/>
  <c r="AF189" i="1"/>
  <c r="AF188" i="1"/>
  <c r="AF187" i="1"/>
  <c r="AF186" i="1"/>
  <c r="AF185" i="1"/>
  <c r="AF184" i="1"/>
  <c r="AF183" i="1"/>
  <c r="AF182" i="1"/>
  <c r="AF181" i="1"/>
  <c r="AF180" i="1"/>
  <c r="AF179" i="1"/>
  <c r="AF178" i="1"/>
  <c r="AF177" i="1"/>
  <c r="AF176" i="1"/>
  <c r="AF175" i="1"/>
  <c r="AF174" i="1"/>
  <c r="AF173" i="1"/>
  <c r="AF172" i="1"/>
  <c r="AF171" i="1"/>
  <c r="AF170" i="1"/>
  <c r="AF169" i="1"/>
  <c r="AF168" i="1"/>
  <c r="AF167" i="1"/>
  <c r="AF166" i="1"/>
  <c r="AF165" i="1"/>
  <c r="AF164" i="1"/>
  <c r="AF163" i="1"/>
  <c r="AF162" i="1"/>
  <c r="AF161" i="1"/>
  <c r="AF160" i="1"/>
  <c r="AF159" i="1"/>
  <c r="AF158" i="1"/>
  <c r="AF157" i="1"/>
  <c r="AF156" i="1"/>
  <c r="AF155" i="1"/>
  <c r="AF154" i="1"/>
  <c r="AF153" i="1"/>
  <c r="AF152" i="1"/>
  <c r="AF151" i="1"/>
  <c r="AF150" i="1"/>
  <c r="AF149" i="1"/>
  <c r="AF148" i="1"/>
  <c r="AF147" i="1"/>
  <c r="AF146" i="1"/>
  <c r="AF145" i="1"/>
  <c r="AF144" i="1"/>
  <c r="AF143" i="1"/>
  <c r="AF142" i="1"/>
  <c r="AF141" i="1"/>
  <c r="AF140" i="1"/>
  <c r="AF139" i="1"/>
  <c r="AF138" i="1"/>
  <c r="AF137" i="1"/>
  <c r="AF136" i="1"/>
  <c r="AF135" i="1"/>
  <c r="AF134" i="1"/>
  <c r="AF133" i="1"/>
  <c r="AF132" i="1"/>
  <c r="AF131" i="1"/>
  <c r="AF130" i="1"/>
  <c r="AF129" i="1"/>
  <c r="AF128" i="1"/>
  <c r="AF127" i="1"/>
  <c r="AF126" i="1"/>
  <c r="AF125" i="1"/>
  <c r="AF124" i="1"/>
  <c r="AF123" i="1"/>
  <c r="AF122" i="1"/>
  <c r="AF121" i="1"/>
  <c r="AF120" i="1"/>
  <c r="AF119" i="1"/>
  <c r="AF118" i="1"/>
  <c r="AF117" i="1"/>
  <c r="AF116" i="1"/>
  <c r="AF115" i="1"/>
  <c r="AF114" i="1"/>
  <c r="AF113" i="1"/>
  <c r="AF112" i="1"/>
  <c r="AF111" i="1"/>
  <c r="AF110" i="1"/>
  <c r="AF109" i="1"/>
  <c r="AF108" i="1"/>
  <c r="AF107" i="1"/>
  <c r="AF106" i="1"/>
  <c r="AF105" i="1"/>
  <c r="AF104" i="1"/>
  <c r="AF103" i="1"/>
  <c r="AF102" i="1"/>
  <c r="AF101" i="1"/>
  <c r="AF100" i="1"/>
  <c r="AF99" i="1"/>
  <c r="AF98" i="1"/>
  <c r="AF97" i="1"/>
  <c r="AF96" i="1"/>
  <c r="AF95" i="1"/>
  <c r="AF94" i="1"/>
  <c r="AF93" i="1"/>
  <c r="AF92" i="1"/>
  <c r="AF91" i="1"/>
  <c r="AF90" i="1"/>
  <c r="AF89" i="1"/>
  <c r="AF88" i="1"/>
  <c r="AF87" i="1"/>
  <c r="AF86" i="1"/>
  <c r="AF85" i="1"/>
  <c r="AF84" i="1"/>
  <c r="AF83" i="1"/>
  <c r="AF82" i="1"/>
  <c r="AF81" i="1"/>
  <c r="AF80" i="1"/>
  <c r="AF79" i="1"/>
  <c r="AF78" i="1"/>
  <c r="AF77" i="1"/>
  <c r="AF76" i="1"/>
  <c r="AF75" i="1"/>
  <c r="AF74" i="1"/>
  <c r="AF73" i="1"/>
  <c r="AF72" i="1"/>
  <c r="AF71" i="1"/>
  <c r="AF70" i="1"/>
  <c r="AF69" i="1"/>
  <c r="AF68" i="1"/>
  <c r="AF67" i="1"/>
  <c r="AF66" i="1"/>
  <c r="AF65" i="1"/>
  <c r="AF64" i="1"/>
  <c r="AF63" i="1"/>
  <c r="AF62" i="1"/>
  <c r="AF61" i="1"/>
  <c r="AF60" i="1"/>
  <c r="AF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F8" i="1"/>
  <c r="AF7" i="1"/>
  <c r="AF6" i="1"/>
  <c r="AF5" i="1"/>
  <c r="AF4" i="1"/>
  <c r="AF3" i="1"/>
  <c r="AF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2" i="1"/>
  <c r="AD1074" i="1"/>
  <c r="AC1074" i="1"/>
  <c r="AB1074" i="1"/>
  <c r="AA1074" i="1"/>
  <c r="Z1074" i="1"/>
  <c r="Y1074" i="1"/>
  <c r="X1074" i="1"/>
  <c r="AD1073" i="1"/>
  <c r="AC1073" i="1"/>
  <c r="AB1073" i="1"/>
  <c r="AA1073" i="1"/>
  <c r="Z1073" i="1"/>
  <c r="Y1073" i="1"/>
  <c r="X1073" i="1"/>
  <c r="AD1072" i="1"/>
  <c r="AC1072" i="1"/>
  <c r="AB1072" i="1"/>
  <c r="AA1072" i="1"/>
  <c r="Z1072" i="1"/>
  <c r="Y1072" i="1"/>
  <c r="X1072" i="1"/>
  <c r="AD1071" i="1"/>
  <c r="AC1071" i="1"/>
  <c r="AB1071" i="1"/>
  <c r="AA1071" i="1"/>
  <c r="Z1071" i="1"/>
  <c r="Y1071" i="1"/>
  <c r="X1071" i="1"/>
  <c r="AD1070" i="1"/>
  <c r="AC1070" i="1"/>
  <c r="AB1070" i="1"/>
  <c r="AA1070" i="1"/>
  <c r="Z1070" i="1"/>
  <c r="Y1070" i="1"/>
  <c r="X1070" i="1"/>
  <c r="AD1069" i="1"/>
  <c r="AC1069" i="1"/>
  <c r="AB1069" i="1"/>
  <c r="AA1069" i="1"/>
  <c r="Z1069" i="1"/>
  <c r="Y1069" i="1"/>
  <c r="X1069" i="1"/>
  <c r="AD1068" i="1"/>
  <c r="AC1068" i="1"/>
  <c r="AB1068" i="1"/>
  <c r="AA1068" i="1"/>
  <c r="Z1068" i="1"/>
  <c r="Y1068" i="1"/>
  <c r="X1068" i="1"/>
  <c r="AD1067" i="1"/>
  <c r="AC1067" i="1"/>
  <c r="AB1067" i="1"/>
  <c r="AA1067" i="1"/>
  <c r="Z1067" i="1"/>
  <c r="Y1067" i="1"/>
  <c r="X1067" i="1"/>
  <c r="AD1066" i="1"/>
  <c r="AC1066" i="1"/>
  <c r="AB1066" i="1"/>
  <c r="AA1066" i="1"/>
  <c r="Z1066" i="1"/>
  <c r="Y1066" i="1"/>
  <c r="X1066" i="1"/>
  <c r="AD1065" i="1"/>
  <c r="AC1065" i="1"/>
  <c r="AB1065" i="1"/>
  <c r="AA1065" i="1"/>
  <c r="Z1065" i="1"/>
  <c r="Y1065" i="1"/>
  <c r="X1065" i="1"/>
  <c r="AD1064" i="1"/>
  <c r="AC1064" i="1"/>
  <c r="AB1064" i="1"/>
  <c r="AA1064" i="1"/>
  <c r="Z1064" i="1"/>
  <c r="Y1064" i="1"/>
  <c r="X1064" i="1"/>
  <c r="AD1063" i="1"/>
  <c r="AC1063" i="1"/>
  <c r="AB1063" i="1"/>
  <c r="AA1063" i="1"/>
  <c r="Z1063" i="1"/>
  <c r="Y1063" i="1"/>
  <c r="X1063" i="1"/>
  <c r="AD1062" i="1"/>
  <c r="AC1062" i="1"/>
  <c r="AB1062" i="1"/>
  <c r="AA1062" i="1"/>
  <c r="Z1062" i="1"/>
  <c r="Y1062" i="1"/>
  <c r="X1062" i="1"/>
  <c r="AD1061" i="1"/>
  <c r="AC1061" i="1"/>
  <c r="AB1061" i="1"/>
  <c r="AA1061" i="1"/>
  <c r="Z1061" i="1"/>
  <c r="Y1061" i="1"/>
  <c r="X1061" i="1"/>
  <c r="AD1060" i="1"/>
  <c r="AC1060" i="1"/>
  <c r="AB1060" i="1"/>
  <c r="AA1060" i="1"/>
  <c r="Z1060" i="1"/>
  <c r="Y1060" i="1"/>
  <c r="X1060" i="1"/>
  <c r="AD1059" i="1"/>
  <c r="AC1059" i="1"/>
  <c r="AB1059" i="1"/>
  <c r="AA1059" i="1"/>
  <c r="Z1059" i="1"/>
  <c r="Y1059" i="1"/>
  <c r="X1059" i="1"/>
  <c r="AD1058" i="1"/>
  <c r="AC1058" i="1"/>
  <c r="AB1058" i="1"/>
  <c r="AA1058" i="1"/>
  <c r="Z1058" i="1"/>
  <c r="Y1058" i="1"/>
  <c r="X1058" i="1"/>
  <c r="AD1057" i="1"/>
  <c r="AC1057" i="1"/>
  <c r="AB1057" i="1"/>
  <c r="AA1057" i="1"/>
  <c r="Z1057" i="1"/>
  <c r="Y1057" i="1"/>
  <c r="X1057" i="1"/>
  <c r="AD1056" i="1"/>
  <c r="AC1056" i="1"/>
  <c r="AB1056" i="1"/>
  <c r="AA1056" i="1"/>
  <c r="Z1056" i="1"/>
  <c r="Y1056" i="1"/>
  <c r="X1056" i="1"/>
  <c r="AD1055" i="1"/>
  <c r="AC1055" i="1"/>
  <c r="AB1055" i="1"/>
  <c r="AA1055" i="1"/>
  <c r="Z1055" i="1"/>
  <c r="Y1055" i="1"/>
  <c r="X1055" i="1"/>
  <c r="AD1054" i="1"/>
  <c r="AC1054" i="1"/>
  <c r="AB1054" i="1"/>
  <c r="AA1054" i="1"/>
  <c r="Z1054" i="1"/>
  <c r="Y1054" i="1"/>
  <c r="X1054" i="1"/>
  <c r="AD1053" i="1"/>
  <c r="AC1053" i="1"/>
  <c r="AB1053" i="1"/>
  <c r="AA1053" i="1"/>
  <c r="Z1053" i="1"/>
  <c r="Y1053" i="1"/>
  <c r="X1053" i="1"/>
  <c r="AD1052" i="1"/>
  <c r="AC1052" i="1"/>
  <c r="AB1052" i="1"/>
  <c r="AA1052" i="1"/>
  <c r="Z1052" i="1"/>
  <c r="Y1052" i="1"/>
  <c r="X1052" i="1"/>
  <c r="AD1051" i="1"/>
  <c r="AC1051" i="1"/>
  <c r="AB1051" i="1"/>
  <c r="AA1051" i="1"/>
  <c r="Z1051" i="1"/>
  <c r="Y1051" i="1"/>
  <c r="X1051" i="1"/>
  <c r="AD1050" i="1"/>
  <c r="AC1050" i="1"/>
  <c r="AB1050" i="1"/>
  <c r="AA1050" i="1"/>
  <c r="Z1050" i="1"/>
  <c r="Y1050" i="1"/>
  <c r="X1050" i="1"/>
  <c r="AD1049" i="1"/>
  <c r="AC1049" i="1"/>
  <c r="AB1049" i="1"/>
  <c r="AA1049" i="1"/>
  <c r="Z1049" i="1"/>
  <c r="Y1049" i="1"/>
  <c r="X1049" i="1"/>
  <c r="AD1048" i="1"/>
  <c r="AC1048" i="1"/>
  <c r="AB1048" i="1"/>
  <c r="AA1048" i="1"/>
  <c r="Z1048" i="1"/>
  <c r="Y1048" i="1"/>
  <c r="X1048" i="1"/>
  <c r="AD1047" i="1"/>
  <c r="AC1047" i="1"/>
  <c r="AB1047" i="1"/>
  <c r="AA1047" i="1"/>
  <c r="Z1047" i="1"/>
  <c r="Y1047" i="1"/>
  <c r="X1047" i="1"/>
  <c r="AD1046" i="1"/>
  <c r="AC1046" i="1"/>
  <c r="AB1046" i="1"/>
  <c r="AA1046" i="1"/>
  <c r="Z1046" i="1"/>
  <c r="Y1046" i="1"/>
  <c r="X1046" i="1"/>
  <c r="AD1045" i="1"/>
  <c r="AC1045" i="1"/>
  <c r="AB1045" i="1"/>
  <c r="AA1045" i="1"/>
  <c r="Z1045" i="1"/>
  <c r="Y1045" i="1"/>
  <c r="X1045" i="1"/>
  <c r="AD1044" i="1"/>
  <c r="AC1044" i="1"/>
  <c r="AB1044" i="1"/>
  <c r="AA1044" i="1"/>
  <c r="Z1044" i="1"/>
  <c r="Y1044" i="1"/>
  <c r="X1044" i="1"/>
  <c r="AD1043" i="1"/>
  <c r="AC1043" i="1"/>
  <c r="AB1043" i="1"/>
  <c r="AA1043" i="1"/>
  <c r="Z1043" i="1"/>
  <c r="Y1043" i="1"/>
  <c r="X1043" i="1"/>
  <c r="AD1042" i="1"/>
  <c r="AC1042" i="1"/>
  <c r="AB1042" i="1"/>
  <c r="AA1042" i="1"/>
  <c r="Z1042" i="1"/>
  <c r="Y1042" i="1"/>
  <c r="X1042" i="1"/>
  <c r="AD1041" i="1"/>
  <c r="AC1041" i="1"/>
  <c r="AB1041" i="1"/>
  <c r="AA1041" i="1"/>
  <c r="Z1041" i="1"/>
  <c r="Y1041" i="1"/>
  <c r="X1041" i="1"/>
  <c r="AD1040" i="1"/>
  <c r="AC1040" i="1"/>
  <c r="AB1040" i="1"/>
  <c r="AA1040" i="1"/>
  <c r="Z1040" i="1"/>
  <c r="Y1040" i="1"/>
  <c r="X1040" i="1"/>
  <c r="AD1039" i="1"/>
  <c r="AC1039" i="1"/>
  <c r="AB1039" i="1"/>
  <c r="AA1039" i="1"/>
  <c r="Z1039" i="1"/>
  <c r="Y1039" i="1"/>
  <c r="X1039" i="1"/>
  <c r="AD1038" i="1"/>
  <c r="AC1038" i="1"/>
  <c r="AB1038" i="1"/>
  <c r="AA1038" i="1"/>
  <c r="Z1038" i="1"/>
  <c r="Y1038" i="1"/>
  <c r="X1038" i="1"/>
  <c r="AD1037" i="1"/>
  <c r="AC1037" i="1"/>
  <c r="AB1037" i="1"/>
  <c r="AA1037" i="1"/>
  <c r="Z1037" i="1"/>
  <c r="Y1037" i="1"/>
  <c r="X1037" i="1"/>
  <c r="AD1036" i="1"/>
  <c r="AC1036" i="1"/>
  <c r="AB1036" i="1"/>
  <c r="AA1036" i="1"/>
  <c r="Z1036" i="1"/>
  <c r="Y1036" i="1"/>
  <c r="X1036" i="1"/>
  <c r="AD1035" i="1"/>
  <c r="AC1035" i="1"/>
  <c r="AB1035" i="1"/>
  <c r="AA1035" i="1"/>
  <c r="Z1035" i="1"/>
  <c r="Y1035" i="1"/>
  <c r="X1035" i="1"/>
  <c r="AD1034" i="1"/>
  <c r="AC1034" i="1"/>
  <c r="AB1034" i="1"/>
  <c r="AA1034" i="1"/>
  <c r="Z1034" i="1"/>
  <c r="Y1034" i="1"/>
  <c r="X1034" i="1"/>
  <c r="AD1033" i="1"/>
  <c r="AC1033" i="1"/>
  <c r="AB1033" i="1"/>
  <c r="AA1033" i="1"/>
  <c r="Z1033" i="1"/>
  <c r="Y1033" i="1"/>
  <c r="X1033" i="1"/>
  <c r="AD1032" i="1"/>
  <c r="AC1032" i="1"/>
  <c r="AB1032" i="1"/>
  <c r="AA1032" i="1"/>
  <c r="Z1032" i="1"/>
  <c r="Y1032" i="1"/>
  <c r="X1032" i="1"/>
  <c r="AD1031" i="1"/>
  <c r="AC1031" i="1"/>
  <c r="AB1031" i="1"/>
  <c r="AA1031" i="1"/>
  <c r="Z1031" i="1"/>
  <c r="Y1031" i="1"/>
  <c r="X1031" i="1"/>
  <c r="AD1030" i="1"/>
  <c r="AC1030" i="1"/>
  <c r="AB1030" i="1"/>
  <c r="AA1030" i="1"/>
  <c r="Z1030" i="1"/>
  <c r="Y1030" i="1"/>
  <c r="X1030" i="1"/>
  <c r="AD1029" i="1"/>
  <c r="AC1029" i="1"/>
  <c r="AB1029" i="1"/>
  <c r="AA1029" i="1"/>
  <c r="Z1029" i="1"/>
  <c r="Y1029" i="1"/>
  <c r="X1029" i="1"/>
  <c r="AD1028" i="1"/>
  <c r="AC1028" i="1"/>
  <c r="AB1028" i="1"/>
  <c r="AA1028" i="1"/>
  <c r="Z1028" i="1"/>
  <c r="Y1028" i="1"/>
  <c r="X1028" i="1"/>
  <c r="AD1027" i="1"/>
  <c r="AC1027" i="1"/>
  <c r="AB1027" i="1"/>
  <c r="AA1027" i="1"/>
  <c r="Z1027" i="1"/>
  <c r="Y1027" i="1"/>
  <c r="X1027" i="1"/>
  <c r="AD1026" i="1"/>
  <c r="AC1026" i="1"/>
  <c r="AB1026" i="1"/>
  <c r="AA1026" i="1"/>
  <c r="Z1026" i="1"/>
  <c r="Y1026" i="1"/>
  <c r="X1026" i="1"/>
  <c r="AD1025" i="1"/>
  <c r="AC1025" i="1"/>
  <c r="AB1025" i="1"/>
  <c r="AA1025" i="1"/>
  <c r="Z1025" i="1"/>
  <c r="Y1025" i="1"/>
  <c r="X1025" i="1"/>
  <c r="AD1024" i="1"/>
  <c r="AC1024" i="1"/>
  <c r="AB1024" i="1"/>
  <c r="AA1024" i="1"/>
  <c r="Z1024" i="1"/>
  <c r="Y1024" i="1"/>
  <c r="X1024" i="1"/>
  <c r="AD1023" i="1"/>
  <c r="AC1023" i="1"/>
  <c r="AB1023" i="1"/>
  <c r="AA1023" i="1"/>
  <c r="Z1023" i="1"/>
  <c r="Y1023" i="1"/>
  <c r="X1023" i="1"/>
  <c r="AD1022" i="1"/>
  <c r="AC1022" i="1"/>
  <c r="AB1022" i="1"/>
  <c r="AA1022" i="1"/>
  <c r="Z1022" i="1"/>
  <c r="Y1022" i="1"/>
  <c r="X1022" i="1"/>
  <c r="AD1021" i="1"/>
  <c r="AC1021" i="1"/>
  <c r="AB1021" i="1"/>
  <c r="AA1021" i="1"/>
  <c r="Z1021" i="1"/>
  <c r="Y1021" i="1"/>
  <c r="X1021" i="1"/>
  <c r="AD1020" i="1"/>
  <c r="AC1020" i="1"/>
  <c r="AB1020" i="1"/>
  <c r="AA1020" i="1"/>
  <c r="Z1020" i="1"/>
  <c r="Y1020" i="1"/>
  <c r="X1020" i="1"/>
  <c r="AD1019" i="1"/>
  <c r="AC1019" i="1"/>
  <c r="AB1019" i="1"/>
  <c r="AA1019" i="1"/>
  <c r="Z1019" i="1"/>
  <c r="Y1019" i="1"/>
  <c r="X1019" i="1"/>
  <c r="AD1018" i="1"/>
  <c r="AC1018" i="1"/>
  <c r="AB1018" i="1"/>
  <c r="AA1018" i="1"/>
  <c r="Z1018" i="1"/>
  <c r="Y1018" i="1"/>
  <c r="X1018" i="1"/>
  <c r="AD1017" i="1"/>
  <c r="AC1017" i="1"/>
  <c r="AB1017" i="1"/>
  <c r="AA1017" i="1"/>
  <c r="Z1017" i="1"/>
  <c r="Y1017" i="1"/>
  <c r="X1017" i="1"/>
  <c r="AD1016" i="1"/>
  <c r="AC1016" i="1"/>
  <c r="AB1016" i="1"/>
  <c r="AA1016" i="1"/>
  <c r="Z1016" i="1"/>
  <c r="Y1016" i="1"/>
  <c r="X1016" i="1"/>
  <c r="AD1015" i="1"/>
  <c r="AC1015" i="1"/>
  <c r="AB1015" i="1"/>
  <c r="AA1015" i="1"/>
  <c r="Z1015" i="1"/>
  <c r="Y1015" i="1"/>
  <c r="X1015" i="1"/>
  <c r="AD1014" i="1"/>
  <c r="AC1014" i="1"/>
  <c r="AB1014" i="1"/>
  <c r="AA1014" i="1"/>
  <c r="Z1014" i="1"/>
  <c r="Y1014" i="1"/>
  <c r="X1014" i="1"/>
  <c r="AD1013" i="1"/>
  <c r="AC1013" i="1"/>
  <c r="AB1013" i="1"/>
  <c r="AA1013" i="1"/>
  <c r="Z1013" i="1"/>
  <c r="Y1013" i="1"/>
  <c r="X1013" i="1"/>
  <c r="AD1012" i="1"/>
  <c r="AC1012" i="1"/>
  <c r="AB1012" i="1"/>
  <c r="AA1012" i="1"/>
  <c r="Z1012" i="1"/>
  <c r="Y1012" i="1"/>
  <c r="X1012" i="1"/>
  <c r="AD1011" i="1"/>
  <c r="AC1011" i="1"/>
  <c r="AB1011" i="1"/>
  <c r="AA1011" i="1"/>
  <c r="Z1011" i="1"/>
  <c r="Y1011" i="1"/>
  <c r="X1011" i="1"/>
  <c r="AD1010" i="1"/>
  <c r="AC1010" i="1"/>
  <c r="AB1010" i="1"/>
  <c r="AA1010" i="1"/>
  <c r="Z1010" i="1"/>
  <c r="Y1010" i="1"/>
  <c r="X1010" i="1"/>
  <c r="AD1009" i="1"/>
  <c r="AC1009" i="1"/>
  <c r="AB1009" i="1"/>
  <c r="AA1009" i="1"/>
  <c r="Z1009" i="1"/>
  <c r="Y1009" i="1"/>
  <c r="X1009" i="1"/>
  <c r="AD1008" i="1"/>
  <c r="AC1008" i="1"/>
  <c r="AB1008" i="1"/>
  <c r="AA1008" i="1"/>
  <c r="Z1008" i="1"/>
  <c r="Y1008" i="1"/>
  <c r="X1008" i="1"/>
  <c r="AD1007" i="1"/>
  <c r="AC1007" i="1"/>
  <c r="AB1007" i="1"/>
  <c r="AA1007" i="1"/>
  <c r="Z1007" i="1"/>
  <c r="Y1007" i="1"/>
  <c r="X1007" i="1"/>
  <c r="AD1006" i="1"/>
  <c r="AC1006" i="1"/>
  <c r="AB1006" i="1"/>
  <c r="AA1006" i="1"/>
  <c r="Z1006" i="1"/>
  <c r="Y1006" i="1"/>
  <c r="X1006" i="1"/>
  <c r="AD1005" i="1"/>
  <c r="AC1005" i="1"/>
  <c r="AB1005" i="1"/>
  <c r="AA1005" i="1"/>
  <c r="Z1005" i="1"/>
  <c r="Y1005" i="1"/>
  <c r="X1005" i="1"/>
  <c r="AD1004" i="1"/>
  <c r="AC1004" i="1"/>
  <c r="AB1004" i="1"/>
  <c r="AA1004" i="1"/>
  <c r="Z1004" i="1"/>
  <c r="Y1004" i="1"/>
  <c r="X1004" i="1"/>
  <c r="AD1003" i="1"/>
  <c r="AC1003" i="1"/>
  <c r="AB1003" i="1"/>
  <c r="AA1003" i="1"/>
  <c r="Z1003" i="1"/>
  <c r="Y1003" i="1"/>
  <c r="X1003" i="1"/>
  <c r="AD1002" i="1"/>
  <c r="AC1002" i="1"/>
  <c r="AB1002" i="1"/>
  <c r="AA1002" i="1"/>
  <c r="Z1002" i="1"/>
  <c r="Y1002" i="1"/>
  <c r="X1002" i="1"/>
  <c r="AD1001" i="1"/>
  <c r="AC1001" i="1"/>
  <c r="AB1001" i="1"/>
  <c r="AA1001" i="1"/>
  <c r="Z1001" i="1"/>
  <c r="Y1001" i="1"/>
  <c r="X1001" i="1"/>
  <c r="AD1000" i="1"/>
  <c r="AC1000" i="1"/>
  <c r="AB1000" i="1"/>
  <c r="AA1000" i="1"/>
  <c r="Z1000" i="1"/>
  <c r="Y1000" i="1"/>
  <c r="X1000" i="1"/>
  <c r="AD999" i="1"/>
  <c r="AC999" i="1"/>
  <c r="AB999" i="1"/>
  <c r="AA999" i="1"/>
  <c r="Z999" i="1"/>
  <c r="Y999" i="1"/>
  <c r="X999" i="1"/>
  <c r="AD998" i="1"/>
  <c r="AC998" i="1"/>
  <c r="AB998" i="1"/>
  <c r="AA998" i="1"/>
  <c r="Z998" i="1"/>
  <c r="Y998" i="1"/>
  <c r="X998" i="1"/>
  <c r="AD997" i="1"/>
  <c r="AC997" i="1"/>
  <c r="AB997" i="1"/>
  <c r="AA997" i="1"/>
  <c r="Z997" i="1"/>
  <c r="Y997" i="1"/>
  <c r="X997" i="1"/>
  <c r="AD996" i="1"/>
  <c r="AC996" i="1"/>
  <c r="AB996" i="1"/>
  <c r="AA996" i="1"/>
  <c r="Z996" i="1"/>
  <c r="Y996" i="1"/>
  <c r="X996" i="1"/>
  <c r="AD995" i="1"/>
  <c r="AC995" i="1"/>
  <c r="AB995" i="1"/>
  <c r="AA995" i="1"/>
  <c r="Z995" i="1"/>
  <c r="Y995" i="1"/>
  <c r="X995" i="1"/>
  <c r="AD994" i="1"/>
  <c r="AC994" i="1"/>
  <c r="AB994" i="1"/>
  <c r="AA994" i="1"/>
  <c r="Z994" i="1"/>
  <c r="Y994" i="1"/>
  <c r="X994" i="1"/>
  <c r="AD993" i="1"/>
  <c r="AC993" i="1"/>
  <c r="AB993" i="1"/>
  <c r="AA993" i="1"/>
  <c r="Z993" i="1"/>
  <c r="Y993" i="1"/>
  <c r="X993" i="1"/>
  <c r="AD992" i="1"/>
  <c r="AC992" i="1"/>
  <c r="AB992" i="1"/>
  <c r="AA992" i="1"/>
  <c r="Z992" i="1"/>
  <c r="Y992" i="1"/>
  <c r="X992" i="1"/>
  <c r="AD991" i="1"/>
  <c r="AC991" i="1"/>
  <c r="AB991" i="1"/>
  <c r="AA991" i="1"/>
  <c r="Z991" i="1"/>
  <c r="Y991" i="1"/>
  <c r="X991" i="1"/>
  <c r="AD990" i="1"/>
  <c r="AC990" i="1"/>
  <c r="AB990" i="1"/>
  <c r="AA990" i="1"/>
  <c r="Z990" i="1"/>
  <c r="Y990" i="1"/>
  <c r="X990" i="1"/>
  <c r="AD989" i="1"/>
  <c r="AC989" i="1"/>
  <c r="AB989" i="1"/>
  <c r="AA989" i="1"/>
  <c r="Z989" i="1"/>
  <c r="Y989" i="1"/>
  <c r="X989" i="1"/>
  <c r="AD988" i="1"/>
  <c r="AC988" i="1"/>
  <c r="AB988" i="1"/>
  <c r="AA988" i="1"/>
  <c r="Z988" i="1"/>
  <c r="Y988" i="1"/>
  <c r="X988" i="1"/>
  <c r="AD987" i="1"/>
  <c r="AC987" i="1"/>
  <c r="AB987" i="1"/>
  <c r="AA987" i="1"/>
  <c r="Z987" i="1"/>
  <c r="Y987" i="1"/>
  <c r="X987" i="1"/>
  <c r="AD986" i="1"/>
  <c r="AC986" i="1"/>
  <c r="AB986" i="1"/>
  <c r="AA986" i="1"/>
  <c r="Z986" i="1"/>
  <c r="Y986" i="1"/>
  <c r="X986" i="1"/>
  <c r="AD985" i="1"/>
  <c r="AC985" i="1"/>
  <c r="AB985" i="1"/>
  <c r="AA985" i="1"/>
  <c r="Z985" i="1"/>
  <c r="Y985" i="1"/>
  <c r="X985" i="1"/>
  <c r="AD984" i="1"/>
  <c r="AC984" i="1"/>
  <c r="AB984" i="1"/>
  <c r="AA984" i="1"/>
  <c r="Z984" i="1"/>
  <c r="Y984" i="1"/>
  <c r="X984" i="1"/>
  <c r="AD983" i="1"/>
  <c r="AC983" i="1"/>
  <c r="AB983" i="1"/>
  <c r="AA983" i="1"/>
  <c r="Z983" i="1"/>
  <c r="Y983" i="1"/>
  <c r="X983" i="1"/>
  <c r="AD982" i="1"/>
  <c r="AC982" i="1"/>
  <c r="AB982" i="1"/>
  <c r="AA982" i="1"/>
  <c r="Z982" i="1"/>
  <c r="Y982" i="1"/>
  <c r="X982" i="1"/>
  <c r="AD981" i="1"/>
  <c r="AC981" i="1"/>
  <c r="AB981" i="1"/>
  <c r="AA981" i="1"/>
  <c r="Z981" i="1"/>
  <c r="Y981" i="1"/>
  <c r="X981" i="1"/>
  <c r="AD980" i="1"/>
  <c r="AC980" i="1"/>
  <c r="AB980" i="1"/>
  <c r="AA980" i="1"/>
  <c r="Z980" i="1"/>
  <c r="Y980" i="1"/>
  <c r="X980" i="1"/>
  <c r="AD979" i="1"/>
  <c r="AC979" i="1"/>
  <c r="AB979" i="1"/>
  <c r="AA979" i="1"/>
  <c r="Z979" i="1"/>
  <c r="Y979" i="1"/>
  <c r="X979" i="1"/>
  <c r="AD978" i="1"/>
  <c r="AC978" i="1"/>
  <c r="AB978" i="1"/>
  <c r="AA978" i="1"/>
  <c r="Z978" i="1"/>
  <c r="Y978" i="1"/>
  <c r="X978" i="1"/>
  <c r="AD977" i="1"/>
  <c r="AC977" i="1"/>
  <c r="AB977" i="1"/>
  <c r="AA977" i="1"/>
  <c r="Z977" i="1"/>
  <c r="Y977" i="1"/>
  <c r="X977" i="1"/>
  <c r="AD976" i="1"/>
  <c r="AC976" i="1"/>
  <c r="AB976" i="1"/>
  <c r="AA976" i="1"/>
  <c r="Z976" i="1"/>
  <c r="Y976" i="1"/>
  <c r="X976" i="1"/>
  <c r="AD975" i="1"/>
  <c r="AC975" i="1"/>
  <c r="AB975" i="1"/>
  <c r="AA975" i="1"/>
  <c r="Z975" i="1"/>
  <c r="Y975" i="1"/>
  <c r="X975" i="1"/>
  <c r="AD974" i="1"/>
  <c r="AC974" i="1"/>
  <c r="AB974" i="1"/>
  <c r="AA974" i="1"/>
  <c r="Z974" i="1"/>
  <c r="Y974" i="1"/>
  <c r="X974" i="1"/>
  <c r="AD973" i="1"/>
  <c r="AC973" i="1"/>
  <c r="AB973" i="1"/>
  <c r="AA973" i="1"/>
  <c r="Z973" i="1"/>
  <c r="Y973" i="1"/>
  <c r="X973" i="1"/>
  <c r="AD972" i="1"/>
  <c r="AC972" i="1"/>
  <c r="AB972" i="1"/>
  <c r="AA972" i="1"/>
  <c r="Z972" i="1"/>
  <c r="Y972" i="1"/>
  <c r="X972" i="1"/>
  <c r="AD971" i="1"/>
  <c r="AC971" i="1"/>
  <c r="AB971" i="1"/>
  <c r="AA971" i="1"/>
  <c r="Z971" i="1"/>
  <c r="Y971" i="1"/>
  <c r="X971" i="1"/>
  <c r="AD970" i="1"/>
  <c r="AC970" i="1"/>
  <c r="AB970" i="1"/>
  <c r="AA970" i="1"/>
  <c r="Z970" i="1"/>
  <c r="Y970" i="1"/>
  <c r="X970" i="1"/>
  <c r="AD969" i="1"/>
  <c r="AC969" i="1"/>
  <c r="AB969" i="1"/>
  <c r="AA969" i="1"/>
  <c r="Z969" i="1"/>
  <c r="Y969" i="1"/>
  <c r="X969" i="1"/>
  <c r="AD968" i="1"/>
  <c r="AC968" i="1"/>
  <c r="AB968" i="1"/>
  <c r="AA968" i="1"/>
  <c r="Z968" i="1"/>
  <c r="Y968" i="1"/>
  <c r="X968" i="1"/>
  <c r="AD967" i="1"/>
  <c r="AC967" i="1"/>
  <c r="AB967" i="1"/>
  <c r="AA967" i="1"/>
  <c r="Z967" i="1"/>
  <c r="Y967" i="1"/>
  <c r="X967" i="1"/>
  <c r="AD966" i="1"/>
  <c r="AC966" i="1"/>
  <c r="AB966" i="1"/>
  <c r="AA966" i="1"/>
  <c r="Z966" i="1"/>
  <c r="Y966" i="1"/>
  <c r="X966" i="1"/>
  <c r="AD965" i="1"/>
  <c r="AC965" i="1"/>
  <c r="AB965" i="1"/>
  <c r="AA965" i="1"/>
  <c r="Z965" i="1"/>
  <c r="Y965" i="1"/>
  <c r="X965" i="1"/>
  <c r="AD964" i="1"/>
  <c r="AC964" i="1"/>
  <c r="AB964" i="1"/>
  <c r="AA964" i="1"/>
  <c r="Z964" i="1"/>
  <c r="Y964" i="1"/>
  <c r="X964" i="1"/>
  <c r="AD963" i="1"/>
  <c r="AC963" i="1"/>
  <c r="AB963" i="1"/>
  <c r="AA963" i="1"/>
  <c r="Z963" i="1"/>
  <c r="Y963" i="1"/>
  <c r="X963" i="1"/>
  <c r="AD962" i="1"/>
  <c r="AC962" i="1"/>
  <c r="AB962" i="1"/>
  <c r="AA962" i="1"/>
  <c r="Z962" i="1"/>
  <c r="Y962" i="1"/>
  <c r="X962" i="1"/>
  <c r="AD961" i="1"/>
  <c r="AC961" i="1"/>
  <c r="AB961" i="1"/>
  <c r="AA961" i="1"/>
  <c r="Z961" i="1"/>
  <c r="Y961" i="1"/>
  <c r="X961" i="1"/>
  <c r="AD960" i="1"/>
  <c r="AC960" i="1"/>
  <c r="AB960" i="1"/>
  <c r="AA960" i="1"/>
  <c r="Z960" i="1"/>
  <c r="Y960" i="1"/>
  <c r="X960" i="1"/>
  <c r="AD959" i="1"/>
  <c r="AC959" i="1"/>
  <c r="AB959" i="1"/>
  <c r="AA959" i="1"/>
  <c r="Z959" i="1"/>
  <c r="Y959" i="1"/>
  <c r="X959" i="1"/>
  <c r="AD958" i="1"/>
  <c r="AC958" i="1"/>
  <c r="AB958" i="1"/>
  <c r="AA958" i="1"/>
  <c r="Z958" i="1"/>
  <c r="Y958" i="1"/>
  <c r="X958" i="1"/>
  <c r="AD957" i="1"/>
  <c r="AC957" i="1"/>
  <c r="AB957" i="1"/>
  <c r="AA957" i="1"/>
  <c r="Z957" i="1"/>
  <c r="Y957" i="1"/>
  <c r="X957" i="1"/>
  <c r="AD956" i="1"/>
  <c r="AC956" i="1"/>
  <c r="AB956" i="1"/>
  <c r="AA956" i="1"/>
  <c r="Z956" i="1"/>
  <c r="Y956" i="1"/>
  <c r="X956" i="1"/>
  <c r="AD955" i="1"/>
  <c r="AC955" i="1"/>
  <c r="AB955" i="1"/>
  <c r="AA955" i="1"/>
  <c r="Z955" i="1"/>
  <c r="Y955" i="1"/>
  <c r="X955" i="1"/>
  <c r="AD954" i="1"/>
  <c r="AC954" i="1"/>
  <c r="AB954" i="1"/>
  <c r="AA954" i="1"/>
  <c r="Z954" i="1"/>
  <c r="Y954" i="1"/>
  <c r="X954" i="1"/>
  <c r="AD953" i="1"/>
  <c r="AC953" i="1"/>
  <c r="AB953" i="1"/>
  <c r="AA953" i="1"/>
  <c r="Z953" i="1"/>
  <c r="Y953" i="1"/>
  <c r="X953" i="1"/>
  <c r="AD952" i="1"/>
  <c r="AC952" i="1"/>
  <c r="AB952" i="1"/>
  <c r="AA952" i="1"/>
  <c r="Z952" i="1"/>
  <c r="Y952" i="1"/>
  <c r="X952" i="1"/>
  <c r="AD951" i="1"/>
  <c r="AC951" i="1"/>
  <c r="AB951" i="1"/>
  <c r="AA951" i="1"/>
  <c r="Z951" i="1"/>
  <c r="Y951" i="1"/>
  <c r="X951" i="1"/>
  <c r="AD950" i="1"/>
  <c r="AC950" i="1"/>
  <c r="AB950" i="1"/>
  <c r="AA950" i="1"/>
  <c r="Z950" i="1"/>
  <c r="Y950" i="1"/>
  <c r="X950" i="1"/>
  <c r="AD949" i="1"/>
  <c r="AC949" i="1"/>
  <c r="AB949" i="1"/>
  <c r="AA949" i="1"/>
  <c r="Z949" i="1"/>
  <c r="Y949" i="1"/>
  <c r="X949" i="1"/>
  <c r="AD948" i="1"/>
  <c r="AC948" i="1"/>
  <c r="AB948" i="1"/>
  <c r="AA948" i="1"/>
  <c r="Z948" i="1"/>
  <c r="Y948" i="1"/>
  <c r="X948" i="1"/>
  <c r="AD947" i="1"/>
  <c r="AC947" i="1"/>
  <c r="AB947" i="1"/>
  <c r="AA947" i="1"/>
  <c r="Z947" i="1"/>
  <c r="Y947" i="1"/>
  <c r="X947" i="1"/>
  <c r="AD946" i="1"/>
  <c r="AC946" i="1"/>
  <c r="AB946" i="1"/>
  <c r="AA946" i="1"/>
  <c r="Z946" i="1"/>
  <c r="Y946" i="1"/>
  <c r="X946" i="1"/>
  <c r="AD945" i="1"/>
  <c r="AC945" i="1"/>
  <c r="AB945" i="1"/>
  <c r="AA945" i="1"/>
  <c r="Z945" i="1"/>
  <c r="Y945" i="1"/>
  <c r="X945" i="1"/>
  <c r="AD944" i="1"/>
  <c r="AC944" i="1"/>
  <c r="AB944" i="1"/>
  <c r="AA944" i="1"/>
  <c r="Z944" i="1"/>
  <c r="Y944" i="1"/>
  <c r="X944" i="1"/>
  <c r="AD943" i="1"/>
  <c r="AC943" i="1"/>
  <c r="AB943" i="1"/>
  <c r="AA943" i="1"/>
  <c r="Z943" i="1"/>
  <c r="Y943" i="1"/>
  <c r="X943" i="1"/>
  <c r="AD942" i="1"/>
  <c r="AC942" i="1"/>
  <c r="AB942" i="1"/>
  <c r="AA942" i="1"/>
  <c r="Z942" i="1"/>
  <c r="Y942" i="1"/>
  <c r="X942" i="1"/>
  <c r="AD941" i="1"/>
  <c r="AC941" i="1"/>
  <c r="AB941" i="1"/>
  <c r="AA941" i="1"/>
  <c r="Z941" i="1"/>
  <c r="Y941" i="1"/>
  <c r="X941" i="1"/>
  <c r="AD940" i="1"/>
  <c r="AC940" i="1"/>
  <c r="AB940" i="1"/>
  <c r="AA940" i="1"/>
  <c r="Z940" i="1"/>
  <c r="Y940" i="1"/>
  <c r="X940" i="1"/>
  <c r="AD939" i="1"/>
  <c r="AC939" i="1"/>
  <c r="AB939" i="1"/>
  <c r="AA939" i="1"/>
  <c r="Z939" i="1"/>
  <c r="Y939" i="1"/>
  <c r="X939" i="1"/>
  <c r="AD938" i="1"/>
  <c r="AC938" i="1"/>
  <c r="AB938" i="1"/>
  <c r="AA938" i="1"/>
  <c r="Z938" i="1"/>
  <c r="Y938" i="1"/>
  <c r="X938" i="1"/>
  <c r="AD937" i="1"/>
  <c r="AC937" i="1"/>
  <c r="AB937" i="1"/>
  <c r="AA937" i="1"/>
  <c r="Z937" i="1"/>
  <c r="Y937" i="1"/>
  <c r="X937" i="1"/>
  <c r="AD936" i="1"/>
  <c r="AC936" i="1"/>
  <c r="AB936" i="1"/>
  <c r="AA936" i="1"/>
  <c r="Z936" i="1"/>
  <c r="Y936" i="1"/>
  <c r="X936" i="1"/>
  <c r="AD935" i="1"/>
  <c r="AC935" i="1"/>
  <c r="AB935" i="1"/>
  <c r="AA935" i="1"/>
  <c r="Z935" i="1"/>
  <c r="Y935" i="1"/>
  <c r="X935" i="1"/>
  <c r="AD934" i="1"/>
  <c r="AC934" i="1"/>
  <c r="AB934" i="1"/>
  <c r="AA934" i="1"/>
  <c r="Z934" i="1"/>
  <c r="Y934" i="1"/>
  <c r="X934" i="1"/>
  <c r="AD933" i="1"/>
  <c r="AC933" i="1"/>
  <c r="AB933" i="1"/>
  <c r="AA933" i="1"/>
  <c r="Z933" i="1"/>
  <c r="Y933" i="1"/>
  <c r="X933" i="1"/>
  <c r="AD932" i="1"/>
  <c r="AC932" i="1"/>
  <c r="AB932" i="1"/>
  <c r="AA932" i="1"/>
  <c r="Z932" i="1"/>
  <c r="Y932" i="1"/>
  <c r="X932" i="1"/>
  <c r="AD931" i="1"/>
  <c r="AC931" i="1"/>
  <c r="AB931" i="1"/>
  <c r="AA931" i="1"/>
  <c r="Z931" i="1"/>
  <c r="Y931" i="1"/>
  <c r="X931" i="1"/>
  <c r="AD930" i="1"/>
  <c r="AC930" i="1"/>
  <c r="AB930" i="1"/>
  <c r="AA930" i="1"/>
  <c r="Z930" i="1"/>
  <c r="Y930" i="1"/>
  <c r="X930" i="1"/>
  <c r="AD929" i="1"/>
  <c r="AC929" i="1"/>
  <c r="AB929" i="1"/>
  <c r="AA929" i="1"/>
  <c r="Z929" i="1"/>
  <c r="Y929" i="1"/>
  <c r="X929" i="1"/>
  <c r="AD928" i="1"/>
  <c r="AC928" i="1"/>
  <c r="AB928" i="1"/>
  <c r="AA928" i="1"/>
  <c r="Z928" i="1"/>
  <c r="Y928" i="1"/>
  <c r="X928" i="1"/>
  <c r="AD927" i="1"/>
  <c r="AC927" i="1"/>
  <c r="AB927" i="1"/>
  <c r="AA927" i="1"/>
  <c r="Z927" i="1"/>
  <c r="Y927" i="1"/>
  <c r="X927" i="1"/>
  <c r="AD926" i="1"/>
  <c r="AC926" i="1"/>
  <c r="AB926" i="1"/>
  <c r="AA926" i="1"/>
  <c r="Z926" i="1"/>
  <c r="Y926" i="1"/>
  <c r="X926" i="1"/>
  <c r="AD925" i="1"/>
  <c r="AC925" i="1"/>
  <c r="AB925" i="1"/>
  <c r="AA925" i="1"/>
  <c r="Z925" i="1"/>
  <c r="Y925" i="1"/>
  <c r="X925" i="1"/>
  <c r="AD924" i="1"/>
  <c r="AC924" i="1"/>
  <c r="AB924" i="1"/>
  <c r="AA924" i="1"/>
  <c r="Z924" i="1"/>
  <c r="Y924" i="1"/>
  <c r="X924" i="1"/>
  <c r="AD923" i="1"/>
  <c r="AC923" i="1"/>
  <c r="AB923" i="1"/>
  <c r="AA923" i="1"/>
  <c r="Z923" i="1"/>
  <c r="Y923" i="1"/>
  <c r="X923" i="1"/>
  <c r="AD922" i="1"/>
  <c r="AC922" i="1"/>
  <c r="AB922" i="1"/>
  <c r="AA922" i="1"/>
  <c r="Z922" i="1"/>
  <c r="Y922" i="1"/>
  <c r="X922" i="1"/>
  <c r="AD921" i="1"/>
  <c r="AC921" i="1"/>
  <c r="AB921" i="1"/>
  <c r="AA921" i="1"/>
  <c r="Z921" i="1"/>
  <c r="Y921" i="1"/>
  <c r="X921" i="1"/>
  <c r="AD920" i="1"/>
  <c r="AC920" i="1"/>
  <c r="AB920" i="1"/>
  <c r="AA920" i="1"/>
  <c r="Z920" i="1"/>
  <c r="Y920" i="1"/>
  <c r="X920" i="1"/>
  <c r="AD919" i="1"/>
  <c r="AC919" i="1"/>
  <c r="AB919" i="1"/>
  <c r="AA919" i="1"/>
  <c r="Z919" i="1"/>
  <c r="Y919" i="1"/>
  <c r="X919" i="1"/>
  <c r="AD918" i="1"/>
  <c r="AC918" i="1"/>
  <c r="AB918" i="1"/>
  <c r="AA918" i="1"/>
  <c r="Z918" i="1"/>
  <c r="Y918" i="1"/>
  <c r="X918" i="1"/>
  <c r="AD917" i="1"/>
  <c r="AC917" i="1"/>
  <c r="AB917" i="1"/>
  <c r="AA917" i="1"/>
  <c r="Z917" i="1"/>
  <c r="Y917" i="1"/>
  <c r="X917" i="1"/>
  <c r="AD916" i="1"/>
  <c r="AC916" i="1"/>
  <c r="AB916" i="1"/>
  <c r="AA916" i="1"/>
  <c r="Z916" i="1"/>
  <c r="Y916" i="1"/>
  <c r="X916" i="1"/>
  <c r="AD915" i="1"/>
  <c r="AC915" i="1"/>
  <c r="AB915" i="1"/>
  <c r="AA915" i="1"/>
  <c r="Z915" i="1"/>
  <c r="Y915" i="1"/>
  <c r="X915" i="1"/>
  <c r="AD914" i="1"/>
  <c r="AC914" i="1"/>
  <c r="AB914" i="1"/>
  <c r="AA914" i="1"/>
  <c r="Z914" i="1"/>
  <c r="Y914" i="1"/>
  <c r="X914" i="1"/>
  <c r="AD913" i="1"/>
  <c r="AC913" i="1"/>
  <c r="AB913" i="1"/>
  <c r="AA913" i="1"/>
  <c r="Z913" i="1"/>
  <c r="Y913" i="1"/>
  <c r="X913" i="1"/>
  <c r="AD912" i="1"/>
  <c r="AC912" i="1"/>
  <c r="AB912" i="1"/>
  <c r="AA912" i="1"/>
  <c r="Z912" i="1"/>
  <c r="Y912" i="1"/>
  <c r="X912" i="1"/>
  <c r="AD911" i="1"/>
  <c r="AC911" i="1"/>
  <c r="AB911" i="1"/>
  <c r="AA911" i="1"/>
  <c r="Z911" i="1"/>
  <c r="Y911" i="1"/>
  <c r="X911" i="1"/>
  <c r="AD910" i="1"/>
  <c r="AC910" i="1"/>
  <c r="AB910" i="1"/>
  <c r="AA910" i="1"/>
  <c r="Z910" i="1"/>
  <c r="Y910" i="1"/>
  <c r="X910" i="1"/>
  <c r="AD909" i="1"/>
  <c r="AC909" i="1"/>
  <c r="AB909" i="1"/>
  <c r="AA909" i="1"/>
  <c r="Z909" i="1"/>
  <c r="Y909" i="1"/>
  <c r="X909" i="1"/>
  <c r="AD908" i="1"/>
  <c r="AC908" i="1"/>
  <c r="AB908" i="1"/>
  <c r="AA908" i="1"/>
  <c r="Z908" i="1"/>
  <c r="Y908" i="1"/>
  <c r="X908" i="1"/>
  <c r="AD907" i="1"/>
  <c r="AC907" i="1"/>
  <c r="AB907" i="1"/>
  <c r="AA907" i="1"/>
  <c r="Z907" i="1"/>
  <c r="Y907" i="1"/>
  <c r="X907" i="1"/>
  <c r="AD906" i="1"/>
  <c r="AC906" i="1"/>
  <c r="AB906" i="1"/>
  <c r="AA906" i="1"/>
  <c r="Z906" i="1"/>
  <c r="Y906" i="1"/>
  <c r="X906" i="1"/>
  <c r="AD905" i="1"/>
  <c r="AC905" i="1"/>
  <c r="AB905" i="1"/>
  <c r="AA905" i="1"/>
  <c r="Z905" i="1"/>
  <c r="Y905" i="1"/>
  <c r="X905" i="1"/>
  <c r="AD904" i="1"/>
  <c r="AC904" i="1"/>
  <c r="AB904" i="1"/>
  <c r="AA904" i="1"/>
  <c r="Z904" i="1"/>
  <c r="Y904" i="1"/>
  <c r="X904" i="1"/>
  <c r="AD903" i="1"/>
  <c r="AC903" i="1"/>
  <c r="AB903" i="1"/>
  <c r="AA903" i="1"/>
  <c r="Z903" i="1"/>
  <c r="Y903" i="1"/>
  <c r="X903" i="1"/>
  <c r="AD902" i="1"/>
  <c r="AC902" i="1"/>
  <c r="AB902" i="1"/>
  <c r="AA902" i="1"/>
  <c r="Z902" i="1"/>
  <c r="Y902" i="1"/>
  <c r="X902" i="1"/>
  <c r="AD901" i="1"/>
  <c r="AC901" i="1"/>
  <c r="AB901" i="1"/>
  <c r="AA901" i="1"/>
  <c r="Z901" i="1"/>
  <c r="Y901" i="1"/>
  <c r="X901" i="1"/>
  <c r="AD900" i="1"/>
  <c r="AC900" i="1"/>
  <c r="AB900" i="1"/>
  <c r="AA900" i="1"/>
  <c r="Z900" i="1"/>
  <c r="Y900" i="1"/>
  <c r="X900" i="1"/>
  <c r="AD899" i="1"/>
  <c r="AC899" i="1"/>
  <c r="AB899" i="1"/>
  <c r="AA899" i="1"/>
  <c r="Z899" i="1"/>
  <c r="Y899" i="1"/>
  <c r="X899" i="1"/>
  <c r="AD898" i="1"/>
  <c r="AC898" i="1"/>
  <c r="AB898" i="1"/>
  <c r="AA898" i="1"/>
  <c r="Z898" i="1"/>
  <c r="Y898" i="1"/>
  <c r="X898" i="1"/>
  <c r="AD897" i="1"/>
  <c r="AC897" i="1"/>
  <c r="AB897" i="1"/>
  <c r="AA897" i="1"/>
  <c r="Z897" i="1"/>
  <c r="Y897" i="1"/>
  <c r="X897" i="1"/>
  <c r="AD896" i="1"/>
  <c r="AC896" i="1"/>
  <c r="AB896" i="1"/>
  <c r="AA896" i="1"/>
  <c r="Z896" i="1"/>
  <c r="Y896" i="1"/>
  <c r="X896" i="1"/>
  <c r="AD895" i="1"/>
  <c r="AC895" i="1"/>
  <c r="AB895" i="1"/>
  <c r="AA895" i="1"/>
  <c r="Z895" i="1"/>
  <c r="Y895" i="1"/>
  <c r="X895" i="1"/>
  <c r="AD894" i="1"/>
  <c r="AC894" i="1"/>
  <c r="AB894" i="1"/>
  <c r="AA894" i="1"/>
  <c r="Z894" i="1"/>
  <c r="Y894" i="1"/>
  <c r="X894" i="1"/>
  <c r="AD893" i="1"/>
  <c r="AC893" i="1"/>
  <c r="AB893" i="1"/>
  <c r="AA893" i="1"/>
  <c r="Z893" i="1"/>
  <c r="Y893" i="1"/>
  <c r="X893" i="1"/>
  <c r="AD892" i="1"/>
  <c r="AC892" i="1"/>
  <c r="AB892" i="1"/>
  <c r="AA892" i="1"/>
  <c r="Z892" i="1"/>
  <c r="Y892" i="1"/>
  <c r="X892" i="1"/>
  <c r="AD891" i="1"/>
  <c r="AC891" i="1"/>
  <c r="AB891" i="1"/>
  <c r="AA891" i="1"/>
  <c r="Z891" i="1"/>
  <c r="Y891" i="1"/>
  <c r="X891" i="1"/>
  <c r="AD890" i="1"/>
  <c r="AC890" i="1"/>
  <c r="AB890" i="1"/>
  <c r="AA890" i="1"/>
  <c r="Z890" i="1"/>
  <c r="Y890" i="1"/>
  <c r="X890" i="1"/>
  <c r="AD889" i="1"/>
  <c r="AC889" i="1"/>
  <c r="AB889" i="1"/>
  <c r="AA889" i="1"/>
  <c r="Z889" i="1"/>
  <c r="Y889" i="1"/>
  <c r="X889" i="1"/>
  <c r="AD888" i="1"/>
  <c r="AC888" i="1"/>
  <c r="AB888" i="1"/>
  <c r="AA888" i="1"/>
  <c r="AD887" i="1"/>
  <c r="AC887" i="1"/>
  <c r="AB887" i="1"/>
  <c r="AA887" i="1"/>
  <c r="AD886" i="1"/>
  <c r="AC886" i="1"/>
  <c r="AB886" i="1"/>
  <c r="AA886" i="1"/>
  <c r="AD885" i="1"/>
  <c r="AC885" i="1"/>
  <c r="AB885" i="1"/>
  <c r="AA885" i="1"/>
  <c r="AD884" i="1"/>
  <c r="AC884" i="1"/>
  <c r="AB884" i="1"/>
  <c r="AA884" i="1"/>
  <c r="AD883" i="1"/>
  <c r="AC883" i="1"/>
  <c r="AB883" i="1"/>
  <c r="AA883" i="1"/>
  <c r="AD882" i="1"/>
  <c r="AC882" i="1"/>
  <c r="AB882" i="1"/>
  <c r="AA882" i="1"/>
  <c r="AD881" i="1"/>
  <c r="AC881" i="1"/>
  <c r="AB881" i="1"/>
  <c r="AA881" i="1"/>
  <c r="AD880" i="1"/>
  <c r="AC880" i="1"/>
  <c r="AB880" i="1"/>
  <c r="AA880" i="1"/>
  <c r="AD879" i="1"/>
  <c r="AC879" i="1"/>
  <c r="AB879" i="1"/>
  <c r="AA879" i="1"/>
  <c r="AD878" i="1"/>
  <c r="AC878" i="1"/>
  <c r="AB878" i="1"/>
  <c r="AA878" i="1"/>
  <c r="AD877" i="1"/>
  <c r="AC877" i="1"/>
  <c r="AB877" i="1"/>
  <c r="AA877" i="1"/>
  <c r="AD876" i="1"/>
  <c r="AC876" i="1"/>
  <c r="AB876" i="1"/>
  <c r="AA876" i="1"/>
  <c r="AD875" i="1"/>
  <c r="AC875" i="1"/>
  <c r="AB875" i="1"/>
  <c r="AA875" i="1"/>
  <c r="AD874" i="1"/>
  <c r="AC874" i="1"/>
  <c r="AB874" i="1"/>
  <c r="AA874" i="1"/>
  <c r="AD873" i="1"/>
  <c r="AC873" i="1"/>
  <c r="AB873" i="1"/>
  <c r="AA873" i="1"/>
  <c r="AD872" i="1"/>
  <c r="AC872" i="1"/>
  <c r="AB872" i="1"/>
  <c r="AA872" i="1"/>
  <c r="AD871" i="1"/>
  <c r="AC871" i="1"/>
  <c r="AB871" i="1"/>
  <c r="AA871" i="1"/>
  <c r="AD870" i="1"/>
  <c r="AC870" i="1"/>
  <c r="AB870" i="1"/>
  <c r="AA870" i="1"/>
  <c r="AD869" i="1"/>
  <c r="AC869" i="1"/>
  <c r="AB869" i="1"/>
  <c r="AA869" i="1"/>
  <c r="AD868" i="1"/>
  <c r="AC868" i="1"/>
  <c r="AB868" i="1"/>
  <c r="AA868" i="1"/>
  <c r="AD867" i="1"/>
  <c r="AC867" i="1"/>
  <c r="AB867" i="1"/>
  <c r="AA867" i="1"/>
  <c r="AD866" i="1"/>
  <c r="AC866" i="1"/>
  <c r="AB866" i="1"/>
  <c r="AA866" i="1"/>
  <c r="AD865" i="1"/>
  <c r="AC865" i="1"/>
  <c r="AB865" i="1"/>
  <c r="AA865" i="1"/>
  <c r="AD864" i="1"/>
  <c r="AC864" i="1"/>
  <c r="AB864" i="1"/>
  <c r="AA864" i="1"/>
  <c r="AD863" i="1"/>
  <c r="AC863" i="1"/>
  <c r="AB863" i="1"/>
  <c r="AA863" i="1"/>
  <c r="AD862" i="1"/>
  <c r="AC862" i="1"/>
  <c r="AB862" i="1"/>
  <c r="AA862" i="1"/>
  <c r="AD861" i="1"/>
  <c r="AC861" i="1"/>
  <c r="AB861" i="1"/>
  <c r="AA861" i="1"/>
  <c r="AD860" i="1"/>
  <c r="AC860" i="1"/>
  <c r="AB860" i="1"/>
  <c r="AA860" i="1"/>
  <c r="AD859" i="1"/>
  <c r="AC859" i="1"/>
  <c r="AB859" i="1"/>
  <c r="AA859" i="1"/>
  <c r="AD858" i="1"/>
  <c r="AC858" i="1"/>
  <c r="AB858" i="1"/>
  <c r="AA858" i="1"/>
  <c r="AD857" i="1"/>
  <c r="AC857" i="1"/>
  <c r="AB857" i="1"/>
  <c r="AA857" i="1"/>
  <c r="AD856" i="1"/>
  <c r="AC856" i="1"/>
  <c r="AB856" i="1"/>
  <c r="AA856" i="1"/>
  <c r="AD855" i="1"/>
  <c r="AC855" i="1"/>
  <c r="AB855" i="1"/>
  <c r="AA855" i="1"/>
  <c r="AD854" i="1"/>
  <c r="AC854" i="1"/>
  <c r="AB854" i="1"/>
  <c r="AA854" i="1"/>
  <c r="AD853" i="1"/>
  <c r="AC853" i="1"/>
  <c r="AB853" i="1"/>
  <c r="AA853" i="1"/>
  <c r="AD852" i="1"/>
  <c r="AC852" i="1"/>
  <c r="AB852" i="1"/>
  <c r="AA852" i="1"/>
  <c r="AD851" i="1"/>
  <c r="AC851" i="1"/>
  <c r="AB851" i="1"/>
  <c r="AA851" i="1"/>
  <c r="AD850" i="1"/>
  <c r="AC850" i="1"/>
  <c r="AB850" i="1"/>
  <c r="AA850" i="1"/>
  <c r="AD849" i="1"/>
  <c r="AC849" i="1"/>
  <c r="AB849" i="1"/>
  <c r="AA849" i="1"/>
  <c r="AD848" i="1"/>
  <c r="AC848" i="1"/>
  <c r="AB848" i="1"/>
  <c r="AA848" i="1"/>
  <c r="AD847" i="1"/>
  <c r="AC847" i="1"/>
  <c r="AB847" i="1"/>
  <c r="AA847" i="1"/>
  <c r="AD846" i="1"/>
  <c r="AC846" i="1"/>
  <c r="AB846" i="1"/>
  <c r="AA846" i="1"/>
  <c r="AD845" i="1"/>
  <c r="AC845" i="1"/>
  <c r="AB845" i="1"/>
  <c r="AA845" i="1"/>
  <c r="AD844" i="1"/>
  <c r="AC844" i="1"/>
  <c r="AB844" i="1"/>
  <c r="AA844" i="1"/>
  <c r="AD843" i="1"/>
  <c r="AC843" i="1"/>
  <c r="AB843" i="1"/>
  <c r="AA843" i="1"/>
  <c r="AD842" i="1"/>
  <c r="AC842" i="1"/>
  <c r="AB842" i="1"/>
  <c r="AA842" i="1"/>
  <c r="AD841" i="1"/>
  <c r="AC841" i="1"/>
  <c r="AB841" i="1"/>
  <c r="AA841" i="1"/>
  <c r="AD840" i="1"/>
  <c r="AC840" i="1"/>
  <c r="AB840" i="1"/>
  <c r="AA840" i="1"/>
  <c r="AD839" i="1"/>
  <c r="AC839" i="1"/>
  <c r="AB839" i="1"/>
  <c r="AA839" i="1"/>
  <c r="AD838" i="1"/>
  <c r="AC838" i="1"/>
  <c r="AB838" i="1"/>
  <c r="AA838" i="1"/>
  <c r="AD837" i="1"/>
  <c r="AC837" i="1"/>
  <c r="AB837" i="1"/>
  <c r="AA837" i="1"/>
  <c r="AD836" i="1"/>
  <c r="AC836" i="1"/>
  <c r="AB836" i="1"/>
  <c r="AA836" i="1"/>
  <c r="AD835" i="1"/>
  <c r="AC835" i="1"/>
  <c r="AB835" i="1"/>
  <c r="AA835" i="1"/>
  <c r="AD834" i="1"/>
  <c r="AC834" i="1"/>
  <c r="AB834" i="1"/>
  <c r="AA834" i="1"/>
  <c r="AD833" i="1"/>
  <c r="AC833" i="1"/>
  <c r="AB833" i="1"/>
  <c r="AA833" i="1"/>
  <c r="AD832" i="1"/>
  <c r="AC832" i="1"/>
  <c r="AB832" i="1"/>
  <c r="AA832" i="1"/>
  <c r="AD831" i="1"/>
  <c r="AC831" i="1"/>
  <c r="AB831" i="1"/>
  <c r="AA831" i="1"/>
  <c r="AD830" i="1"/>
  <c r="AC830" i="1"/>
  <c r="AB830" i="1"/>
  <c r="AA830" i="1"/>
  <c r="AD829" i="1"/>
  <c r="AC829" i="1"/>
  <c r="AB829" i="1"/>
  <c r="AA829" i="1"/>
  <c r="AD828" i="1"/>
  <c r="AC828" i="1"/>
  <c r="AB828" i="1"/>
  <c r="AA828" i="1"/>
  <c r="AD827" i="1"/>
  <c r="AC827" i="1"/>
  <c r="AB827" i="1"/>
  <c r="AA827" i="1"/>
  <c r="AD826" i="1"/>
  <c r="AC826" i="1"/>
  <c r="AB826" i="1"/>
  <c r="AA826" i="1"/>
  <c r="AD825" i="1"/>
  <c r="AC825" i="1"/>
  <c r="AB825" i="1"/>
  <c r="AA825" i="1"/>
  <c r="AD824" i="1"/>
  <c r="AC824" i="1"/>
  <c r="AB824" i="1"/>
  <c r="AA824" i="1"/>
  <c r="AD823" i="1"/>
  <c r="AC823" i="1"/>
  <c r="AB823" i="1"/>
  <c r="AA823" i="1"/>
  <c r="AD822" i="1"/>
  <c r="AC822" i="1"/>
  <c r="AB822" i="1"/>
  <c r="AA822" i="1"/>
  <c r="AD821" i="1"/>
  <c r="AC821" i="1"/>
  <c r="AB821" i="1"/>
  <c r="AA821" i="1"/>
  <c r="AD820" i="1"/>
  <c r="AC820" i="1"/>
  <c r="AB820" i="1"/>
  <c r="AA820" i="1"/>
  <c r="AD819" i="1"/>
  <c r="AC819" i="1"/>
  <c r="AB819" i="1"/>
  <c r="AA819" i="1"/>
  <c r="AD818" i="1"/>
  <c r="AC818" i="1"/>
  <c r="AB818" i="1"/>
  <c r="AA818" i="1"/>
  <c r="AD817" i="1"/>
  <c r="AC817" i="1"/>
  <c r="AB817" i="1"/>
  <c r="AA817" i="1"/>
  <c r="AD816" i="1"/>
  <c r="AC816" i="1"/>
  <c r="AB816" i="1"/>
  <c r="AA816" i="1"/>
  <c r="AD815" i="1"/>
  <c r="AC815" i="1"/>
  <c r="AB815" i="1"/>
  <c r="AA815" i="1"/>
  <c r="AD814" i="1"/>
  <c r="AC814" i="1"/>
  <c r="AB814" i="1"/>
  <c r="AA814" i="1"/>
  <c r="AD813" i="1"/>
  <c r="AC813" i="1"/>
  <c r="AB813" i="1"/>
  <c r="AA813" i="1"/>
  <c r="AD812" i="1"/>
  <c r="AC812" i="1"/>
  <c r="AB812" i="1"/>
  <c r="AA812" i="1"/>
  <c r="AD811" i="1"/>
  <c r="AC811" i="1"/>
  <c r="AB811" i="1"/>
  <c r="AA811" i="1"/>
  <c r="AD810" i="1"/>
  <c r="AC810" i="1"/>
  <c r="AB810" i="1"/>
  <c r="AA810" i="1"/>
  <c r="AD809" i="1"/>
  <c r="AC809" i="1"/>
  <c r="AB809" i="1"/>
  <c r="AA809" i="1"/>
  <c r="AD808" i="1"/>
  <c r="AC808" i="1"/>
  <c r="AB808" i="1"/>
  <c r="AA808" i="1"/>
  <c r="AD807" i="1"/>
  <c r="AC807" i="1"/>
  <c r="AB807" i="1"/>
  <c r="AA807" i="1"/>
  <c r="AD806" i="1"/>
  <c r="AC806" i="1"/>
  <c r="AB806" i="1"/>
  <c r="AA806" i="1"/>
  <c r="AD805" i="1"/>
  <c r="AC805" i="1"/>
  <c r="AB805" i="1"/>
  <c r="AA805" i="1"/>
  <c r="AD804" i="1"/>
  <c r="AC804" i="1"/>
  <c r="AB804" i="1"/>
  <c r="AA804" i="1"/>
  <c r="AD803" i="1"/>
  <c r="AC803" i="1"/>
  <c r="AB803" i="1"/>
  <c r="AA803" i="1"/>
  <c r="AD802" i="1"/>
  <c r="AC802" i="1"/>
  <c r="AB802" i="1"/>
  <c r="AA802" i="1"/>
  <c r="AD801" i="1"/>
  <c r="AC801" i="1"/>
  <c r="AB801" i="1"/>
  <c r="AA801" i="1"/>
  <c r="AD800" i="1"/>
  <c r="AC800" i="1"/>
  <c r="AB800" i="1"/>
  <c r="AA800" i="1"/>
  <c r="AD799" i="1"/>
  <c r="AC799" i="1"/>
  <c r="AB799" i="1"/>
  <c r="AA799" i="1"/>
  <c r="AD798" i="1"/>
  <c r="AC798" i="1"/>
  <c r="AB798" i="1"/>
  <c r="AA798" i="1"/>
  <c r="AD797" i="1"/>
  <c r="AC797" i="1"/>
  <c r="AB797" i="1"/>
  <c r="AA797" i="1"/>
  <c r="AD796" i="1"/>
  <c r="AC796" i="1"/>
  <c r="AB796" i="1"/>
  <c r="AA796" i="1"/>
  <c r="AD795" i="1"/>
  <c r="AC795" i="1"/>
  <c r="AB795" i="1"/>
  <c r="AA795" i="1"/>
  <c r="AD794" i="1"/>
  <c r="AC794" i="1"/>
  <c r="AB794" i="1"/>
  <c r="AA794" i="1"/>
  <c r="AD793" i="1"/>
  <c r="AC793" i="1"/>
  <c r="AB793" i="1"/>
  <c r="AA793" i="1"/>
  <c r="AD792" i="1"/>
  <c r="AC792" i="1"/>
  <c r="AB792" i="1"/>
  <c r="AA792" i="1"/>
  <c r="AD791" i="1"/>
  <c r="AC791" i="1"/>
  <c r="AB791" i="1"/>
  <c r="AA791" i="1"/>
  <c r="AD790" i="1"/>
  <c r="AC790" i="1"/>
  <c r="AB790" i="1"/>
  <c r="AA790" i="1"/>
  <c r="AD789" i="1"/>
  <c r="AC789" i="1"/>
  <c r="AB789" i="1"/>
  <c r="AA789" i="1"/>
  <c r="AD788" i="1"/>
  <c r="AC788" i="1"/>
  <c r="AB788" i="1"/>
  <c r="AA788" i="1"/>
  <c r="AD787" i="1"/>
  <c r="AC787" i="1"/>
  <c r="AB787" i="1"/>
  <c r="AA787" i="1"/>
  <c r="AD786" i="1"/>
  <c r="AC786" i="1"/>
  <c r="AB786" i="1"/>
  <c r="AA786" i="1"/>
  <c r="AD785" i="1"/>
  <c r="AC785" i="1"/>
  <c r="AB785" i="1"/>
  <c r="AA785" i="1"/>
  <c r="AD784" i="1"/>
  <c r="AC784" i="1"/>
  <c r="AB784" i="1"/>
  <c r="AA784" i="1"/>
  <c r="AD783" i="1"/>
  <c r="AC783" i="1"/>
  <c r="AB783" i="1"/>
  <c r="AA783" i="1"/>
  <c r="AD782" i="1"/>
  <c r="AC782" i="1"/>
  <c r="AB782" i="1"/>
  <c r="AA782" i="1"/>
  <c r="AD781" i="1"/>
  <c r="AC781" i="1"/>
  <c r="AB781" i="1"/>
  <c r="AA781" i="1"/>
  <c r="AD780" i="1"/>
  <c r="AC780" i="1"/>
  <c r="AB780" i="1"/>
  <c r="AA780" i="1"/>
  <c r="AD779" i="1"/>
  <c r="AC779" i="1"/>
  <c r="AB779" i="1"/>
  <c r="AA779" i="1"/>
  <c r="AD778" i="1"/>
  <c r="AC778" i="1"/>
  <c r="AB778" i="1"/>
  <c r="AA778" i="1"/>
  <c r="AD777" i="1"/>
  <c r="AC777" i="1"/>
  <c r="AB777" i="1"/>
  <c r="AA777" i="1"/>
  <c r="AD776" i="1"/>
  <c r="AC776" i="1"/>
  <c r="AB776" i="1"/>
  <c r="AA776" i="1"/>
  <c r="AD775" i="1"/>
  <c r="AC775" i="1"/>
  <c r="AB775" i="1"/>
  <c r="AA775" i="1"/>
  <c r="AD774" i="1"/>
  <c r="AC774" i="1"/>
  <c r="AB774" i="1"/>
  <c r="AA774" i="1"/>
  <c r="AD773" i="1"/>
  <c r="AC773" i="1"/>
  <c r="AB773" i="1"/>
  <c r="AA773" i="1"/>
  <c r="AD772" i="1"/>
  <c r="AC772" i="1"/>
  <c r="AB772" i="1"/>
  <c r="AA772" i="1"/>
  <c r="AD771" i="1"/>
  <c r="AC771" i="1"/>
  <c r="AB771" i="1"/>
  <c r="AA771" i="1"/>
  <c r="AD770" i="1"/>
  <c r="AC770" i="1"/>
  <c r="AB770" i="1"/>
  <c r="AA770" i="1"/>
  <c r="AD769" i="1"/>
  <c r="AC769" i="1"/>
  <c r="AB769" i="1"/>
  <c r="AA769" i="1"/>
  <c r="AD768" i="1"/>
  <c r="AC768" i="1"/>
  <c r="AB768" i="1"/>
  <c r="AA768" i="1"/>
  <c r="AD767" i="1"/>
  <c r="AC767" i="1"/>
  <c r="AB767" i="1"/>
  <c r="AA767" i="1"/>
  <c r="AD766" i="1"/>
  <c r="AC766" i="1"/>
  <c r="AB766" i="1"/>
  <c r="AA766" i="1"/>
  <c r="AD765" i="1"/>
  <c r="AC765" i="1"/>
  <c r="AB765" i="1"/>
  <c r="AA765" i="1"/>
  <c r="AD764" i="1"/>
  <c r="AC764" i="1"/>
  <c r="AB764" i="1"/>
  <c r="AA764" i="1"/>
  <c r="AD763" i="1"/>
  <c r="AC763" i="1"/>
  <c r="AB763" i="1"/>
  <c r="AA763" i="1"/>
  <c r="AD762" i="1"/>
  <c r="AC762" i="1"/>
  <c r="AB762" i="1"/>
  <c r="AA762" i="1"/>
  <c r="AD761" i="1"/>
  <c r="AC761" i="1"/>
  <c r="AB761" i="1"/>
  <c r="AA761" i="1"/>
  <c r="AD760" i="1"/>
  <c r="AC760" i="1"/>
  <c r="AB760" i="1"/>
  <c r="AA760" i="1"/>
  <c r="AD754" i="1"/>
  <c r="AC754" i="1"/>
  <c r="AB754" i="1"/>
  <c r="AA754" i="1"/>
  <c r="AD753" i="1"/>
  <c r="AC753" i="1"/>
  <c r="AB753" i="1"/>
  <c r="AA753" i="1"/>
  <c r="AD752" i="1"/>
  <c r="AC752" i="1"/>
  <c r="AB752" i="1"/>
  <c r="AA752" i="1"/>
  <c r="AD751" i="1"/>
  <c r="AC751" i="1"/>
  <c r="AB751" i="1"/>
  <c r="AA751" i="1"/>
  <c r="AD750" i="1"/>
  <c r="AC750" i="1"/>
  <c r="AB750" i="1"/>
  <c r="AA750" i="1"/>
  <c r="AD749" i="1"/>
  <c r="AC749" i="1"/>
  <c r="AB749" i="1"/>
  <c r="AA749" i="1"/>
  <c r="AD748" i="1"/>
  <c r="AC748" i="1"/>
  <c r="AB748" i="1"/>
  <c r="AA748" i="1"/>
  <c r="AD747" i="1"/>
  <c r="AC747" i="1"/>
  <c r="AB747" i="1"/>
  <c r="AA747" i="1"/>
  <c r="AD746" i="1"/>
  <c r="AC746" i="1"/>
  <c r="AB746" i="1"/>
  <c r="AA746" i="1"/>
  <c r="AD745" i="1"/>
  <c r="AC745" i="1"/>
  <c r="AB745" i="1"/>
  <c r="AA745" i="1"/>
  <c r="AD744" i="1"/>
  <c r="AC744" i="1"/>
  <c r="AB744" i="1"/>
  <c r="AA744" i="1"/>
  <c r="AD743" i="1"/>
  <c r="AC743" i="1"/>
  <c r="AB743" i="1"/>
  <c r="AA743" i="1"/>
  <c r="AD742" i="1"/>
  <c r="AC742" i="1"/>
  <c r="AB742" i="1"/>
  <c r="AA742" i="1"/>
  <c r="AD741" i="1"/>
  <c r="AC741" i="1"/>
  <c r="AB741" i="1"/>
  <c r="AA741" i="1"/>
  <c r="AD740" i="1"/>
  <c r="AC740" i="1"/>
  <c r="AB740" i="1"/>
  <c r="AA740" i="1"/>
  <c r="AD739" i="1"/>
  <c r="AC739" i="1"/>
  <c r="AB739" i="1"/>
  <c r="AA739" i="1"/>
  <c r="AD738" i="1"/>
  <c r="AC738" i="1"/>
  <c r="AB738" i="1"/>
  <c r="AA738" i="1"/>
  <c r="AD737" i="1"/>
  <c r="AC737" i="1"/>
  <c r="AB737" i="1"/>
  <c r="AA737" i="1"/>
  <c r="AD736" i="1"/>
  <c r="AC736" i="1"/>
  <c r="AB736" i="1"/>
  <c r="AA736" i="1"/>
  <c r="AD735" i="1"/>
  <c r="AC735" i="1"/>
  <c r="AB735" i="1"/>
  <c r="AA735" i="1"/>
  <c r="AD734" i="1"/>
  <c r="AC734" i="1"/>
  <c r="AB734" i="1"/>
  <c r="AA734" i="1"/>
  <c r="AD733" i="1"/>
  <c r="AC733" i="1"/>
  <c r="AB733" i="1"/>
  <c r="AA733" i="1"/>
  <c r="AD732" i="1"/>
  <c r="AC732" i="1"/>
  <c r="AB732" i="1"/>
  <c r="AA732" i="1"/>
  <c r="AD731" i="1"/>
  <c r="AC731" i="1"/>
  <c r="AB731" i="1"/>
  <c r="AA731" i="1"/>
  <c r="AD730" i="1"/>
  <c r="AC730" i="1"/>
  <c r="AB730" i="1"/>
  <c r="AA730" i="1"/>
  <c r="AD729" i="1"/>
  <c r="AC729" i="1"/>
  <c r="AB729" i="1"/>
  <c r="AA729" i="1"/>
  <c r="AD728" i="1"/>
  <c r="AC728" i="1"/>
  <c r="AB728" i="1"/>
  <c r="AA728" i="1"/>
  <c r="AD727" i="1"/>
  <c r="AC727" i="1"/>
  <c r="AB727" i="1"/>
  <c r="AA727" i="1"/>
  <c r="AD726" i="1"/>
  <c r="AC726" i="1"/>
  <c r="AB726" i="1"/>
  <c r="AA726" i="1"/>
  <c r="AD725" i="1"/>
  <c r="AC725" i="1"/>
  <c r="AB725" i="1"/>
  <c r="AA725" i="1"/>
  <c r="AD724" i="1"/>
  <c r="AC724" i="1"/>
  <c r="AB724" i="1"/>
  <c r="AA724" i="1"/>
  <c r="AD723" i="1"/>
  <c r="AC723" i="1"/>
  <c r="AB723" i="1"/>
  <c r="AA723" i="1"/>
  <c r="AD722" i="1"/>
  <c r="AC722" i="1"/>
  <c r="AB722" i="1"/>
  <c r="AA722" i="1"/>
  <c r="AD721" i="1"/>
  <c r="AC721" i="1"/>
  <c r="AB721" i="1"/>
  <c r="AA721" i="1"/>
  <c r="AD720" i="1"/>
  <c r="AC720" i="1"/>
  <c r="AB720" i="1"/>
  <c r="AA720" i="1"/>
  <c r="AD719" i="1"/>
  <c r="AC719" i="1"/>
  <c r="AB719" i="1"/>
  <c r="AA719" i="1"/>
  <c r="AD718" i="1"/>
  <c r="AC718" i="1"/>
  <c r="AB718" i="1"/>
  <c r="AA718" i="1"/>
  <c r="AD717" i="1"/>
  <c r="AC717" i="1"/>
  <c r="AB717" i="1"/>
  <c r="AA717" i="1"/>
  <c r="AD716" i="1"/>
  <c r="AC716" i="1"/>
  <c r="AB716" i="1"/>
  <c r="AA716" i="1"/>
  <c r="AD715" i="1"/>
  <c r="AC715" i="1"/>
  <c r="AB715" i="1"/>
  <c r="AA715" i="1"/>
  <c r="AD714" i="1"/>
  <c r="AC714" i="1"/>
  <c r="AB714" i="1"/>
  <c r="AA714" i="1"/>
  <c r="AD713" i="1"/>
  <c r="AC713" i="1"/>
  <c r="AB713" i="1"/>
  <c r="AA713" i="1"/>
  <c r="AD712" i="1"/>
  <c r="AC712" i="1"/>
  <c r="AB712" i="1"/>
  <c r="AA712" i="1"/>
  <c r="AD711" i="1"/>
  <c r="AC711" i="1"/>
  <c r="AB711" i="1"/>
  <c r="AA711" i="1"/>
  <c r="AD710" i="1"/>
  <c r="AC710" i="1"/>
  <c r="AB710" i="1"/>
  <c r="AA710" i="1"/>
  <c r="AD709" i="1"/>
  <c r="AC709" i="1"/>
  <c r="AB709" i="1"/>
  <c r="AA709" i="1"/>
  <c r="AD708" i="1"/>
  <c r="AC708" i="1"/>
  <c r="AB708" i="1"/>
  <c r="AA708" i="1"/>
  <c r="AD707" i="1"/>
  <c r="AC707" i="1"/>
  <c r="AB707" i="1"/>
  <c r="AA707" i="1"/>
  <c r="AD706" i="1"/>
  <c r="AC706" i="1"/>
  <c r="AB706" i="1"/>
  <c r="AA706" i="1"/>
  <c r="AD705" i="1"/>
  <c r="AC705" i="1"/>
  <c r="AB705" i="1"/>
  <c r="AA705" i="1"/>
  <c r="AD704" i="1"/>
  <c r="AC704" i="1"/>
  <c r="AB704" i="1"/>
  <c r="AA704" i="1"/>
  <c r="AD703" i="1"/>
  <c r="AC703" i="1"/>
  <c r="AB703" i="1"/>
  <c r="AA703" i="1"/>
  <c r="AD702" i="1"/>
  <c r="AC702" i="1"/>
  <c r="AB702" i="1"/>
  <c r="AA702" i="1"/>
  <c r="AD701" i="1"/>
  <c r="AC701" i="1"/>
  <c r="AB701" i="1"/>
  <c r="AA701" i="1"/>
  <c r="AD700" i="1"/>
  <c r="AC700" i="1"/>
  <c r="AB700" i="1"/>
  <c r="AA700" i="1"/>
  <c r="AD699" i="1"/>
  <c r="AC699" i="1"/>
  <c r="AB699" i="1"/>
  <c r="AA699" i="1"/>
  <c r="AD698" i="1"/>
  <c r="AC698" i="1"/>
  <c r="AB698" i="1"/>
  <c r="AA698" i="1"/>
  <c r="AD697" i="1"/>
  <c r="AC697" i="1"/>
  <c r="AB697" i="1"/>
  <c r="AA697" i="1"/>
  <c r="AD696" i="1"/>
  <c r="AC696" i="1"/>
  <c r="AB696" i="1"/>
  <c r="AA696" i="1"/>
  <c r="AD695" i="1"/>
  <c r="AC695" i="1"/>
  <c r="AB695" i="1"/>
  <c r="AA695" i="1"/>
  <c r="AD694" i="1"/>
  <c r="AC694" i="1"/>
  <c r="AB694" i="1"/>
  <c r="AA694" i="1"/>
  <c r="AD693" i="1"/>
  <c r="AC693" i="1"/>
  <c r="AB693" i="1"/>
  <c r="AA693" i="1"/>
  <c r="AD692" i="1"/>
  <c r="AC692" i="1"/>
  <c r="AB692" i="1"/>
  <c r="AA692" i="1"/>
  <c r="AD691" i="1"/>
  <c r="AC691" i="1"/>
  <c r="AB691" i="1"/>
  <c r="AA691" i="1"/>
  <c r="AD690" i="1"/>
  <c r="AC690" i="1"/>
  <c r="AB690" i="1"/>
  <c r="AA690" i="1"/>
  <c r="AD689" i="1"/>
  <c r="AC689" i="1"/>
  <c r="AB689" i="1"/>
  <c r="AA689" i="1"/>
  <c r="AD688" i="1"/>
  <c r="AC688" i="1"/>
  <c r="AB688" i="1"/>
  <c r="AA688" i="1"/>
  <c r="AD687" i="1"/>
  <c r="AC687" i="1"/>
  <c r="AB687" i="1"/>
  <c r="AA687" i="1"/>
  <c r="AD686" i="1"/>
  <c r="AC686" i="1"/>
  <c r="AB686" i="1"/>
  <c r="AA686" i="1"/>
  <c r="AD685" i="1"/>
  <c r="AC685" i="1"/>
  <c r="AB685" i="1"/>
  <c r="AA685" i="1"/>
  <c r="AD684" i="1"/>
  <c r="AC684" i="1"/>
  <c r="AB684" i="1"/>
  <c r="AA684" i="1"/>
  <c r="AD683" i="1"/>
  <c r="AC683" i="1"/>
  <c r="AB683" i="1"/>
  <c r="AA683" i="1"/>
  <c r="AD682" i="1"/>
  <c r="AC682" i="1"/>
  <c r="AB682" i="1"/>
  <c r="AA682" i="1"/>
  <c r="AD681" i="1"/>
  <c r="AC681" i="1"/>
  <c r="AB681" i="1"/>
  <c r="AA681" i="1"/>
  <c r="AD680" i="1"/>
  <c r="AC680" i="1"/>
  <c r="AB680" i="1"/>
  <c r="AA680" i="1"/>
  <c r="AD679" i="1"/>
  <c r="AC679" i="1"/>
  <c r="AB679" i="1"/>
  <c r="AA679" i="1"/>
  <c r="AD678" i="1"/>
  <c r="AC678" i="1"/>
  <c r="AB678" i="1"/>
  <c r="AA678" i="1"/>
  <c r="AD677" i="1"/>
  <c r="AC677" i="1"/>
  <c r="AB677" i="1"/>
  <c r="AA677" i="1"/>
  <c r="AD676" i="1"/>
  <c r="AC676" i="1"/>
  <c r="AB676" i="1"/>
  <c r="AA676" i="1"/>
  <c r="AD675" i="1"/>
  <c r="AC675" i="1"/>
  <c r="AB675" i="1"/>
  <c r="AA675" i="1"/>
  <c r="AD674" i="1"/>
  <c r="AC674" i="1"/>
  <c r="AB674" i="1"/>
  <c r="AA674" i="1"/>
  <c r="AD673" i="1"/>
  <c r="AC673" i="1"/>
  <c r="AB673" i="1"/>
  <c r="AA673" i="1"/>
  <c r="AD672" i="1"/>
  <c r="AC672" i="1"/>
  <c r="AB672" i="1"/>
  <c r="AA672" i="1"/>
  <c r="AD671" i="1"/>
  <c r="AC671" i="1"/>
  <c r="AB671" i="1"/>
  <c r="AA671" i="1"/>
  <c r="AD670" i="1"/>
  <c r="AC670" i="1"/>
  <c r="AB670" i="1"/>
  <c r="AA670" i="1"/>
  <c r="AD669" i="1"/>
  <c r="AC669" i="1"/>
  <c r="AB669" i="1"/>
  <c r="AA669" i="1"/>
  <c r="AD668" i="1"/>
  <c r="AC668" i="1"/>
  <c r="AB668" i="1"/>
  <c r="AA668" i="1"/>
  <c r="AD667" i="1"/>
  <c r="AC667" i="1"/>
  <c r="AB667" i="1"/>
  <c r="AA667" i="1"/>
  <c r="AD666" i="1"/>
  <c r="AC666" i="1"/>
  <c r="AB666" i="1"/>
  <c r="AA666" i="1"/>
  <c r="AD665" i="1"/>
  <c r="AC665" i="1"/>
  <c r="AB665" i="1"/>
  <c r="AA665" i="1"/>
  <c r="AD664" i="1"/>
  <c r="AC664" i="1"/>
  <c r="AB664" i="1"/>
  <c r="AA664" i="1"/>
  <c r="AD663" i="1"/>
  <c r="AC663" i="1"/>
  <c r="AB663" i="1"/>
  <c r="AA663" i="1"/>
  <c r="AD662" i="1"/>
  <c r="AC662" i="1"/>
  <c r="AB662" i="1"/>
  <c r="AA662" i="1"/>
  <c r="AD661" i="1"/>
  <c r="AC661" i="1"/>
  <c r="AB661" i="1"/>
  <c r="AA661" i="1"/>
  <c r="AD660" i="1"/>
  <c r="AC660" i="1"/>
  <c r="AB660" i="1"/>
  <c r="AA660" i="1"/>
  <c r="AD659" i="1"/>
  <c r="AC659" i="1"/>
  <c r="AB659" i="1"/>
  <c r="AA659" i="1"/>
  <c r="AD658" i="1"/>
  <c r="AC658" i="1"/>
  <c r="AB658" i="1"/>
  <c r="AA658" i="1"/>
  <c r="AD657" i="1"/>
  <c r="AC657" i="1"/>
  <c r="AB657" i="1"/>
  <c r="AA657" i="1"/>
  <c r="AD656" i="1"/>
  <c r="AC656" i="1"/>
  <c r="AB656" i="1"/>
  <c r="AA656" i="1"/>
  <c r="AD655" i="1"/>
  <c r="AC655" i="1"/>
  <c r="AB655" i="1"/>
  <c r="AA655" i="1"/>
  <c r="AD654" i="1"/>
  <c r="AC654" i="1"/>
  <c r="AB654" i="1"/>
  <c r="AA654" i="1"/>
  <c r="AD653" i="1"/>
  <c r="AC653" i="1"/>
  <c r="AB653" i="1"/>
  <c r="AA653" i="1"/>
  <c r="AD652" i="1"/>
  <c r="AC652" i="1"/>
  <c r="AB652" i="1"/>
  <c r="AA652" i="1"/>
  <c r="AD651" i="1"/>
  <c r="AC651" i="1"/>
  <c r="AB651" i="1"/>
  <c r="AA651" i="1"/>
  <c r="AD650" i="1"/>
  <c r="AC650" i="1"/>
  <c r="AB650" i="1"/>
  <c r="AA650" i="1"/>
  <c r="AD649" i="1"/>
  <c r="AC649" i="1"/>
  <c r="AB649" i="1"/>
  <c r="AA649" i="1"/>
  <c r="AD648" i="1"/>
  <c r="AC648" i="1"/>
  <c r="AB648" i="1"/>
  <c r="AA648" i="1"/>
  <c r="AD647" i="1"/>
  <c r="AC647" i="1"/>
  <c r="AB647" i="1"/>
  <c r="AA647" i="1"/>
  <c r="AD646" i="1"/>
  <c r="AC646" i="1"/>
  <c r="AB646" i="1"/>
  <c r="AA646" i="1"/>
  <c r="AD645" i="1"/>
  <c r="AC645" i="1"/>
  <c r="AB645" i="1"/>
  <c r="AA645" i="1"/>
  <c r="AD644" i="1"/>
  <c r="AC644" i="1"/>
  <c r="AB644" i="1"/>
  <c r="AA644" i="1"/>
  <c r="AD643" i="1"/>
  <c r="AC643" i="1"/>
  <c r="AB643" i="1"/>
  <c r="AA643" i="1"/>
  <c r="AD642" i="1"/>
  <c r="AC642" i="1"/>
  <c r="AB642" i="1"/>
  <c r="AA642" i="1"/>
  <c r="AD641" i="1"/>
  <c r="AC641" i="1"/>
  <c r="AB641" i="1"/>
  <c r="AA641" i="1"/>
  <c r="AD640" i="1"/>
  <c r="AC640" i="1"/>
  <c r="AB640" i="1"/>
  <c r="AA640" i="1"/>
  <c r="AD639" i="1"/>
  <c r="AC639" i="1"/>
  <c r="AB639" i="1"/>
  <c r="AA639" i="1"/>
  <c r="AD638" i="1"/>
  <c r="AC638" i="1"/>
  <c r="AB638" i="1"/>
  <c r="AA638" i="1"/>
  <c r="AD637" i="1"/>
  <c r="AC637" i="1"/>
  <c r="AB637" i="1"/>
  <c r="AA637" i="1"/>
  <c r="AD636" i="1"/>
  <c r="AC636" i="1"/>
  <c r="AB636" i="1"/>
  <c r="AA636" i="1"/>
  <c r="AD635" i="1"/>
  <c r="AC635" i="1"/>
  <c r="AB635" i="1"/>
  <c r="AA635" i="1"/>
  <c r="AD634" i="1"/>
  <c r="AC634" i="1"/>
  <c r="AB634" i="1"/>
  <c r="AA634" i="1"/>
  <c r="AD633" i="1"/>
  <c r="AC633" i="1"/>
  <c r="AB633" i="1"/>
  <c r="AA633" i="1"/>
  <c r="AD632" i="1"/>
  <c r="AC632" i="1"/>
  <c r="AB632" i="1"/>
  <c r="AA632" i="1"/>
  <c r="AD631" i="1"/>
  <c r="AC631" i="1"/>
  <c r="AB631" i="1"/>
  <c r="AA631" i="1"/>
  <c r="AD630" i="1"/>
  <c r="AC630" i="1"/>
  <c r="AB630" i="1"/>
  <c r="AA630" i="1"/>
  <c r="AD629" i="1"/>
  <c r="AC629" i="1"/>
  <c r="AB629" i="1"/>
  <c r="AA629" i="1"/>
  <c r="AD628" i="1"/>
  <c r="AC628" i="1"/>
  <c r="AB628" i="1"/>
  <c r="AA628" i="1"/>
  <c r="AD627" i="1"/>
  <c r="AC627" i="1"/>
  <c r="AB627" i="1"/>
  <c r="AA627" i="1"/>
  <c r="AD626" i="1"/>
  <c r="AC626" i="1"/>
  <c r="AB626" i="1"/>
  <c r="AA626" i="1"/>
  <c r="AD625" i="1"/>
  <c r="AC625" i="1"/>
  <c r="AB625" i="1"/>
  <c r="AA625" i="1"/>
  <c r="AD624" i="1"/>
  <c r="AC624" i="1"/>
  <c r="AB624" i="1"/>
  <c r="AA624" i="1"/>
  <c r="AD623" i="1"/>
  <c r="AC623" i="1"/>
  <c r="AB623" i="1"/>
  <c r="AA623" i="1"/>
  <c r="AD622" i="1"/>
  <c r="AC622" i="1"/>
  <c r="AB622" i="1"/>
  <c r="AA622" i="1"/>
  <c r="AD621" i="1"/>
  <c r="AC621" i="1"/>
  <c r="AB621" i="1"/>
  <c r="AA621" i="1"/>
  <c r="AD620" i="1"/>
  <c r="AC620" i="1"/>
  <c r="AB620" i="1"/>
  <c r="AA620" i="1"/>
  <c r="AD619" i="1"/>
  <c r="AC619" i="1"/>
  <c r="AB619" i="1"/>
  <c r="AA619" i="1"/>
  <c r="AD618" i="1"/>
  <c r="AC618" i="1"/>
  <c r="AB618" i="1"/>
  <c r="AA618" i="1"/>
  <c r="AD617" i="1"/>
  <c r="AC617" i="1"/>
  <c r="AB617" i="1"/>
  <c r="AA617" i="1"/>
  <c r="AD616" i="1"/>
  <c r="AC616" i="1"/>
  <c r="AB616" i="1"/>
  <c r="AA616" i="1"/>
  <c r="AD615" i="1"/>
  <c r="AC615" i="1"/>
  <c r="AB615" i="1"/>
  <c r="AA615" i="1"/>
  <c r="AD614" i="1"/>
  <c r="AC614" i="1"/>
  <c r="AB614" i="1"/>
  <c r="AA614" i="1"/>
  <c r="AD613" i="1"/>
  <c r="AC613" i="1"/>
  <c r="AB613" i="1"/>
  <c r="AA613" i="1"/>
  <c r="AD612" i="1"/>
  <c r="AC612" i="1"/>
  <c r="AB612" i="1"/>
  <c r="AA612" i="1"/>
  <c r="AD611" i="1"/>
  <c r="AC611" i="1"/>
  <c r="AB611" i="1"/>
  <c r="AA611" i="1"/>
  <c r="AD610" i="1"/>
  <c r="AC610" i="1"/>
  <c r="AB610" i="1"/>
  <c r="AA610" i="1"/>
  <c r="AD609" i="1"/>
  <c r="AC609" i="1"/>
  <c r="AB609" i="1"/>
  <c r="AA609" i="1"/>
  <c r="AD608" i="1"/>
  <c r="AC608" i="1"/>
  <c r="AB608" i="1"/>
  <c r="AA608" i="1"/>
  <c r="AD607" i="1"/>
  <c r="AC607" i="1"/>
  <c r="AB607" i="1"/>
  <c r="AA607" i="1"/>
  <c r="AD606" i="1"/>
  <c r="AC606" i="1"/>
  <c r="AB606" i="1"/>
  <c r="AA606" i="1"/>
  <c r="AD605" i="1"/>
  <c r="AC605" i="1"/>
  <c r="AB605" i="1"/>
  <c r="AA605" i="1"/>
  <c r="AD604" i="1"/>
  <c r="AC604" i="1"/>
  <c r="AB604" i="1"/>
  <c r="AA604" i="1"/>
  <c r="AD603" i="1"/>
  <c r="AC603" i="1"/>
  <c r="AB603" i="1"/>
  <c r="AA603" i="1"/>
  <c r="AD602" i="1"/>
  <c r="AC602" i="1"/>
  <c r="AB602" i="1"/>
  <c r="AA602" i="1"/>
  <c r="AD601" i="1"/>
  <c r="AC601" i="1"/>
  <c r="AB601" i="1"/>
  <c r="AA601" i="1"/>
  <c r="AD600" i="1"/>
  <c r="AC600" i="1"/>
  <c r="AB600" i="1"/>
  <c r="AA600" i="1"/>
  <c r="AD599" i="1"/>
  <c r="AC599" i="1"/>
  <c r="AB599" i="1"/>
  <c r="AA599" i="1"/>
  <c r="AD598" i="1"/>
  <c r="AC598" i="1"/>
  <c r="AB598" i="1"/>
  <c r="AA598" i="1"/>
  <c r="AD597" i="1"/>
  <c r="AC597" i="1"/>
  <c r="AB597" i="1"/>
  <c r="AA597" i="1"/>
  <c r="AD596" i="1"/>
  <c r="AC596" i="1"/>
  <c r="AB596" i="1"/>
  <c r="AA596" i="1"/>
  <c r="AD595" i="1"/>
  <c r="AC595" i="1"/>
  <c r="AB595" i="1"/>
  <c r="AA595" i="1"/>
  <c r="AD594" i="1"/>
  <c r="AC594" i="1"/>
  <c r="AB594" i="1"/>
  <c r="AA594" i="1"/>
  <c r="AD593" i="1"/>
  <c r="AC593" i="1"/>
  <c r="AB593" i="1"/>
  <c r="AA593" i="1"/>
  <c r="AD592" i="1"/>
  <c r="AC592" i="1"/>
  <c r="AB592" i="1"/>
  <c r="AA592" i="1"/>
  <c r="AD591" i="1"/>
  <c r="AC591" i="1"/>
  <c r="AB591" i="1"/>
  <c r="AA591" i="1"/>
  <c r="AD590" i="1"/>
  <c r="AC590" i="1"/>
  <c r="AB590" i="1"/>
  <c r="AA590" i="1"/>
  <c r="AD589" i="1"/>
  <c r="AC589" i="1"/>
  <c r="AB589" i="1"/>
  <c r="AA589" i="1"/>
  <c r="AD588" i="1"/>
  <c r="AC588" i="1"/>
  <c r="AB588" i="1"/>
  <c r="AA588" i="1"/>
  <c r="AD587" i="1"/>
  <c r="AC587" i="1"/>
  <c r="AB587" i="1"/>
  <c r="AA587" i="1"/>
  <c r="AD586" i="1"/>
  <c r="AC586" i="1"/>
  <c r="AB586" i="1"/>
  <c r="AA586" i="1"/>
  <c r="AD585" i="1"/>
  <c r="AC585" i="1"/>
  <c r="AB585" i="1"/>
  <c r="AA585" i="1"/>
  <c r="AD584" i="1"/>
  <c r="AC584" i="1"/>
  <c r="AB584" i="1"/>
  <c r="AA584" i="1"/>
  <c r="AD583" i="1"/>
  <c r="AC583" i="1"/>
  <c r="AB583" i="1"/>
  <c r="AA583" i="1"/>
  <c r="AD582" i="1"/>
  <c r="AC582" i="1"/>
  <c r="AB582" i="1"/>
  <c r="AA582" i="1"/>
  <c r="AD581" i="1"/>
  <c r="AC581" i="1"/>
  <c r="AB581" i="1"/>
  <c r="AA581" i="1"/>
  <c r="AD580" i="1"/>
  <c r="AC580" i="1"/>
  <c r="AB580" i="1"/>
  <c r="AA580" i="1"/>
  <c r="AD579" i="1"/>
  <c r="AC579" i="1"/>
  <c r="AB579" i="1"/>
  <c r="AA579" i="1"/>
  <c r="AD578" i="1"/>
  <c r="AC578" i="1"/>
  <c r="AB578" i="1"/>
  <c r="AA578" i="1"/>
  <c r="AD577" i="1"/>
  <c r="AC577" i="1"/>
  <c r="AB577" i="1"/>
  <c r="AA577" i="1"/>
  <c r="AD576" i="1"/>
  <c r="AC576" i="1"/>
  <c r="AB576" i="1"/>
  <c r="AA576" i="1"/>
  <c r="AD575" i="1"/>
  <c r="AC575" i="1"/>
  <c r="AB575" i="1"/>
  <c r="AA575" i="1"/>
  <c r="AD574" i="1"/>
  <c r="AC574" i="1"/>
  <c r="AB574" i="1"/>
  <c r="AA574" i="1"/>
  <c r="AD573" i="1"/>
  <c r="AC573" i="1"/>
  <c r="AB573" i="1"/>
  <c r="AA573" i="1"/>
  <c r="AD572" i="1"/>
  <c r="AC572" i="1"/>
  <c r="AB572" i="1"/>
  <c r="AA572" i="1"/>
  <c r="AD571" i="1"/>
  <c r="AC571" i="1"/>
  <c r="AB571" i="1"/>
  <c r="AA571" i="1"/>
  <c r="AD570" i="1"/>
  <c r="AC570" i="1"/>
  <c r="AB570" i="1"/>
  <c r="AA570" i="1"/>
  <c r="AD569" i="1"/>
  <c r="AC569" i="1"/>
  <c r="AB569" i="1"/>
  <c r="AA569" i="1"/>
  <c r="AD568" i="1"/>
  <c r="AC568" i="1"/>
  <c r="AB568" i="1"/>
  <c r="AA568" i="1"/>
  <c r="AD567" i="1"/>
  <c r="AC567" i="1"/>
  <c r="AB567" i="1"/>
  <c r="AA567" i="1"/>
  <c r="AD566" i="1"/>
  <c r="AC566" i="1"/>
  <c r="AB566" i="1"/>
  <c r="AA566" i="1"/>
  <c r="AD565" i="1"/>
  <c r="AC565" i="1"/>
  <c r="AB565" i="1"/>
  <c r="AA565" i="1"/>
  <c r="AD564" i="1"/>
  <c r="AC564" i="1"/>
  <c r="AB564" i="1"/>
  <c r="AA564" i="1"/>
  <c r="AD563" i="1"/>
  <c r="AC563" i="1"/>
  <c r="AB563" i="1"/>
  <c r="AA563" i="1"/>
  <c r="AD562" i="1"/>
  <c r="AC562" i="1"/>
  <c r="AB562" i="1"/>
  <c r="AA562" i="1"/>
  <c r="AD561" i="1"/>
  <c r="AC561" i="1"/>
  <c r="AB561" i="1"/>
  <c r="AA561" i="1"/>
  <c r="AD560" i="1"/>
  <c r="AC560" i="1"/>
  <c r="AB560" i="1"/>
  <c r="AA560" i="1"/>
  <c r="AD559" i="1"/>
  <c r="AC559" i="1"/>
  <c r="AB559" i="1"/>
  <c r="AA559" i="1"/>
  <c r="AD558" i="1"/>
  <c r="AC558" i="1"/>
  <c r="AB558" i="1"/>
  <c r="AA558" i="1"/>
  <c r="AD557" i="1"/>
  <c r="AC557" i="1"/>
  <c r="AB557" i="1"/>
  <c r="AA557" i="1"/>
  <c r="AD556" i="1"/>
  <c r="AC556" i="1"/>
  <c r="AB556" i="1"/>
  <c r="AA556" i="1"/>
  <c r="AD555" i="1"/>
  <c r="AC555" i="1"/>
  <c r="AB555" i="1"/>
  <c r="AA555" i="1"/>
  <c r="AD554" i="1"/>
  <c r="AC554" i="1"/>
  <c r="AB554" i="1"/>
  <c r="AA554" i="1"/>
  <c r="AD553" i="1"/>
  <c r="AC553" i="1"/>
  <c r="AB553" i="1"/>
  <c r="AA553" i="1"/>
  <c r="AD552" i="1"/>
  <c r="AC552" i="1"/>
  <c r="AB552" i="1"/>
  <c r="AA552" i="1"/>
  <c r="AD551" i="1"/>
  <c r="AC551" i="1"/>
  <c r="AB551" i="1"/>
  <c r="AA551" i="1"/>
  <c r="AD550" i="1"/>
  <c r="AC550" i="1"/>
  <c r="AB550" i="1"/>
  <c r="AA550" i="1"/>
  <c r="AD549" i="1"/>
  <c r="AC549" i="1"/>
  <c r="AB549" i="1"/>
  <c r="AA549" i="1"/>
  <c r="AD548" i="1"/>
  <c r="AC548" i="1"/>
  <c r="AB548" i="1"/>
  <c r="AA548" i="1"/>
  <c r="AD547" i="1"/>
  <c r="AC547" i="1"/>
  <c r="AB547" i="1"/>
  <c r="AA547" i="1"/>
  <c r="AD546" i="1"/>
  <c r="AC546" i="1"/>
  <c r="AB546" i="1"/>
  <c r="AA546" i="1"/>
  <c r="AD545" i="1"/>
  <c r="AC545" i="1"/>
  <c r="AB545" i="1"/>
  <c r="AA545" i="1"/>
  <c r="AD544" i="1"/>
  <c r="AC544" i="1"/>
  <c r="AB544" i="1"/>
  <c r="AA544" i="1"/>
  <c r="AD543" i="1"/>
  <c r="AC543" i="1"/>
  <c r="AB543" i="1"/>
  <c r="AA543" i="1"/>
  <c r="AD542" i="1"/>
  <c r="AC542" i="1"/>
  <c r="AB542" i="1"/>
  <c r="AA542" i="1"/>
  <c r="AD541" i="1"/>
  <c r="AC541" i="1"/>
  <c r="AB541" i="1"/>
  <c r="AA541" i="1"/>
  <c r="AD540" i="1"/>
  <c r="AC540" i="1"/>
  <c r="AB540" i="1"/>
  <c r="AA540" i="1"/>
  <c r="AD539" i="1"/>
  <c r="AC539" i="1"/>
  <c r="AB539" i="1"/>
  <c r="AA539" i="1"/>
  <c r="AD538" i="1"/>
  <c r="AC538" i="1"/>
  <c r="AB538" i="1"/>
  <c r="AA538" i="1"/>
  <c r="AD537" i="1"/>
  <c r="AC537" i="1"/>
  <c r="AB537" i="1"/>
  <c r="AA537" i="1"/>
  <c r="AD536" i="1"/>
  <c r="AC536" i="1"/>
  <c r="AB536" i="1"/>
  <c r="AA536" i="1"/>
  <c r="AD535" i="1"/>
  <c r="AC535" i="1"/>
  <c r="AB535" i="1"/>
  <c r="AA535" i="1"/>
  <c r="AD534" i="1"/>
  <c r="AC534" i="1"/>
  <c r="AB534" i="1"/>
  <c r="AA534" i="1"/>
  <c r="AD533" i="1"/>
  <c r="AC533" i="1"/>
  <c r="AB533" i="1"/>
  <c r="AA533" i="1"/>
  <c r="AD532" i="1"/>
  <c r="AC532" i="1"/>
  <c r="AB532" i="1"/>
  <c r="AA532" i="1"/>
  <c r="AD531" i="1"/>
  <c r="AC531" i="1"/>
  <c r="AB531" i="1"/>
  <c r="AA531" i="1"/>
  <c r="AD530" i="1"/>
  <c r="AC530" i="1"/>
  <c r="AB530" i="1"/>
  <c r="AA530" i="1"/>
  <c r="AD529" i="1"/>
  <c r="AC529" i="1"/>
  <c r="AB529" i="1"/>
  <c r="AA529" i="1"/>
  <c r="AD528" i="1"/>
  <c r="AC528" i="1"/>
  <c r="AB528" i="1"/>
  <c r="AA528" i="1"/>
  <c r="AD527" i="1"/>
  <c r="AC527" i="1"/>
  <c r="AB527" i="1"/>
  <c r="AA527" i="1"/>
  <c r="AD526" i="1"/>
  <c r="AC526" i="1"/>
  <c r="AB526" i="1"/>
  <c r="AA526" i="1"/>
  <c r="AD525" i="1"/>
  <c r="AC525" i="1"/>
  <c r="AB525" i="1"/>
  <c r="AA525" i="1"/>
  <c r="AD524" i="1"/>
  <c r="AC524" i="1"/>
  <c r="AB524" i="1"/>
  <c r="AA524" i="1"/>
  <c r="AD523" i="1"/>
  <c r="AC523" i="1"/>
  <c r="AB523" i="1"/>
  <c r="AA523" i="1"/>
  <c r="AD522" i="1"/>
  <c r="AC522" i="1"/>
  <c r="AB522" i="1"/>
  <c r="AA522" i="1"/>
  <c r="AD521" i="1"/>
  <c r="AC521" i="1"/>
  <c r="AB521" i="1"/>
  <c r="AA521" i="1"/>
  <c r="AD520" i="1"/>
  <c r="AC520" i="1"/>
  <c r="AB520" i="1"/>
  <c r="AA520" i="1"/>
  <c r="AD519" i="1"/>
  <c r="AC519" i="1"/>
  <c r="AB519" i="1"/>
  <c r="AA519" i="1"/>
  <c r="AD518" i="1"/>
  <c r="AC518" i="1"/>
  <c r="AB518" i="1"/>
  <c r="AA518" i="1"/>
  <c r="AD517" i="1"/>
  <c r="AC517" i="1"/>
  <c r="AB517" i="1"/>
  <c r="AA517" i="1"/>
  <c r="AD516" i="1"/>
  <c r="AC516" i="1"/>
  <c r="AB516" i="1"/>
  <c r="AA516" i="1"/>
  <c r="AD515" i="1"/>
  <c r="AC515" i="1"/>
  <c r="AB515" i="1"/>
  <c r="AA515" i="1"/>
  <c r="AD514" i="1"/>
  <c r="AC514" i="1"/>
  <c r="AB514" i="1"/>
  <c r="AA514" i="1"/>
  <c r="AD513" i="1"/>
  <c r="AC513" i="1"/>
  <c r="AB513" i="1"/>
  <c r="AA513" i="1"/>
  <c r="AD512" i="1"/>
  <c r="AC512" i="1"/>
  <c r="AB512" i="1"/>
  <c r="AA512" i="1"/>
  <c r="AD511" i="1"/>
  <c r="AC511" i="1"/>
  <c r="AB511" i="1"/>
  <c r="AA511" i="1"/>
  <c r="AD510" i="1"/>
  <c r="AC510" i="1"/>
  <c r="AB510" i="1"/>
  <c r="AA510" i="1"/>
  <c r="AD509" i="1"/>
  <c r="AC509" i="1"/>
  <c r="AB509" i="1"/>
  <c r="AA509" i="1"/>
  <c r="AD508" i="1"/>
  <c r="AC508" i="1"/>
  <c r="AB508" i="1"/>
  <c r="AA508" i="1"/>
  <c r="AD507" i="1"/>
  <c r="AC507" i="1"/>
  <c r="AB507" i="1"/>
  <c r="AA507" i="1"/>
  <c r="AD506" i="1"/>
  <c r="AC506" i="1"/>
  <c r="AB506" i="1"/>
  <c r="AA506" i="1"/>
  <c r="AD505" i="1"/>
  <c r="AC505" i="1"/>
  <c r="AB505" i="1"/>
  <c r="AA505" i="1"/>
  <c r="AD504" i="1"/>
  <c r="AC504" i="1"/>
  <c r="AB504" i="1"/>
  <c r="AA504" i="1"/>
  <c r="AD503" i="1"/>
  <c r="AC503" i="1"/>
  <c r="AB503" i="1"/>
  <c r="AA503" i="1"/>
  <c r="AD502" i="1"/>
  <c r="AC502" i="1"/>
  <c r="AB502" i="1"/>
  <c r="AA502" i="1"/>
  <c r="AD501" i="1"/>
  <c r="AC501" i="1"/>
  <c r="AB501" i="1"/>
  <c r="AA501" i="1"/>
  <c r="AD500" i="1"/>
  <c r="AC500" i="1"/>
  <c r="AB500" i="1"/>
  <c r="AA500" i="1"/>
  <c r="AD499" i="1"/>
  <c r="AC499" i="1"/>
  <c r="AB499" i="1"/>
  <c r="AA499" i="1"/>
  <c r="AD498" i="1"/>
  <c r="AC498" i="1"/>
  <c r="AB498" i="1"/>
  <c r="AA498" i="1"/>
  <c r="AD497" i="1"/>
  <c r="AC497" i="1"/>
  <c r="AB497" i="1"/>
  <c r="AA497" i="1"/>
  <c r="AD496" i="1"/>
  <c r="AC496" i="1"/>
  <c r="AB496" i="1"/>
  <c r="AA496" i="1"/>
  <c r="AD495" i="1"/>
  <c r="AC495" i="1"/>
  <c r="AB495" i="1"/>
  <c r="AA495" i="1"/>
  <c r="AD494" i="1"/>
  <c r="AC494" i="1"/>
  <c r="AB494" i="1"/>
  <c r="AA494" i="1"/>
  <c r="AD493" i="1"/>
  <c r="AC493" i="1"/>
  <c r="AB493" i="1"/>
  <c r="AA493" i="1"/>
  <c r="AD492" i="1"/>
  <c r="AC492" i="1"/>
  <c r="AB492" i="1"/>
  <c r="AA492" i="1"/>
  <c r="AD491" i="1"/>
  <c r="AC491" i="1"/>
  <c r="AB491" i="1"/>
  <c r="AA491" i="1"/>
  <c r="AD490" i="1"/>
  <c r="AC490" i="1"/>
  <c r="AB490" i="1"/>
  <c r="AA490" i="1"/>
  <c r="AD489" i="1"/>
  <c r="AC489" i="1"/>
  <c r="AB489" i="1"/>
  <c r="AA489" i="1"/>
  <c r="AD488" i="1"/>
  <c r="AC488" i="1"/>
  <c r="AB488" i="1"/>
  <c r="AA488" i="1"/>
  <c r="AD487" i="1"/>
  <c r="AC487" i="1"/>
  <c r="AB487" i="1"/>
  <c r="AA487" i="1"/>
  <c r="AD486" i="1"/>
  <c r="AC486" i="1"/>
  <c r="AB486" i="1"/>
  <c r="AA486" i="1"/>
  <c r="AD485" i="1"/>
  <c r="AC485" i="1"/>
  <c r="AB485" i="1"/>
  <c r="AA485" i="1"/>
  <c r="AD484" i="1"/>
  <c r="AC484" i="1"/>
  <c r="AB484" i="1"/>
  <c r="AA484" i="1"/>
  <c r="AD483" i="1"/>
  <c r="AC483" i="1"/>
  <c r="AB483" i="1"/>
  <c r="AA483" i="1"/>
  <c r="AD482" i="1"/>
  <c r="AC482" i="1"/>
  <c r="AB482" i="1"/>
  <c r="AA482" i="1"/>
  <c r="AD481" i="1"/>
  <c r="AC481" i="1"/>
  <c r="AB481" i="1"/>
  <c r="AA481" i="1"/>
  <c r="AD480" i="1"/>
  <c r="AC480" i="1"/>
  <c r="AB480" i="1"/>
  <c r="AA480" i="1"/>
  <c r="AD479" i="1"/>
  <c r="AC479" i="1"/>
  <c r="AB479" i="1"/>
  <c r="AA479" i="1"/>
  <c r="AD478" i="1"/>
  <c r="AC478" i="1"/>
  <c r="AB478" i="1"/>
  <c r="AA478" i="1"/>
  <c r="AD477" i="1"/>
  <c r="AC477" i="1"/>
  <c r="AB477" i="1"/>
  <c r="AA477" i="1"/>
  <c r="AD476" i="1"/>
  <c r="AC476" i="1"/>
  <c r="AB476" i="1"/>
  <c r="AA476" i="1"/>
  <c r="AD475" i="1"/>
  <c r="AC475" i="1"/>
  <c r="AB475" i="1"/>
  <c r="AA475" i="1"/>
  <c r="AD474" i="1"/>
  <c r="AC474" i="1"/>
  <c r="AB474" i="1"/>
  <c r="AA474" i="1"/>
  <c r="AD473" i="1"/>
  <c r="AC473" i="1"/>
  <c r="AB473" i="1"/>
  <c r="AA473" i="1"/>
  <c r="AD472" i="1"/>
  <c r="AC472" i="1"/>
  <c r="AB472" i="1"/>
  <c r="AA472" i="1"/>
  <c r="AD471" i="1"/>
  <c r="AC471" i="1"/>
  <c r="AB471" i="1"/>
  <c r="AA471" i="1"/>
  <c r="AD470" i="1"/>
  <c r="AC470" i="1"/>
  <c r="AB470" i="1"/>
  <c r="AA470" i="1"/>
  <c r="AD469" i="1"/>
  <c r="AC469" i="1"/>
  <c r="AB469" i="1"/>
  <c r="AA469" i="1"/>
  <c r="AD468" i="1"/>
  <c r="AC468" i="1"/>
  <c r="AB468" i="1"/>
  <c r="AA468" i="1"/>
  <c r="AD467" i="1"/>
  <c r="AC467" i="1"/>
  <c r="AB467" i="1"/>
  <c r="AA467" i="1"/>
  <c r="AD466" i="1"/>
  <c r="AC466" i="1"/>
  <c r="AB466" i="1"/>
  <c r="AA466" i="1"/>
  <c r="AD465" i="1"/>
  <c r="AC465" i="1"/>
  <c r="AB465" i="1"/>
  <c r="AA465" i="1"/>
  <c r="AD464" i="1"/>
  <c r="AC464" i="1"/>
  <c r="AB464" i="1"/>
  <c r="AA464" i="1"/>
  <c r="AD463" i="1"/>
  <c r="AC463" i="1"/>
  <c r="AB463" i="1"/>
  <c r="AA463" i="1"/>
  <c r="AD462" i="1"/>
  <c r="AC462" i="1"/>
  <c r="AB462" i="1"/>
  <c r="AA462" i="1"/>
  <c r="AD461" i="1"/>
  <c r="AC461" i="1"/>
  <c r="AB461" i="1"/>
  <c r="AA461" i="1"/>
  <c r="AD460" i="1"/>
  <c r="AC460" i="1"/>
  <c r="AB460" i="1"/>
  <c r="AA460" i="1"/>
  <c r="AD459" i="1"/>
  <c r="AC459" i="1"/>
  <c r="AB459" i="1"/>
  <c r="AA459" i="1"/>
  <c r="AD458" i="1"/>
  <c r="AC458" i="1"/>
  <c r="AB458" i="1"/>
  <c r="AA458" i="1"/>
  <c r="AD457" i="1"/>
  <c r="AC457" i="1"/>
  <c r="AB457" i="1"/>
  <c r="AA457" i="1"/>
  <c r="AD456" i="1"/>
  <c r="AC456" i="1"/>
  <c r="AB456" i="1"/>
  <c r="AA456" i="1"/>
  <c r="AD455" i="1"/>
  <c r="AC455" i="1"/>
  <c r="AB455" i="1"/>
  <c r="AA455" i="1"/>
  <c r="AD454" i="1"/>
  <c r="AC454" i="1"/>
  <c r="AB454" i="1"/>
  <c r="AA454" i="1"/>
  <c r="AD453" i="1"/>
  <c r="AC453" i="1"/>
  <c r="AB453" i="1"/>
  <c r="AA453" i="1"/>
  <c r="AD452" i="1"/>
  <c r="AC452" i="1"/>
  <c r="AB452" i="1"/>
  <c r="AA452" i="1"/>
  <c r="AD451" i="1"/>
  <c r="AC451" i="1"/>
  <c r="AB451" i="1"/>
  <c r="AA451" i="1"/>
  <c r="AD450" i="1"/>
  <c r="AC450" i="1"/>
  <c r="AB450" i="1"/>
  <c r="AA450" i="1"/>
  <c r="AD449" i="1"/>
  <c r="AC449" i="1"/>
  <c r="AB449" i="1"/>
  <c r="AA449" i="1"/>
  <c r="AD448" i="1"/>
  <c r="AC448" i="1"/>
  <c r="AB448" i="1"/>
  <c r="AA448" i="1"/>
  <c r="AD447" i="1"/>
  <c r="AC447" i="1"/>
  <c r="AB447" i="1"/>
  <c r="AA447" i="1"/>
  <c r="AD446" i="1"/>
  <c r="AC446" i="1"/>
  <c r="AB446" i="1"/>
  <c r="AA446" i="1"/>
  <c r="AD445" i="1"/>
  <c r="AC445" i="1"/>
  <c r="AB445" i="1"/>
  <c r="AA445" i="1"/>
  <c r="AD444" i="1"/>
  <c r="AC444" i="1"/>
  <c r="AB444" i="1"/>
  <c r="AA444" i="1"/>
  <c r="AD443" i="1"/>
  <c r="AC443" i="1"/>
  <c r="AB443" i="1"/>
  <c r="AA443" i="1"/>
  <c r="AD442" i="1"/>
  <c r="AC442" i="1"/>
  <c r="AB442" i="1"/>
  <c r="AA442" i="1"/>
  <c r="AD441" i="1"/>
  <c r="AC441" i="1"/>
  <c r="AB441" i="1"/>
  <c r="AA441" i="1"/>
  <c r="AD440" i="1"/>
  <c r="AC440" i="1"/>
  <c r="AB440" i="1"/>
  <c r="AA440" i="1"/>
  <c r="AD439" i="1"/>
  <c r="AC439" i="1"/>
  <c r="AB439" i="1"/>
  <c r="AA439" i="1"/>
  <c r="AD438" i="1"/>
  <c r="AC438" i="1"/>
  <c r="AB438" i="1"/>
  <c r="AA438" i="1"/>
  <c r="AD437" i="1"/>
  <c r="AC437" i="1"/>
  <c r="AB437" i="1"/>
  <c r="AA437" i="1"/>
  <c r="AD436" i="1"/>
  <c r="AC436" i="1"/>
  <c r="AB436" i="1"/>
  <c r="AA436" i="1"/>
  <c r="AD435" i="1"/>
  <c r="AC435" i="1"/>
  <c r="AB435" i="1"/>
  <c r="AA435" i="1"/>
  <c r="AD434" i="1"/>
  <c r="AC434" i="1"/>
  <c r="AB434" i="1"/>
  <c r="AA434" i="1"/>
  <c r="AD433" i="1"/>
  <c r="AC433" i="1"/>
  <c r="AB433" i="1"/>
  <c r="AA433" i="1"/>
  <c r="AD432" i="1"/>
  <c r="AC432" i="1"/>
  <c r="AB432" i="1"/>
  <c r="AA432" i="1"/>
  <c r="AD431" i="1"/>
  <c r="AC431" i="1"/>
  <c r="AB431" i="1"/>
  <c r="AA431" i="1"/>
  <c r="AD430" i="1"/>
  <c r="AC430" i="1"/>
  <c r="AB430" i="1"/>
  <c r="AA430" i="1"/>
  <c r="AD429" i="1"/>
  <c r="AC429" i="1"/>
  <c r="AB429" i="1"/>
  <c r="AA429" i="1"/>
  <c r="AD428" i="1"/>
  <c r="AC428" i="1"/>
  <c r="AB428" i="1"/>
  <c r="AA428" i="1"/>
  <c r="AD427" i="1"/>
  <c r="AC427" i="1"/>
  <c r="AB427" i="1"/>
  <c r="AA427" i="1"/>
  <c r="AD426" i="1"/>
  <c r="AC426" i="1"/>
  <c r="AB426" i="1"/>
  <c r="AA426" i="1"/>
  <c r="AD425" i="1"/>
  <c r="AC425" i="1"/>
  <c r="AB425" i="1"/>
  <c r="AA425" i="1"/>
  <c r="AD424" i="1"/>
  <c r="AC424" i="1"/>
  <c r="AB424" i="1"/>
  <c r="AA424" i="1"/>
  <c r="AD423" i="1"/>
  <c r="AC423" i="1"/>
  <c r="AB423" i="1"/>
  <c r="AA423" i="1"/>
  <c r="AD422" i="1"/>
  <c r="AC422" i="1"/>
  <c r="AB422" i="1"/>
  <c r="AA422" i="1"/>
  <c r="AD421" i="1"/>
  <c r="AC421" i="1"/>
  <c r="AB421" i="1"/>
  <c r="AA421" i="1"/>
  <c r="AD420" i="1"/>
  <c r="AC420" i="1"/>
  <c r="AB420" i="1"/>
  <c r="AA420" i="1"/>
  <c r="AD419" i="1"/>
  <c r="AC419" i="1"/>
  <c r="AB419" i="1"/>
  <c r="AA419" i="1"/>
  <c r="AD418" i="1"/>
  <c r="AC418" i="1"/>
  <c r="AB418" i="1"/>
  <c r="AA418" i="1"/>
  <c r="AD417" i="1"/>
  <c r="AC417" i="1"/>
  <c r="AB417" i="1"/>
  <c r="AA417" i="1"/>
  <c r="AD416" i="1"/>
  <c r="AC416" i="1"/>
  <c r="AB416" i="1"/>
  <c r="AA416" i="1"/>
  <c r="AD415" i="1"/>
  <c r="AC415" i="1"/>
  <c r="AB415" i="1"/>
  <c r="AA415" i="1"/>
  <c r="AD414" i="1"/>
  <c r="AC414" i="1"/>
  <c r="AB414" i="1"/>
  <c r="AA414" i="1"/>
  <c r="AD413" i="1"/>
  <c r="AC413" i="1"/>
  <c r="AB413" i="1"/>
  <c r="AA413" i="1"/>
  <c r="AD412" i="1"/>
  <c r="AC412" i="1"/>
  <c r="AB412" i="1"/>
  <c r="AA412" i="1"/>
  <c r="AD411" i="1"/>
  <c r="AC411" i="1"/>
  <c r="AB411" i="1"/>
  <c r="AA411" i="1"/>
  <c r="AD410" i="1"/>
  <c r="AC410" i="1"/>
  <c r="AB410" i="1"/>
  <c r="AA410" i="1"/>
  <c r="AD409" i="1"/>
  <c r="AC409" i="1"/>
  <c r="AB409" i="1"/>
  <c r="AA409" i="1"/>
  <c r="AD408" i="1"/>
  <c r="AC408" i="1"/>
  <c r="AB408" i="1"/>
  <c r="AA408" i="1"/>
  <c r="AD407" i="1"/>
  <c r="AC407" i="1"/>
  <c r="AB407" i="1"/>
  <c r="AA407" i="1"/>
  <c r="AD406" i="1"/>
  <c r="AC406" i="1"/>
  <c r="AB406" i="1"/>
  <c r="AA406" i="1"/>
  <c r="AD405" i="1"/>
  <c r="AC405" i="1"/>
  <c r="AB405" i="1"/>
  <c r="AA405" i="1"/>
  <c r="AD404" i="1"/>
  <c r="AC404" i="1"/>
  <c r="AB404" i="1"/>
  <c r="AA404" i="1"/>
  <c r="AD403" i="1"/>
  <c r="AC403" i="1"/>
  <c r="AB403" i="1"/>
  <c r="AA403" i="1"/>
  <c r="AD402" i="1"/>
  <c r="AC402" i="1"/>
  <c r="AB402" i="1"/>
  <c r="AA402" i="1"/>
  <c r="AD401" i="1"/>
  <c r="AC401" i="1"/>
  <c r="AB401" i="1"/>
  <c r="AA401" i="1"/>
  <c r="AD400" i="1"/>
  <c r="AC400" i="1"/>
  <c r="AB400" i="1"/>
  <c r="AA400" i="1"/>
  <c r="AD399" i="1"/>
  <c r="AC399" i="1"/>
  <c r="AB399" i="1"/>
  <c r="AA399" i="1"/>
  <c r="AD398" i="1"/>
  <c r="AC398" i="1"/>
  <c r="AB398" i="1"/>
  <c r="AA398" i="1"/>
  <c r="AD397" i="1"/>
  <c r="AC397" i="1"/>
  <c r="AB397" i="1"/>
  <c r="AA397" i="1"/>
  <c r="AD396" i="1"/>
  <c r="AC396" i="1"/>
  <c r="AB396" i="1"/>
  <c r="AA396" i="1"/>
  <c r="AD395" i="1"/>
  <c r="AC395" i="1"/>
  <c r="AB395" i="1"/>
  <c r="AA395" i="1"/>
  <c r="AD394" i="1"/>
  <c r="AC394" i="1"/>
  <c r="AB394" i="1"/>
  <c r="AA394" i="1"/>
  <c r="AD393" i="1"/>
  <c r="AC393" i="1"/>
  <c r="AB393" i="1"/>
  <c r="AA393" i="1"/>
  <c r="AD392" i="1"/>
  <c r="AC392" i="1"/>
  <c r="AB392" i="1"/>
  <c r="AA392" i="1"/>
  <c r="AD391" i="1"/>
  <c r="AC391" i="1"/>
  <c r="AB391" i="1"/>
  <c r="AA391" i="1"/>
  <c r="AD390" i="1"/>
  <c r="AC390" i="1"/>
  <c r="AB390" i="1"/>
  <c r="AA390" i="1"/>
  <c r="AD389" i="1"/>
  <c r="AC389" i="1"/>
  <c r="AB389" i="1"/>
  <c r="AA389" i="1"/>
  <c r="AD388" i="1"/>
  <c r="AC388" i="1"/>
  <c r="AB388" i="1"/>
  <c r="AA388" i="1"/>
  <c r="AD387" i="1"/>
  <c r="AC387" i="1"/>
  <c r="AB387" i="1"/>
  <c r="AA387" i="1"/>
  <c r="AD386" i="1"/>
  <c r="AC386" i="1"/>
  <c r="AB386" i="1"/>
  <c r="AA386" i="1"/>
  <c r="AD385" i="1"/>
  <c r="AC385" i="1"/>
  <c r="AB385" i="1"/>
  <c r="AA385" i="1"/>
  <c r="AD384" i="1"/>
  <c r="AC384" i="1"/>
  <c r="AB384" i="1"/>
  <c r="AA384" i="1"/>
  <c r="AD383" i="1"/>
  <c r="AC383" i="1"/>
  <c r="AB383" i="1"/>
  <c r="AA383" i="1"/>
  <c r="AD382" i="1"/>
  <c r="AC382" i="1"/>
  <c r="AB382" i="1"/>
  <c r="AA382" i="1"/>
  <c r="AD381" i="1"/>
  <c r="AC381" i="1"/>
  <c r="AB381" i="1"/>
  <c r="AA381" i="1"/>
  <c r="AD380" i="1"/>
  <c r="AC380" i="1"/>
  <c r="AB380" i="1"/>
  <c r="AA380" i="1"/>
  <c r="AD379" i="1"/>
  <c r="AC379" i="1"/>
  <c r="AB379" i="1"/>
  <c r="AA379" i="1"/>
  <c r="AD378" i="1"/>
  <c r="AC378" i="1"/>
  <c r="AB378" i="1"/>
  <c r="AA378" i="1"/>
  <c r="AD377" i="1"/>
  <c r="AC377" i="1"/>
  <c r="AB377" i="1"/>
  <c r="AA377" i="1"/>
  <c r="AD376" i="1"/>
  <c r="AC376" i="1"/>
  <c r="AB376" i="1"/>
  <c r="AA376" i="1"/>
  <c r="AD375" i="1"/>
  <c r="AC375" i="1"/>
  <c r="AB375" i="1"/>
  <c r="AA375" i="1"/>
  <c r="AD374" i="1"/>
  <c r="AC374" i="1"/>
  <c r="AB374" i="1"/>
  <c r="AA374" i="1"/>
  <c r="AD373" i="1"/>
  <c r="AC373" i="1"/>
  <c r="AB373" i="1"/>
  <c r="AA373" i="1"/>
  <c r="AD372" i="1"/>
  <c r="AC372" i="1"/>
  <c r="AB372" i="1"/>
  <c r="AA372" i="1"/>
  <c r="AD371" i="1"/>
  <c r="AC371" i="1"/>
  <c r="AB371" i="1"/>
  <c r="AA371" i="1"/>
  <c r="AD370" i="1"/>
  <c r="AC370" i="1"/>
  <c r="AB370" i="1"/>
  <c r="AA370" i="1"/>
  <c r="AD369" i="1"/>
  <c r="AC369" i="1"/>
  <c r="AB369" i="1"/>
  <c r="AA369" i="1"/>
  <c r="AD368" i="1"/>
  <c r="AC368" i="1"/>
  <c r="AB368" i="1"/>
  <c r="AA368" i="1"/>
  <c r="AD367" i="1"/>
  <c r="AC367" i="1"/>
  <c r="AB367" i="1"/>
  <c r="AA367" i="1"/>
  <c r="AD366" i="1"/>
  <c r="AC366" i="1"/>
  <c r="AB366" i="1"/>
  <c r="AA366" i="1"/>
  <c r="AD365" i="1"/>
  <c r="AC365" i="1"/>
  <c r="AB365" i="1"/>
  <c r="AA365" i="1"/>
  <c r="AD364" i="1"/>
  <c r="AC364" i="1"/>
  <c r="AB364" i="1"/>
  <c r="AA364" i="1"/>
  <c r="AD363" i="1"/>
  <c r="AC363" i="1"/>
  <c r="AB363" i="1"/>
  <c r="AA363" i="1"/>
  <c r="AD362" i="1"/>
  <c r="AC362" i="1"/>
  <c r="AB362" i="1"/>
  <c r="AA362" i="1"/>
  <c r="AD361" i="1"/>
  <c r="AC361" i="1"/>
  <c r="AB361" i="1"/>
  <c r="AA361" i="1"/>
  <c r="AD360" i="1"/>
  <c r="AC360" i="1"/>
  <c r="AB360" i="1"/>
  <c r="AA360" i="1"/>
  <c r="AD359" i="1"/>
  <c r="AC359" i="1"/>
  <c r="AB359" i="1"/>
  <c r="AA359" i="1"/>
  <c r="AD358" i="1"/>
  <c r="AC358" i="1"/>
  <c r="AB358" i="1"/>
  <c r="AA358" i="1"/>
  <c r="AD357" i="1"/>
  <c r="AC357" i="1"/>
  <c r="AB357" i="1"/>
  <c r="AA357" i="1"/>
  <c r="AD356" i="1"/>
  <c r="AC356" i="1"/>
  <c r="AB356" i="1"/>
  <c r="AA356" i="1"/>
  <c r="AD355" i="1"/>
  <c r="AC355" i="1"/>
  <c r="AB355" i="1"/>
  <c r="AA355" i="1"/>
  <c r="AD354" i="1"/>
  <c r="AC354" i="1"/>
  <c r="AB354" i="1"/>
  <c r="AA354" i="1"/>
  <c r="AD353" i="1"/>
  <c r="AC353" i="1"/>
  <c r="AB353" i="1"/>
  <c r="AA353" i="1"/>
  <c r="AD352" i="1"/>
  <c r="AC352" i="1"/>
  <c r="AB352" i="1"/>
  <c r="AA352" i="1"/>
  <c r="AD351" i="1"/>
  <c r="AC351" i="1"/>
  <c r="AB351" i="1"/>
  <c r="AA351" i="1"/>
  <c r="AD350" i="1"/>
  <c r="AC350" i="1"/>
  <c r="AB350" i="1"/>
  <c r="AA350" i="1"/>
  <c r="AD349" i="1"/>
  <c r="AC349" i="1"/>
  <c r="AB349" i="1"/>
  <c r="AA349" i="1"/>
  <c r="AD348" i="1"/>
  <c r="AC348" i="1"/>
  <c r="AB348" i="1"/>
  <c r="AA348" i="1"/>
  <c r="AD347" i="1"/>
  <c r="AC347" i="1"/>
  <c r="AB347" i="1"/>
  <c r="AA347" i="1"/>
  <c r="AD346" i="1"/>
  <c r="AC346" i="1"/>
  <c r="AB346" i="1"/>
  <c r="AA346" i="1"/>
  <c r="AD345" i="1"/>
  <c r="AC345" i="1"/>
  <c r="AB345" i="1"/>
  <c r="AA345" i="1"/>
  <c r="AD344" i="1"/>
  <c r="AC344" i="1"/>
  <c r="AB344" i="1"/>
  <c r="AA344" i="1"/>
  <c r="AD343" i="1"/>
  <c r="AC343" i="1"/>
  <c r="AB343" i="1"/>
  <c r="AA343" i="1"/>
  <c r="AD342" i="1"/>
  <c r="AC342" i="1"/>
  <c r="AB342" i="1"/>
  <c r="AA342" i="1"/>
  <c r="AD341" i="1"/>
  <c r="AC341" i="1"/>
  <c r="AB341" i="1"/>
  <c r="AA341" i="1"/>
  <c r="AD340" i="1"/>
  <c r="AC340" i="1"/>
  <c r="AB340" i="1"/>
  <c r="AA340" i="1"/>
  <c r="AD339" i="1"/>
  <c r="AC339" i="1"/>
  <c r="AB339" i="1"/>
  <c r="AA339" i="1"/>
  <c r="AD338" i="1"/>
  <c r="AC338" i="1"/>
  <c r="AB338" i="1"/>
  <c r="AA338" i="1"/>
  <c r="AD337" i="1"/>
  <c r="AC337" i="1"/>
  <c r="AB337" i="1"/>
  <c r="AA337" i="1"/>
  <c r="AD336" i="1"/>
  <c r="AC336" i="1"/>
  <c r="AB336" i="1"/>
  <c r="AA336" i="1"/>
  <c r="AD335" i="1"/>
  <c r="AC335" i="1"/>
  <c r="AB335" i="1"/>
  <c r="AA335" i="1"/>
  <c r="AD334" i="1"/>
  <c r="AC334" i="1"/>
  <c r="AB334" i="1"/>
  <c r="AA334" i="1"/>
  <c r="AD333" i="1"/>
  <c r="AC333" i="1"/>
  <c r="AB333" i="1"/>
  <c r="AA333" i="1"/>
  <c r="AD332" i="1"/>
  <c r="AC332" i="1"/>
  <c r="AB332" i="1"/>
  <c r="AA332" i="1"/>
  <c r="AD331" i="1"/>
  <c r="AC331" i="1"/>
  <c r="AB331" i="1"/>
  <c r="AA331" i="1"/>
  <c r="AD330" i="1"/>
  <c r="AC330" i="1"/>
  <c r="AB330" i="1"/>
  <c r="AA330" i="1"/>
  <c r="AD329" i="1"/>
  <c r="AC329" i="1"/>
  <c r="AB329" i="1"/>
  <c r="AA329" i="1"/>
  <c r="AD328" i="1"/>
  <c r="AC328" i="1"/>
  <c r="AB328" i="1"/>
  <c r="AA328" i="1"/>
  <c r="AD327" i="1"/>
  <c r="AC327" i="1"/>
  <c r="AB327" i="1"/>
  <c r="AA327" i="1"/>
  <c r="AD326" i="1"/>
  <c r="AC326" i="1"/>
  <c r="AB326" i="1"/>
  <c r="AA326" i="1"/>
  <c r="AD325" i="1"/>
  <c r="AC325" i="1"/>
  <c r="AB325" i="1"/>
  <c r="AA325" i="1"/>
  <c r="AD324" i="1"/>
  <c r="AC324" i="1"/>
  <c r="AB324" i="1"/>
  <c r="AA324" i="1"/>
  <c r="AD323" i="1"/>
  <c r="AC323" i="1"/>
  <c r="AB323" i="1"/>
  <c r="AA323" i="1"/>
  <c r="AD322" i="1"/>
  <c r="AC322" i="1"/>
  <c r="AB322" i="1"/>
  <c r="AA322" i="1"/>
  <c r="AD321" i="1"/>
  <c r="AC321" i="1"/>
  <c r="AB321" i="1"/>
  <c r="AA321" i="1"/>
  <c r="AD320" i="1"/>
  <c r="AC320" i="1"/>
  <c r="AB320" i="1"/>
  <c r="AA320" i="1"/>
  <c r="AD319" i="1"/>
  <c r="AC319" i="1"/>
  <c r="AB319" i="1"/>
  <c r="AA319" i="1"/>
  <c r="AD318" i="1"/>
  <c r="AC318" i="1"/>
  <c r="AB318" i="1"/>
  <c r="AA318" i="1"/>
  <c r="AD317" i="1"/>
  <c r="AC317" i="1"/>
  <c r="AB317" i="1"/>
  <c r="AA317" i="1"/>
  <c r="AD316" i="1"/>
  <c r="AC316" i="1"/>
  <c r="AB316" i="1"/>
  <c r="AA316" i="1"/>
  <c r="AD315" i="1"/>
  <c r="AC315" i="1"/>
  <c r="AB315" i="1"/>
  <c r="AA315" i="1"/>
  <c r="AD314" i="1"/>
  <c r="AC314" i="1"/>
  <c r="AB314" i="1"/>
  <c r="AA314" i="1"/>
  <c r="AD313" i="1"/>
  <c r="AC313" i="1"/>
  <c r="AB313" i="1"/>
  <c r="AA313" i="1"/>
  <c r="AD312" i="1"/>
  <c r="AC312" i="1"/>
  <c r="AB312" i="1"/>
  <c r="AA312" i="1"/>
  <c r="AD311" i="1"/>
  <c r="AC311" i="1"/>
  <c r="AB311" i="1"/>
  <c r="AA311" i="1"/>
  <c r="AD310" i="1"/>
  <c r="AC310" i="1"/>
  <c r="AB310" i="1"/>
  <c r="AA310" i="1"/>
  <c r="AD309" i="1"/>
  <c r="AC309" i="1"/>
  <c r="AB309" i="1"/>
  <c r="AA309" i="1"/>
  <c r="AD308" i="1"/>
  <c r="AC308" i="1"/>
  <c r="AB308" i="1"/>
  <c r="AA308" i="1"/>
  <c r="AD307" i="1"/>
  <c r="AC307" i="1"/>
  <c r="AB307" i="1"/>
  <c r="AA307" i="1"/>
  <c r="AD306" i="1"/>
  <c r="AC306" i="1"/>
  <c r="AB306" i="1"/>
  <c r="AA306" i="1"/>
  <c r="AD305" i="1"/>
  <c r="AC305" i="1"/>
  <c r="AB305" i="1"/>
  <c r="AA305" i="1"/>
  <c r="AD304" i="1"/>
  <c r="AC304" i="1"/>
  <c r="AB304" i="1"/>
  <c r="AA304" i="1"/>
  <c r="AD303" i="1"/>
  <c r="AC303" i="1"/>
  <c r="AB303" i="1"/>
  <c r="AA303" i="1"/>
  <c r="AD302" i="1"/>
  <c r="AC302" i="1"/>
  <c r="AB302" i="1"/>
  <c r="AA302" i="1"/>
  <c r="AD301" i="1"/>
  <c r="AC301" i="1"/>
  <c r="AB301" i="1"/>
  <c r="AA301" i="1"/>
  <c r="AD300" i="1"/>
  <c r="AC300" i="1"/>
  <c r="AB300" i="1"/>
  <c r="AA300" i="1"/>
  <c r="AD299" i="1"/>
  <c r="AC299" i="1"/>
  <c r="AB299" i="1"/>
  <c r="AA299" i="1"/>
  <c r="AD298" i="1"/>
  <c r="AC298" i="1"/>
  <c r="AB298" i="1"/>
  <c r="AA298" i="1"/>
  <c r="AD297" i="1"/>
  <c r="AC297" i="1"/>
  <c r="AB297" i="1"/>
  <c r="AA297" i="1"/>
  <c r="AD296" i="1"/>
  <c r="AC296" i="1"/>
  <c r="AB296" i="1"/>
  <c r="AA296" i="1"/>
  <c r="AD295" i="1"/>
  <c r="AC295" i="1"/>
  <c r="AB295" i="1"/>
  <c r="AA295" i="1"/>
  <c r="AD294" i="1"/>
  <c r="AC294" i="1"/>
  <c r="AB294" i="1"/>
  <c r="AA294" i="1"/>
  <c r="AD293" i="1"/>
  <c r="AC293" i="1"/>
  <c r="AB293" i="1"/>
  <c r="AA293" i="1"/>
  <c r="AD292" i="1"/>
  <c r="AC292" i="1"/>
  <c r="AB292" i="1"/>
  <c r="AA292" i="1"/>
  <c r="AD291" i="1"/>
  <c r="AC291" i="1"/>
  <c r="AB291" i="1"/>
  <c r="AA291" i="1"/>
  <c r="AD290" i="1"/>
  <c r="AC290" i="1"/>
  <c r="AB290" i="1"/>
  <c r="AA290" i="1"/>
  <c r="AD289" i="1"/>
  <c r="AC289" i="1"/>
  <c r="AB289" i="1"/>
  <c r="AA289" i="1"/>
  <c r="AD288" i="1"/>
  <c r="AC288" i="1"/>
  <c r="AB288" i="1"/>
  <c r="AA288" i="1"/>
  <c r="AD287" i="1"/>
  <c r="AC287" i="1"/>
  <c r="AB287" i="1"/>
  <c r="AA287" i="1"/>
  <c r="AD286" i="1"/>
  <c r="AC286" i="1"/>
  <c r="AB286" i="1"/>
  <c r="AA286" i="1"/>
  <c r="AD285" i="1"/>
  <c r="AC285" i="1"/>
  <c r="AB285" i="1"/>
  <c r="AA285" i="1"/>
  <c r="AD284" i="1"/>
  <c r="AC284" i="1"/>
  <c r="AB284" i="1"/>
  <c r="AA284" i="1"/>
  <c r="AD283" i="1"/>
  <c r="AC283" i="1"/>
  <c r="AB283" i="1"/>
  <c r="AA283" i="1"/>
  <c r="AD282" i="1"/>
  <c r="AC282" i="1"/>
  <c r="AB282" i="1"/>
  <c r="AA282" i="1"/>
  <c r="AD281" i="1"/>
  <c r="AC281" i="1"/>
  <c r="AB281" i="1"/>
  <c r="AA281" i="1"/>
  <c r="AD280" i="1"/>
  <c r="AC280" i="1"/>
  <c r="AB280" i="1"/>
  <c r="AA280" i="1"/>
  <c r="AD279" i="1"/>
  <c r="AC279" i="1"/>
  <c r="AB279" i="1"/>
  <c r="AA279" i="1"/>
  <c r="AD278" i="1"/>
  <c r="AC278" i="1"/>
  <c r="AB278" i="1"/>
  <c r="AA278" i="1"/>
  <c r="AD277" i="1"/>
  <c r="AC277" i="1"/>
  <c r="AB277" i="1"/>
  <c r="AA277" i="1"/>
  <c r="AD276" i="1"/>
  <c r="AC276" i="1"/>
  <c r="AB276" i="1"/>
  <c r="AA276" i="1"/>
  <c r="AD275" i="1"/>
  <c r="AC275" i="1"/>
  <c r="AB275" i="1"/>
  <c r="AA275" i="1"/>
  <c r="AD274" i="1"/>
  <c r="AC274" i="1"/>
  <c r="AB274" i="1"/>
  <c r="AA274" i="1"/>
  <c r="AD273" i="1"/>
  <c r="AC273" i="1"/>
  <c r="AB273" i="1"/>
  <c r="AA273" i="1"/>
  <c r="AD272" i="1"/>
  <c r="AC272" i="1"/>
  <c r="AB272" i="1"/>
  <c r="AA272" i="1"/>
  <c r="AD271" i="1"/>
  <c r="AC271" i="1"/>
  <c r="AB271" i="1"/>
  <c r="AA271" i="1"/>
  <c r="AD270" i="1"/>
  <c r="AC270" i="1"/>
  <c r="AB270" i="1"/>
  <c r="AA270" i="1"/>
  <c r="AD269" i="1"/>
  <c r="AC269" i="1"/>
  <c r="AB269" i="1"/>
  <c r="AA269" i="1"/>
  <c r="AD268" i="1"/>
  <c r="AC268" i="1"/>
  <c r="AB268" i="1"/>
  <c r="AA268" i="1"/>
  <c r="AD267" i="1"/>
  <c r="AC267" i="1"/>
  <c r="AB267" i="1"/>
  <c r="AA267" i="1"/>
  <c r="AD266" i="1"/>
  <c r="AC266" i="1"/>
  <c r="AB266" i="1"/>
  <c r="AA266" i="1"/>
  <c r="AD265" i="1"/>
  <c r="AC265" i="1"/>
  <c r="AB265" i="1"/>
  <c r="AA265" i="1"/>
  <c r="AD264" i="1"/>
  <c r="AC264" i="1"/>
  <c r="AB264" i="1"/>
  <c r="AA264" i="1"/>
  <c r="AD263" i="1"/>
  <c r="AC263" i="1"/>
  <c r="AB263" i="1"/>
  <c r="AA263" i="1"/>
  <c r="AD262" i="1"/>
  <c r="AC262" i="1"/>
  <c r="AB262" i="1"/>
  <c r="AA262" i="1"/>
  <c r="AD261" i="1"/>
  <c r="AC261" i="1"/>
  <c r="AB261" i="1"/>
  <c r="AA261" i="1"/>
  <c r="AD260" i="1"/>
  <c r="AC260" i="1"/>
  <c r="AB260" i="1"/>
  <c r="AA260" i="1"/>
  <c r="AD259" i="1"/>
  <c r="AC259" i="1"/>
  <c r="AB259" i="1"/>
  <c r="AA259" i="1"/>
  <c r="AD258" i="1"/>
  <c r="AC258" i="1"/>
  <c r="AB258" i="1"/>
  <c r="AA258" i="1"/>
  <c r="AD257" i="1"/>
  <c r="AC257" i="1"/>
  <c r="AB257" i="1"/>
  <c r="AA257" i="1"/>
  <c r="AD256" i="1"/>
  <c r="AC256" i="1"/>
  <c r="AB256" i="1"/>
  <c r="AA256" i="1"/>
  <c r="AD255" i="1"/>
  <c r="AC255" i="1"/>
  <c r="AB255" i="1"/>
  <c r="AA255" i="1"/>
  <c r="AD254" i="1"/>
  <c r="AC254" i="1"/>
  <c r="AB254" i="1"/>
  <c r="AA254" i="1"/>
  <c r="AD253" i="1"/>
  <c r="AC253" i="1"/>
  <c r="AB253" i="1"/>
  <c r="AA253" i="1"/>
  <c r="AD252" i="1"/>
  <c r="AC252" i="1"/>
  <c r="AB252" i="1"/>
  <c r="AA252" i="1"/>
  <c r="AD251" i="1"/>
  <c r="AC251" i="1"/>
  <c r="AB251" i="1"/>
  <c r="AA251" i="1"/>
  <c r="AD250" i="1"/>
  <c r="AC250" i="1"/>
  <c r="AB250" i="1"/>
  <c r="AA250" i="1"/>
  <c r="AD249" i="1"/>
  <c r="AC249" i="1"/>
  <c r="AB249" i="1"/>
  <c r="AA249" i="1"/>
  <c r="AD248" i="1"/>
  <c r="AC248" i="1"/>
  <c r="AB248" i="1"/>
  <c r="AA248" i="1"/>
  <c r="AD247" i="1"/>
  <c r="AC247" i="1"/>
  <c r="AB247" i="1"/>
  <c r="AA247" i="1"/>
  <c r="AD246" i="1"/>
  <c r="AC246" i="1"/>
  <c r="AB246" i="1"/>
  <c r="AA246" i="1"/>
  <c r="AD245" i="1"/>
  <c r="AC245" i="1"/>
  <c r="AB245" i="1"/>
  <c r="AA245" i="1"/>
  <c r="AD244" i="1"/>
  <c r="AC244" i="1"/>
  <c r="AB244" i="1"/>
  <c r="AA244" i="1"/>
  <c r="AD243" i="1"/>
  <c r="AC243" i="1"/>
  <c r="AB243" i="1"/>
  <c r="AA243" i="1"/>
  <c r="AD242" i="1"/>
  <c r="AC242" i="1"/>
  <c r="AB242" i="1"/>
  <c r="AA242" i="1"/>
  <c r="AD241" i="1"/>
  <c r="AC241" i="1"/>
  <c r="AB241" i="1"/>
  <c r="AA241" i="1"/>
  <c r="AD240" i="1"/>
  <c r="AC240" i="1"/>
  <c r="AB240" i="1"/>
  <c r="AA240" i="1"/>
  <c r="AD239" i="1"/>
  <c r="AC239" i="1"/>
  <c r="AB239" i="1"/>
  <c r="AA239" i="1"/>
  <c r="AD238" i="1"/>
  <c r="AC238" i="1"/>
  <c r="AB238" i="1"/>
  <c r="AA238" i="1"/>
  <c r="AD237" i="1"/>
  <c r="AC237" i="1"/>
  <c r="AB237" i="1"/>
  <c r="AA237" i="1"/>
  <c r="AD236" i="1"/>
  <c r="AC236" i="1"/>
  <c r="AB236" i="1"/>
  <c r="AA236" i="1"/>
  <c r="AD235" i="1"/>
  <c r="AC235" i="1"/>
  <c r="AB235" i="1"/>
  <c r="AA235" i="1"/>
  <c r="AD234" i="1"/>
  <c r="AC234" i="1"/>
  <c r="AB234" i="1"/>
  <c r="AA234" i="1"/>
  <c r="AD233" i="1"/>
  <c r="AC233" i="1"/>
  <c r="AB233" i="1"/>
  <c r="AA233" i="1"/>
  <c r="AD232" i="1"/>
  <c r="AC232" i="1"/>
  <c r="AB232" i="1"/>
  <c r="AA232" i="1"/>
  <c r="AD231" i="1"/>
  <c r="AC231" i="1"/>
  <c r="AB231" i="1"/>
  <c r="AA231" i="1"/>
  <c r="AD230" i="1"/>
  <c r="AC230" i="1"/>
  <c r="AB230" i="1"/>
  <c r="AA230" i="1"/>
  <c r="AD229" i="1"/>
  <c r="AC229" i="1"/>
  <c r="AB229" i="1"/>
  <c r="AA229" i="1"/>
  <c r="AD228" i="1"/>
  <c r="AC228" i="1"/>
  <c r="AB228" i="1"/>
  <c r="AA228" i="1"/>
  <c r="AD227" i="1"/>
  <c r="AC227" i="1"/>
  <c r="AB227" i="1"/>
  <c r="AA227" i="1"/>
  <c r="AD226" i="1"/>
  <c r="AC226" i="1"/>
  <c r="AB226" i="1"/>
  <c r="AA226" i="1"/>
  <c r="AD225" i="1"/>
  <c r="AC225" i="1"/>
  <c r="AB225" i="1"/>
  <c r="AA225" i="1"/>
  <c r="AD224" i="1"/>
  <c r="AC224" i="1"/>
  <c r="AB224" i="1"/>
  <c r="AA224" i="1"/>
  <c r="AD223" i="1"/>
  <c r="AC223" i="1"/>
  <c r="AB223" i="1"/>
  <c r="AA223" i="1"/>
  <c r="AD222" i="1"/>
  <c r="AC222" i="1"/>
  <c r="AB222" i="1"/>
  <c r="AA222" i="1"/>
  <c r="AD221" i="1"/>
  <c r="AC221" i="1"/>
  <c r="AB221" i="1"/>
  <c r="AA221" i="1"/>
  <c r="AD220" i="1"/>
  <c r="AC220" i="1"/>
  <c r="AB220" i="1"/>
  <c r="AA220" i="1"/>
  <c r="AD219" i="1"/>
  <c r="AC219" i="1"/>
  <c r="AB219" i="1"/>
  <c r="AA219" i="1"/>
  <c r="AD218" i="1"/>
  <c r="AC218" i="1"/>
  <c r="AB218" i="1"/>
  <c r="AA218" i="1"/>
  <c r="AD217" i="1"/>
  <c r="AC217" i="1"/>
  <c r="AB217" i="1"/>
  <c r="AA217" i="1"/>
  <c r="AD216" i="1"/>
  <c r="AC216" i="1"/>
  <c r="AB216" i="1"/>
  <c r="AA216" i="1"/>
  <c r="AD215" i="1"/>
  <c r="AC215" i="1"/>
  <c r="AB215" i="1"/>
  <c r="AA215" i="1"/>
  <c r="AD214" i="1"/>
  <c r="AC214" i="1"/>
  <c r="AB214" i="1"/>
  <c r="AA214" i="1"/>
  <c r="AD213" i="1"/>
  <c r="AC213" i="1"/>
  <c r="AB213" i="1"/>
  <c r="AA213" i="1"/>
  <c r="AD212" i="1"/>
  <c r="AC212" i="1"/>
  <c r="AB212" i="1"/>
  <c r="AA212" i="1"/>
  <c r="AD211" i="1"/>
  <c r="AC211" i="1"/>
  <c r="AB211" i="1"/>
  <c r="AA211" i="1"/>
  <c r="AD210" i="1"/>
  <c r="AC210" i="1"/>
  <c r="AB210" i="1"/>
  <c r="AA210" i="1"/>
  <c r="AD209" i="1"/>
  <c r="AC209" i="1"/>
  <c r="AB209" i="1"/>
  <c r="AA209" i="1"/>
  <c r="AD208" i="1"/>
  <c r="AC208" i="1"/>
  <c r="AB208" i="1"/>
  <c r="AA208" i="1"/>
  <c r="AD207" i="1"/>
  <c r="AC207" i="1"/>
  <c r="AB207" i="1"/>
  <c r="AA207" i="1"/>
  <c r="AD206" i="1"/>
  <c r="AC206" i="1"/>
  <c r="AB206" i="1"/>
  <c r="AA206" i="1"/>
  <c r="AD205" i="1"/>
  <c r="AC205" i="1"/>
  <c r="AB205" i="1"/>
  <c r="AA205" i="1"/>
  <c r="AD204" i="1"/>
  <c r="AC204" i="1"/>
  <c r="AB204" i="1"/>
  <c r="AA204" i="1"/>
  <c r="AD203" i="1"/>
  <c r="AC203" i="1"/>
  <c r="AB203" i="1"/>
  <c r="AA203" i="1"/>
  <c r="AD202" i="1"/>
  <c r="AC202" i="1"/>
  <c r="AB202" i="1"/>
  <c r="AA202" i="1"/>
  <c r="AD201" i="1"/>
  <c r="AC201" i="1"/>
  <c r="AB201" i="1"/>
  <c r="AA201" i="1"/>
  <c r="AD200" i="1"/>
  <c r="AC200" i="1"/>
  <c r="AB200" i="1"/>
  <c r="AA200" i="1"/>
  <c r="AD199" i="1"/>
  <c r="AC199" i="1"/>
  <c r="AB199" i="1"/>
  <c r="AA199" i="1"/>
  <c r="AD198" i="1"/>
  <c r="AC198" i="1"/>
  <c r="AB198" i="1"/>
  <c r="AA198" i="1"/>
  <c r="AD197" i="1"/>
  <c r="AC197" i="1"/>
  <c r="AB197" i="1"/>
  <c r="AA197" i="1"/>
  <c r="AD196" i="1"/>
  <c r="AC196" i="1"/>
  <c r="AB196" i="1"/>
  <c r="AA196" i="1"/>
  <c r="AD195" i="1"/>
  <c r="AC195" i="1"/>
  <c r="AB195" i="1"/>
  <c r="AA195" i="1"/>
  <c r="AD194" i="1"/>
  <c r="AC194" i="1"/>
  <c r="AB194" i="1"/>
  <c r="AA194" i="1"/>
  <c r="AD193" i="1"/>
  <c r="AC193" i="1"/>
  <c r="AB193" i="1"/>
  <c r="AA193" i="1"/>
  <c r="AD192" i="1"/>
  <c r="AC192" i="1"/>
  <c r="AB192" i="1"/>
  <c r="AA192" i="1"/>
  <c r="AD191" i="1"/>
  <c r="AC191" i="1"/>
  <c r="AB191" i="1"/>
  <c r="AA191" i="1"/>
  <c r="AD190" i="1"/>
  <c r="AC190" i="1"/>
  <c r="AB190" i="1"/>
  <c r="AA190" i="1"/>
  <c r="AD189" i="1"/>
  <c r="AC189" i="1"/>
  <c r="AB189" i="1"/>
  <c r="AA189" i="1"/>
  <c r="AD188" i="1"/>
  <c r="AC188" i="1"/>
  <c r="AB188" i="1"/>
  <c r="AA188" i="1"/>
  <c r="AD187" i="1"/>
  <c r="AC187" i="1"/>
  <c r="AB187" i="1"/>
  <c r="AA187" i="1"/>
  <c r="AD186" i="1"/>
  <c r="AC186" i="1"/>
  <c r="AB186" i="1"/>
  <c r="AA186" i="1"/>
  <c r="AD185" i="1"/>
  <c r="AC185" i="1"/>
  <c r="AB185" i="1"/>
  <c r="AA185" i="1"/>
  <c r="AD184" i="1"/>
  <c r="AC184" i="1"/>
  <c r="AB184" i="1"/>
  <c r="AA184" i="1"/>
  <c r="AD183" i="1"/>
  <c r="AC183" i="1"/>
  <c r="AB183" i="1"/>
  <c r="AA183" i="1"/>
  <c r="AD182" i="1"/>
  <c r="AC182" i="1"/>
  <c r="AB182" i="1"/>
  <c r="AA182" i="1"/>
  <c r="AD181" i="1"/>
  <c r="AC181" i="1"/>
  <c r="AB181" i="1"/>
  <c r="AA181" i="1"/>
  <c r="AD180" i="1"/>
  <c r="AC180" i="1"/>
  <c r="AB180" i="1"/>
  <c r="AA180" i="1"/>
  <c r="AD179" i="1"/>
  <c r="AC179" i="1"/>
  <c r="AB179" i="1"/>
  <c r="AA179" i="1"/>
  <c r="AD178" i="1"/>
  <c r="AC178" i="1"/>
  <c r="AB178" i="1"/>
  <c r="AA178" i="1"/>
  <c r="AD177" i="1"/>
  <c r="AC177" i="1"/>
  <c r="AB177" i="1"/>
  <c r="AA177" i="1"/>
  <c r="AD176" i="1"/>
  <c r="AC176" i="1"/>
  <c r="AB176" i="1"/>
  <c r="AA176" i="1"/>
  <c r="AD175" i="1"/>
  <c r="AC175" i="1"/>
  <c r="AB175" i="1"/>
  <c r="AA175" i="1"/>
  <c r="AD174" i="1"/>
  <c r="AC174" i="1"/>
  <c r="AB174" i="1"/>
  <c r="AA174" i="1"/>
  <c r="AD173" i="1"/>
  <c r="AC173" i="1"/>
  <c r="AB173" i="1"/>
  <c r="AA173" i="1"/>
  <c r="AD172" i="1"/>
  <c r="AC172" i="1"/>
  <c r="AB172" i="1"/>
  <c r="AA172" i="1"/>
  <c r="AD171" i="1"/>
  <c r="AC171" i="1"/>
  <c r="AB171" i="1"/>
  <c r="AA171" i="1"/>
  <c r="AD170" i="1"/>
  <c r="AC170" i="1"/>
  <c r="AB170" i="1"/>
  <c r="AA170" i="1"/>
  <c r="AD169" i="1"/>
  <c r="AC169" i="1"/>
  <c r="AB169" i="1"/>
  <c r="AA169" i="1"/>
  <c r="AD168" i="1"/>
  <c r="AC168" i="1"/>
  <c r="AB168" i="1"/>
  <c r="AA168" i="1"/>
  <c r="AD167" i="1"/>
  <c r="AC167" i="1"/>
  <c r="AB167" i="1"/>
  <c r="AA167" i="1"/>
  <c r="AD166" i="1"/>
  <c r="AC166" i="1"/>
  <c r="AB166" i="1"/>
  <c r="AA166" i="1"/>
  <c r="AD165" i="1"/>
  <c r="AC165" i="1"/>
  <c r="AB165" i="1"/>
  <c r="AA165" i="1"/>
  <c r="AD164" i="1"/>
  <c r="AC164" i="1"/>
  <c r="AB164" i="1"/>
  <c r="AA164" i="1"/>
  <c r="AD163" i="1"/>
  <c r="AC163" i="1"/>
  <c r="AB163" i="1"/>
  <c r="AA163" i="1"/>
  <c r="AD162" i="1"/>
  <c r="AC162" i="1"/>
  <c r="AB162" i="1"/>
  <c r="AA162" i="1"/>
  <c r="AD161" i="1"/>
  <c r="AC161" i="1"/>
  <c r="AB161" i="1"/>
  <c r="AA161" i="1"/>
  <c r="AD160" i="1"/>
  <c r="AC160" i="1"/>
  <c r="AB160" i="1"/>
  <c r="AA160" i="1"/>
  <c r="AD159" i="1"/>
  <c r="AC159" i="1"/>
  <c r="AB159" i="1"/>
  <c r="AA159" i="1"/>
  <c r="AD158" i="1"/>
  <c r="AC158" i="1"/>
  <c r="AB158" i="1"/>
  <c r="AA158" i="1"/>
  <c r="AD157" i="1"/>
  <c r="AC157" i="1"/>
  <c r="AB157" i="1"/>
  <c r="AA157" i="1"/>
  <c r="AD156" i="1"/>
  <c r="AC156" i="1"/>
  <c r="AB156" i="1"/>
  <c r="AA156" i="1"/>
  <c r="AD155" i="1"/>
  <c r="AC155" i="1"/>
  <c r="AB155" i="1"/>
  <c r="AA155" i="1"/>
  <c r="AD154" i="1"/>
  <c r="AC154" i="1"/>
  <c r="AB154" i="1"/>
  <c r="AA154" i="1"/>
  <c r="AD153" i="1"/>
  <c r="AC153" i="1"/>
  <c r="AB153" i="1"/>
  <c r="AA153" i="1"/>
  <c r="AD152" i="1"/>
  <c r="AC152" i="1"/>
  <c r="AB152" i="1"/>
  <c r="AA152" i="1"/>
  <c r="AD151" i="1"/>
  <c r="AC151" i="1"/>
  <c r="AB151" i="1"/>
  <c r="AA151" i="1"/>
  <c r="AD150" i="1"/>
  <c r="AC150" i="1"/>
  <c r="AB150" i="1"/>
  <c r="AA150" i="1"/>
  <c r="AD149" i="1"/>
  <c r="AC149" i="1"/>
  <c r="AB149" i="1"/>
  <c r="AA149" i="1"/>
  <c r="AD148" i="1"/>
  <c r="AC148" i="1"/>
  <c r="AB148" i="1"/>
  <c r="AA148" i="1"/>
  <c r="AD147" i="1"/>
  <c r="AC147" i="1"/>
  <c r="AB147" i="1"/>
  <c r="AA147" i="1"/>
  <c r="AD146" i="1"/>
  <c r="AC146" i="1"/>
  <c r="AB146" i="1"/>
  <c r="AA146" i="1"/>
  <c r="AD145" i="1"/>
  <c r="AC145" i="1"/>
  <c r="AB145" i="1"/>
  <c r="AA145" i="1"/>
  <c r="AD144" i="1"/>
  <c r="AC144" i="1"/>
  <c r="AB144" i="1"/>
  <c r="AA144" i="1"/>
  <c r="AD143" i="1"/>
  <c r="AC143" i="1"/>
  <c r="AB143" i="1"/>
  <c r="AA143" i="1"/>
  <c r="AD142" i="1"/>
  <c r="AC142" i="1"/>
  <c r="AB142" i="1"/>
  <c r="AA142" i="1"/>
  <c r="AD141" i="1"/>
  <c r="AC141" i="1"/>
  <c r="AB141" i="1"/>
  <c r="AA141" i="1"/>
  <c r="AD140" i="1"/>
  <c r="AC140" i="1"/>
  <c r="AB140" i="1"/>
  <c r="AA140" i="1"/>
  <c r="AD139" i="1"/>
  <c r="AC139" i="1"/>
  <c r="AB139" i="1"/>
  <c r="AA139" i="1"/>
  <c r="AD138" i="1"/>
  <c r="AC138" i="1"/>
  <c r="AB138" i="1"/>
  <c r="AA138" i="1"/>
  <c r="AD137" i="1"/>
  <c r="AC137" i="1"/>
  <c r="AB137" i="1"/>
  <c r="AA137" i="1"/>
  <c r="AD136" i="1"/>
  <c r="AC136" i="1"/>
  <c r="AB136" i="1"/>
  <c r="AA136" i="1"/>
  <c r="AD135" i="1"/>
  <c r="AC135" i="1"/>
  <c r="AB135" i="1"/>
  <c r="AA135" i="1"/>
  <c r="AD134" i="1"/>
  <c r="AC134" i="1"/>
  <c r="AB134" i="1"/>
  <c r="AA134" i="1"/>
  <c r="AD133" i="1"/>
  <c r="AC133" i="1"/>
  <c r="AB133" i="1"/>
  <c r="AA133" i="1"/>
  <c r="AD132" i="1"/>
  <c r="AC132" i="1"/>
  <c r="AB132" i="1"/>
  <c r="AA132" i="1"/>
  <c r="AD131" i="1"/>
  <c r="AC131" i="1"/>
  <c r="AB131" i="1"/>
  <c r="AA131" i="1"/>
  <c r="AD130" i="1"/>
  <c r="AC130" i="1"/>
  <c r="AB130" i="1"/>
  <c r="AA130" i="1"/>
  <c r="AD129" i="1"/>
  <c r="AC129" i="1"/>
  <c r="AB129" i="1"/>
  <c r="AA129" i="1"/>
  <c r="AD128" i="1"/>
  <c r="AC128" i="1"/>
  <c r="AB128" i="1"/>
  <c r="AA128" i="1"/>
  <c r="AD127" i="1"/>
  <c r="AC127" i="1"/>
  <c r="AB127" i="1"/>
  <c r="AA127" i="1"/>
  <c r="AD126" i="1"/>
  <c r="AC126" i="1"/>
  <c r="AB126" i="1"/>
  <c r="AA126" i="1"/>
  <c r="AD125" i="1"/>
  <c r="AC125" i="1"/>
  <c r="AB125" i="1"/>
  <c r="AA125" i="1"/>
  <c r="AD124" i="1"/>
  <c r="AC124" i="1"/>
  <c r="AB124" i="1"/>
  <c r="AA124" i="1"/>
  <c r="AD123" i="1"/>
  <c r="AC123" i="1"/>
  <c r="AB123" i="1"/>
  <c r="AA123" i="1"/>
  <c r="AD122" i="1"/>
  <c r="AC122" i="1"/>
  <c r="AB122" i="1"/>
  <c r="AA122" i="1"/>
  <c r="AD121" i="1"/>
  <c r="AC121" i="1"/>
  <c r="AB121" i="1"/>
  <c r="AA121" i="1"/>
  <c r="AD120" i="1"/>
  <c r="AC120" i="1"/>
  <c r="AB120" i="1"/>
  <c r="AA120" i="1"/>
  <c r="AD119" i="1"/>
  <c r="AC119" i="1"/>
  <c r="AB119" i="1"/>
  <c r="AA119" i="1"/>
  <c r="AD118" i="1"/>
  <c r="AC118" i="1"/>
  <c r="AB118" i="1"/>
  <c r="AA118" i="1"/>
  <c r="AD117" i="1"/>
  <c r="AC117" i="1"/>
  <c r="AB117" i="1"/>
  <c r="AA117" i="1"/>
  <c r="AD116" i="1"/>
  <c r="AC116" i="1"/>
  <c r="AB116" i="1"/>
  <c r="AA116" i="1"/>
  <c r="AD115" i="1"/>
  <c r="AC115" i="1"/>
  <c r="AB115" i="1"/>
  <c r="AA115" i="1"/>
  <c r="AD114" i="1"/>
  <c r="AC114" i="1"/>
  <c r="AB114" i="1"/>
  <c r="AA114" i="1"/>
  <c r="AD113" i="1"/>
  <c r="AC113" i="1"/>
  <c r="AB113" i="1"/>
  <c r="AA113" i="1"/>
  <c r="AD112" i="1"/>
  <c r="AC112" i="1"/>
  <c r="AB112" i="1"/>
  <c r="AA112" i="1"/>
  <c r="AD111" i="1"/>
  <c r="AC111" i="1"/>
  <c r="AB111" i="1"/>
  <c r="AA111" i="1"/>
  <c r="AD110" i="1"/>
  <c r="AC110" i="1"/>
  <c r="AB110" i="1"/>
  <c r="AA110" i="1"/>
  <c r="AD109" i="1"/>
  <c r="AC109" i="1"/>
  <c r="AB109" i="1"/>
  <c r="AA109" i="1"/>
  <c r="AD108" i="1"/>
  <c r="AC108" i="1"/>
  <c r="AB108" i="1"/>
  <c r="AA108" i="1"/>
  <c r="AD107" i="1"/>
  <c r="AC107" i="1"/>
  <c r="AB107" i="1"/>
  <c r="AA107" i="1"/>
  <c r="AD106" i="1"/>
  <c r="AC106" i="1"/>
  <c r="AB106" i="1"/>
  <c r="AA106" i="1"/>
  <c r="AD105" i="1"/>
  <c r="AC105" i="1"/>
  <c r="AB105" i="1"/>
  <c r="AA105" i="1"/>
  <c r="AD104" i="1"/>
  <c r="AC104" i="1"/>
  <c r="AB104" i="1"/>
  <c r="AA104" i="1"/>
  <c r="AD103" i="1"/>
  <c r="AC103" i="1"/>
  <c r="AB103" i="1"/>
  <c r="AA103" i="1"/>
  <c r="AD102" i="1"/>
  <c r="AC102" i="1"/>
  <c r="AB102" i="1"/>
  <c r="AA102" i="1"/>
  <c r="AD101" i="1"/>
  <c r="AC101" i="1"/>
  <c r="AB101" i="1"/>
  <c r="AA101" i="1"/>
  <c r="AD100" i="1"/>
  <c r="AC100" i="1"/>
  <c r="AB100" i="1"/>
  <c r="AA100" i="1"/>
  <c r="AD99" i="1"/>
  <c r="AC99" i="1"/>
  <c r="AB99" i="1"/>
  <c r="AA99" i="1"/>
  <c r="AD98" i="1"/>
  <c r="AC98" i="1"/>
  <c r="AB98" i="1"/>
  <c r="AA98" i="1"/>
  <c r="AD97" i="1"/>
  <c r="AC97" i="1"/>
  <c r="AB97" i="1"/>
  <c r="AA97" i="1"/>
  <c r="AD96" i="1"/>
  <c r="AC96" i="1"/>
  <c r="AB96" i="1"/>
  <c r="AA96" i="1"/>
  <c r="AD95" i="1"/>
  <c r="AC95" i="1"/>
  <c r="AB95" i="1"/>
  <c r="AA95" i="1"/>
  <c r="AD94" i="1"/>
  <c r="AC94" i="1"/>
  <c r="AB94" i="1"/>
  <c r="AA94" i="1"/>
  <c r="AD93" i="1"/>
  <c r="AC93" i="1"/>
  <c r="AB93" i="1"/>
  <c r="AA93" i="1"/>
  <c r="AD92" i="1"/>
  <c r="AC92" i="1"/>
  <c r="AB92" i="1"/>
  <c r="AA92" i="1"/>
  <c r="AD91" i="1"/>
  <c r="AC91" i="1"/>
  <c r="AB91" i="1"/>
  <c r="AA91" i="1"/>
  <c r="AD90" i="1"/>
  <c r="AC90" i="1"/>
  <c r="AB90" i="1"/>
  <c r="AA90" i="1"/>
  <c r="AD89" i="1"/>
  <c r="AC89" i="1"/>
  <c r="AB89" i="1"/>
  <c r="AA89" i="1"/>
  <c r="AD88" i="1"/>
  <c r="AC88" i="1"/>
  <c r="AB88" i="1"/>
  <c r="AA88" i="1"/>
  <c r="AD87" i="1"/>
  <c r="AC87" i="1"/>
  <c r="AB87" i="1"/>
  <c r="AA87" i="1"/>
  <c r="AD86" i="1"/>
  <c r="AC86" i="1"/>
  <c r="AB86" i="1"/>
  <c r="AA86" i="1"/>
  <c r="AD85" i="1"/>
  <c r="AC85" i="1"/>
  <c r="AB85" i="1"/>
  <c r="AA85" i="1"/>
  <c r="AD84" i="1"/>
  <c r="AC84" i="1"/>
  <c r="AB84" i="1"/>
  <c r="AA84" i="1"/>
  <c r="AD83" i="1"/>
  <c r="AC83" i="1"/>
  <c r="AB83" i="1"/>
  <c r="AA83" i="1"/>
  <c r="AD82" i="1"/>
  <c r="AC82" i="1"/>
  <c r="AB82" i="1"/>
  <c r="AA82" i="1"/>
  <c r="AD81" i="1"/>
  <c r="AC81" i="1"/>
  <c r="AB81" i="1"/>
  <c r="AA81" i="1"/>
  <c r="AD80" i="1"/>
  <c r="AC80" i="1"/>
  <c r="AB80" i="1"/>
  <c r="AA80" i="1"/>
  <c r="AD79" i="1"/>
  <c r="AC79" i="1"/>
  <c r="AB79" i="1"/>
  <c r="AA79" i="1"/>
  <c r="AD78" i="1"/>
  <c r="AC78" i="1"/>
  <c r="AB78" i="1"/>
  <c r="AA78" i="1"/>
  <c r="AD77" i="1"/>
  <c r="AC77" i="1"/>
  <c r="AB77" i="1"/>
  <c r="AA77" i="1"/>
  <c r="AD76" i="1"/>
  <c r="AC76" i="1"/>
  <c r="AB76" i="1"/>
  <c r="AA76" i="1"/>
  <c r="AD75" i="1"/>
  <c r="AC75" i="1"/>
  <c r="AB75" i="1"/>
  <c r="AA75" i="1"/>
  <c r="AD74" i="1"/>
  <c r="AC74" i="1"/>
  <c r="AB74" i="1"/>
  <c r="AA74" i="1"/>
  <c r="AD73" i="1"/>
  <c r="AC73" i="1"/>
  <c r="AB73" i="1"/>
  <c r="AA73" i="1"/>
  <c r="AD72" i="1"/>
  <c r="AC72" i="1"/>
  <c r="AB72" i="1"/>
  <c r="AA72" i="1"/>
  <c r="AD71" i="1"/>
  <c r="AC71" i="1"/>
  <c r="AB71" i="1"/>
  <c r="AA71" i="1"/>
  <c r="AD70" i="1"/>
  <c r="AC70" i="1"/>
  <c r="AB70" i="1"/>
  <c r="AA70" i="1"/>
  <c r="AD69" i="1"/>
  <c r="AC69" i="1"/>
  <c r="AB69" i="1"/>
  <c r="AA69" i="1"/>
  <c r="AD68" i="1"/>
  <c r="AC68" i="1"/>
  <c r="AB68" i="1"/>
  <c r="AA68" i="1"/>
  <c r="AD67" i="1"/>
  <c r="AC67" i="1"/>
  <c r="AB67" i="1"/>
  <c r="AA67" i="1"/>
  <c r="AD66" i="1"/>
  <c r="AC66" i="1"/>
  <c r="AB66" i="1"/>
  <c r="AA66" i="1"/>
  <c r="AD65" i="1"/>
  <c r="AC65" i="1"/>
  <c r="AB65" i="1"/>
  <c r="AA65" i="1"/>
  <c r="AD64" i="1"/>
  <c r="AC64" i="1"/>
  <c r="AB64" i="1"/>
  <c r="AA64" i="1"/>
  <c r="AD63" i="1"/>
  <c r="AC63" i="1"/>
  <c r="AB63" i="1"/>
  <c r="AA63" i="1"/>
  <c r="AD62" i="1"/>
  <c r="AC62" i="1"/>
  <c r="AB62" i="1"/>
  <c r="AA62" i="1"/>
  <c r="AD61" i="1"/>
  <c r="AC61" i="1"/>
  <c r="AB61" i="1"/>
  <c r="AA61" i="1"/>
  <c r="AD60" i="1"/>
  <c r="AC60" i="1"/>
  <c r="AB60" i="1"/>
  <c r="AA60" i="1"/>
  <c r="AD59" i="1"/>
  <c r="AC59" i="1"/>
  <c r="AB59" i="1"/>
  <c r="AA59" i="1"/>
  <c r="AD58" i="1"/>
  <c r="AC58" i="1"/>
  <c r="AB58" i="1"/>
  <c r="AA58" i="1"/>
  <c r="AD57" i="1"/>
  <c r="AC57" i="1"/>
  <c r="AB57" i="1"/>
  <c r="AA57" i="1"/>
  <c r="AD56" i="1"/>
  <c r="AC56" i="1"/>
  <c r="AB56" i="1"/>
  <c r="AA56" i="1"/>
  <c r="AD55" i="1"/>
  <c r="AC55" i="1"/>
  <c r="AB55" i="1"/>
  <c r="AA55" i="1"/>
  <c r="AD54" i="1"/>
  <c r="AC54" i="1"/>
  <c r="AB54" i="1"/>
  <c r="AA54" i="1"/>
  <c r="AD53" i="1"/>
  <c r="AC53" i="1"/>
  <c r="AB53" i="1"/>
  <c r="AA53" i="1"/>
  <c r="AD52" i="1"/>
  <c r="AC52" i="1"/>
  <c r="AB52" i="1"/>
  <c r="AA52" i="1"/>
  <c r="AD51" i="1"/>
  <c r="AC51" i="1"/>
  <c r="AB51" i="1"/>
  <c r="AA51" i="1"/>
  <c r="AD50" i="1"/>
  <c r="AC50" i="1"/>
  <c r="AB50" i="1"/>
  <c r="AA50" i="1"/>
  <c r="AD49" i="1"/>
  <c r="AC49" i="1"/>
  <c r="AB49" i="1"/>
  <c r="AA49" i="1"/>
  <c r="AD48" i="1"/>
  <c r="AC48" i="1"/>
  <c r="AB48" i="1"/>
  <c r="AA48" i="1"/>
  <c r="AD47" i="1"/>
  <c r="AC47" i="1"/>
  <c r="AB47" i="1"/>
  <c r="AA47" i="1"/>
  <c r="AD46" i="1"/>
  <c r="AC46" i="1"/>
  <c r="AB46" i="1"/>
  <c r="AA46" i="1"/>
  <c r="AD45" i="1"/>
  <c r="AC45" i="1"/>
  <c r="AB45" i="1"/>
  <c r="AA45" i="1"/>
  <c r="AD44" i="1"/>
  <c r="AC44" i="1"/>
  <c r="AB44" i="1"/>
  <c r="AA44" i="1"/>
  <c r="AD43" i="1"/>
  <c r="AC43" i="1"/>
  <c r="AB43" i="1"/>
  <c r="AA43" i="1"/>
  <c r="AD42" i="1"/>
  <c r="AC42" i="1"/>
  <c r="AB42" i="1"/>
  <c r="AA42" i="1"/>
  <c r="AD41" i="1"/>
  <c r="AC41" i="1"/>
  <c r="AB41" i="1"/>
  <c r="AA41" i="1"/>
  <c r="AD40" i="1"/>
  <c r="AC40" i="1"/>
  <c r="AB40" i="1"/>
  <c r="AA40" i="1"/>
  <c r="AD39" i="1"/>
  <c r="AC39" i="1"/>
  <c r="AB39" i="1"/>
  <c r="AA39" i="1"/>
  <c r="AD38" i="1"/>
  <c r="AC38" i="1"/>
  <c r="AB38" i="1"/>
  <c r="AA38" i="1"/>
  <c r="AD37" i="1"/>
  <c r="AC37" i="1"/>
  <c r="AB37" i="1"/>
  <c r="AA37" i="1"/>
  <c r="AD36" i="1"/>
  <c r="AC36" i="1"/>
  <c r="AB36" i="1"/>
  <c r="AA36" i="1"/>
  <c r="AD35" i="1"/>
  <c r="AC35" i="1"/>
  <c r="AB35" i="1"/>
  <c r="AA35" i="1"/>
  <c r="AD34" i="1"/>
  <c r="AC34" i="1"/>
  <c r="AB34" i="1"/>
  <c r="AA34" i="1"/>
  <c r="AD33" i="1"/>
  <c r="AC33" i="1"/>
  <c r="AB33" i="1"/>
  <c r="AA33" i="1"/>
  <c r="AD32" i="1"/>
  <c r="AC32" i="1"/>
  <c r="AB32" i="1"/>
  <c r="AA32" i="1"/>
  <c r="AD31" i="1"/>
  <c r="AC31" i="1"/>
  <c r="AB31" i="1"/>
  <c r="AA31" i="1"/>
  <c r="AD30" i="1"/>
  <c r="AC30" i="1"/>
  <c r="AB30" i="1"/>
  <c r="AA30" i="1"/>
  <c r="AD29" i="1"/>
  <c r="AC29" i="1"/>
  <c r="AB29" i="1"/>
  <c r="AA29" i="1"/>
  <c r="AD28" i="1"/>
  <c r="AC28" i="1"/>
  <c r="AB28" i="1"/>
  <c r="AA28" i="1"/>
  <c r="AD27" i="1"/>
  <c r="AC27" i="1"/>
  <c r="AB27" i="1"/>
  <c r="AA27" i="1"/>
  <c r="AD26" i="1"/>
  <c r="AC26" i="1"/>
  <c r="AB26" i="1"/>
  <c r="AA26" i="1"/>
  <c r="AD25" i="1"/>
  <c r="AC25" i="1"/>
  <c r="AB25" i="1"/>
  <c r="AA25" i="1"/>
  <c r="AD24" i="1"/>
  <c r="AC24" i="1"/>
  <c r="AB24" i="1"/>
  <c r="AA24" i="1"/>
  <c r="AD23" i="1"/>
  <c r="AC23" i="1"/>
  <c r="AB23" i="1"/>
  <c r="AA23" i="1"/>
  <c r="AD22" i="1"/>
  <c r="AC22" i="1"/>
  <c r="AB22" i="1"/>
  <c r="AA22" i="1"/>
  <c r="AD21" i="1"/>
  <c r="AC21" i="1"/>
  <c r="AB21" i="1"/>
  <c r="AA21" i="1"/>
  <c r="AD20" i="1"/>
  <c r="AC20" i="1"/>
  <c r="AB20" i="1"/>
  <c r="AA20" i="1"/>
  <c r="AD19" i="1"/>
  <c r="AC19" i="1"/>
  <c r="AB19" i="1"/>
  <c r="AA19" i="1"/>
  <c r="AD18" i="1"/>
  <c r="AC18" i="1"/>
  <c r="AB18" i="1"/>
  <c r="AA18" i="1"/>
  <c r="AD17" i="1"/>
  <c r="AC17" i="1"/>
  <c r="AB17" i="1"/>
  <c r="AA17" i="1"/>
  <c r="AD16" i="1"/>
  <c r="AC16" i="1"/>
  <c r="AB16" i="1"/>
  <c r="AA16" i="1"/>
  <c r="AD15" i="1"/>
  <c r="AC15" i="1"/>
  <c r="AB15" i="1"/>
  <c r="AA15" i="1"/>
  <c r="AD14" i="1"/>
  <c r="AC14" i="1"/>
  <c r="AB14" i="1"/>
  <c r="AA14" i="1"/>
  <c r="AD13" i="1"/>
  <c r="AC13" i="1"/>
  <c r="AB13" i="1"/>
  <c r="AA13" i="1"/>
  <c r="AD12" i="1"/>
  <c r="AC12" i="1"/>
  <c r="AB12" i="1"/>
  <c r="AA12" i="1"/>
  <c r="AD11" i="1"/>
  <c r="AC11" i="1"/>
  <c r="AB11" i="1"/>
  <c r="AA11" i="1"/>
  <c r="AD10" i="1"/>
  <c r="AC10" i="1"/>
  <c r="AB10" i="1"/>
  <c r="AA10" i="1"/>
  <c r="AD9" i="1"/>
  <c r="AC9" i="1"/>
  <c r="AB9" i="1"/>
  <c r="AA9" i="1"/>
  <c r="AD8" i="1"/>
  <c r="AC8" i="1"/>
  <c r="AB8" i="1"/>
  <c r="AA8" i="1"/>
  <c r="AC7" i="1"/>
  <c r="AB7" i="1"/>
  <c r="AA7" i="1"/>
  <c r="AD6" i="1"/>
  <c r="AC6" i="1"/>
  <c r="AB6" i="1"/>
  <c r="AA6" i="1"/>
  <c r="AD5" i="1"/>
  <c r="AC5" i="1"/>
  <c r="AB5" i="1"/>
  <c r="AA5" i="1"/>
  <c r="AD4" i="1"/>
  <c r="AC4" i="1"/>
  <c r="AB4" i="1"/>
  <c r="AA4" i="1"/>
  <c r="AD3" i="1"/>
  <c r="AC3" i="1"/>
  <c r="AB3" i="1"/>
  <c r="AA3" i="1"/>
  <c r="AD2" i="1"/>
  <c r="AC2" i="1"/>
  <c r="AB2" i="1"/>
  <c r="AA2" i="1"/>
  <c r="AE602" i="1" l="1" a="1"/>
  <c r="AE602" i="1" s="1"/>
  <c r="AH602" i="1" s="1" a="1"/>
  <c r="AH602" i="1" s="1"/>
  <c r="AE662" i="1" a="1"/>
  <c r="AE662" i="1" s="1"/>
  <c r="AH662" i="1" s="1" a="1"/>
  <c r="AH662" i="1" s="1"/>
  <c r="AE603" i="1" a="1"/>
  <c r="AE603" i="1" s="1"/>
  <c r="AH603" i="1" s="1" a="1"/>
  <c r="AH603" i="1" s="1"/>
  <c r="AE606" i="1" a="1"/>
  <c r="AE606" i="1" s="1"/>
  <c r="AH606" i="1" s="1" a="1"/>
  <c r="AH60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<sst xmlns="http://schemas.openxmlformats.org/spreadsheetml/2006/main" count="23990" uniqueCount="1159">
  <si>
    <t>DC_CODE</t>
  </si>
  <si>
    <t>PURCH_ORDER_NUMBER</t>
  </si>
  <si>
    <t>PURCH_ORDER_DATE</t>
  </si>
  <si>
    <t>EXPECTED_DATE</t>
  </si>
  <si>
    <t>SUPPLIER_CODE</t>
  </si>
  <si>
    <t>SUPPLIER NAME</t>
  </si>
  <si>
    <t>PURCH_ORDER_LINE</t>
  </si>
  <si>
    <t>EAN_NO</t>
  </si>
  <si>
    <t>PRODUCT_CODE</t>
  </si>
  <si>
    <t>PRODUCT_DESCRIPTION</t>
  </si>
  <si>
    <t>VENDOR_ITEM_CODE</t>
  </si>
  <si>
    <t>ORDERING_UNIT</t>
  </si>
  <si>
    <t>QTY_PER_PACK_OF_ORDERING_UOM</t>
  </si>
  <si>
    <t>NO_OF_PACKS_ORDERED</t>
  </si>
  <si>
    <t>TOTAL_QUANTITY</t>
  </si>
  <si>
    <t>CLOSING_STOCK</t>
  </si>
  <si>
    <t>MRP_PER_UNIT</t>
  </si>
  <si>
    <t>LANDING_COST_INCL_TAX_PER_UNIT</t>
  </si>
  <si>
    <t>SALES_TAX</t>
  </si>
  <si>
    <t>COST_PRICE_INCL_TAX_PER_PO_OU</t>
  </si>
  <si>
    <t>TAX_PER</t>
  </si>
  <si>
    <t>CURRENCY</t>
  </si>
  <si>
    <t>HSN</t>
  </si>
  <si>
    <t>MASTER PRODUCT CODE</t>
  </si>
  <si>
    <t>Order type</t>
  </si>
  <si>
    <t>S</t>
  </si>
  <si>
    <t>M</t>
  </si>
  <si>
    <t>L</t>
  </si>
  <si>
    <t>XL</t>
  </si>
  <si>
    <t>XXL</t>
  </si>
  <si>
    <t>SZAF</t>
  </si>
  <si>
    <t>5114202424</t>
  </si>
  <si>
    <t>01.05.2026</t>
  </si>
  <si>
    <t>23.07.2026</t>
  </si>
  <si>
    <t>10337044</t>
  </si>
  <si>
    <t>UNITED TEXTILE MILLS PRIVATE LIMITE</t>
  </si>
  <si>
    <t>1</t>
  </si>
  <si>
    <t>8909490134375</t>
  </si>
  <si>
    <t>441811508001</t>
  </si>
  <si>
    <t>KRTS-APWN26-GETKRTSFUT61, OFF WHITE, 2XL</t>
  </si>
  <si>
    <t>EA</t>
  </si>
  <si>
    <t xml:space="preserve"> </t>
  </si>
  <si>
    <t>INR</t>
  </si>
  <si>
    <t>2</t>
  </si>
  <si>
    <t>8909490134382</t>
  </si>
  <si>
    <t>441811508002</t>
  </si>
  <si>
    <t>KRTS-APWN26-GETKRTSFUT6125, OFF WHITE, L</t>
  </si>
  <si>
    <t>3</t>
  </si>
  <si>
    <t>8909490134399</t>
  </si>
  <si>
    <t>441811508003</t>
  </si>
  <si>
    <t>KRTS-APWN26-GETKRTSFUT6125, OFF WHITE, M</t>
  </si>
  <si>
    <t>4</t>
  </si>
  <si>
    <t>8909490134405</t>
  </si>
  <si>
    <t>441811508004</t>
  </si>
  <si>
    <t>KRTS-APWN26-GETKRTSFUT6125, OFF WHITE, S</t>
  </si>
  <si>
    <t>5</t>
  </si>
  <si>
    <t>8909490134412</t>
  </si>
  <si>
    <t>441811508005</t>
  </si>
  <si>
    <t>KRTS-APWN26-GETKRTSFUT612, OFF WHITE, XL</t>
  </si>
  <si>
    <t>SAEX</t>
  </si>
  <si>
    <t>5114202422</t>
  </si>
  <si>
    <t>S0EU</t>
  </si>
  <si>
    <t>5114202420</t>
  </si>
  <si>
    <t>5114202196</t>
  </si>
  <si>
    <t>30.04.2026</t>
  </si>
  <si>
    <t>8909284284156</t>
  </si>
  <si>
    <t>441811108001</t>
  </si>
  <si>
    <t>KRTS-APWN26-GETKRTSFUT6210, GOLD, 2XL</t>
  </si>
  <si>
    <t>8909284284163</t>
  </si>
  <si>
    <t>441811108002</t>
  </si>
  <si>
    <t>KRTS-APWN26-GETKRTSFUT6210, GOLD, L</t>
  </si>
  <si>
    <t>8909284284170</t>
  </si>
  <si>
    <t>441811108003</t>
  </si>
  <si>
    <t>KRTS-APWN26-GETKRTSFUT6210, GOLD, M</t>
  </si>
  <si>
    <t>8909284284187</t>
  </si>
  <si>
    <t>441811108004</t>
  </si>
  <si>
    <t>KRTS-APWN26-GETKRTSFUT6210, GOLD, S</t>
  </si>
  <si>
    <t>8909284284194</t>
  </si>
  <si>
    <t>441811108005</t>
  </si>
  <si>
    <t>KRTS-APWN26-GETKRTSFUT6210, GOLD, XL</t>
  </si>
  <si>
    <t>5114202195</t>
  </si>
  <si>
    <t>08.08.2026</t>
  </si>
  <si>
    <t>8909284284101</t>
  </si>
  <si>
    <t>441811107001</t>
  </si>
  <si>
    <t>KRTS-APWN26-GETKRTSFUT6205, GREEN, 2XL</t>
  </si>
  <si>
    <t>8909284284118</t>
  </si>
  <si>
    <t>441811107002</t>
  </si>
  <si>
    <t>KRTS-APWN26-GETKRTSFUT6205, GREEN, L</t>
  </si>
  <si>
    <t>8909284284125</t>
  </si>
  <si>
    <t>441811107003</t>
  </si>
  <si>
    <t>KRTS-APWN26-GETKRTSFUT6205, GREEN, M</t>
  </si>
  <si>
    <t>8909284284132</t>
  </si>
  <si>
    <t>441811107004</t>
  </si>
  <si>
    <t>KRTS-APWN26-GETKRTSFUT6205, GREEN, S</t>
  </si>
  <si>
    <t>8909284284149</t>
  </si>
  <si>
    <t>441811107005</t>
  </si>
  <si>
    <t>KRTS-APWN26-GETKRTSFUT6205, GREEN, XL</t>
  </si>
  <si>
    <t>5114202194</t>
  </si>
  <si>
    <t>28.07.2026</t>
  </si>
  <si>
    <t>8909284284057</t>
  </si>
  <si>
    <t>441811106001</t>
  </si>
  <si>
    <t>KRTS-APWN26-GETKRTSFUT6204, GREEN, 2XL</t>
  </si>
  <si>
    <t>8909284284064</t>
  </si>
  <si>
    <t>441811106002</t>
  </si>
  <si>
    <t>KRTS-APWN26-GETKRTSFUT6204, GREEN, L</t>
  </si>
  <si>
    <t>8909284284071</t>
  </si>
  <si>
    <t>441811106003</t>
  </si>
  <si>
    <t>KRTS-APWN26-GETKRTSFUT6204, GREEN, M</t>
  </si>
  <si>
    <t>8909284284088</t>
  </si>
  <si>
    <t>441811106004</t>
  </si>
  <si>
    <t>KRTS-APWN26-GETKRTSFUT6204, GREEN, S</t>
  </si>
  <si>
    <t>8909284284095</t>
  </si>
  <si>
    <t>441811106005</t>
  </si>
  <si>
    <t>KRTS-APWN26-GETKRTSFUT6204, GREEN, XL</t>
  </si>
  <si>
    <t>5114202192</t>
  </si>
  <si>
    <t>13.08.2026</t>
  </si>
  <si>
    <t>8909284284002</t>
  </si>
  <si>
    <t>441811105001</t>
  </si>
  <si>
    <t>KRTS-APWN26-GETKRTSFUT6203, BLACK, 2XL</t>
  </si>
  <si>
    <t>8909284284019</t>
  </si>
  <si>
    <t>441811105002</t>
  </si>
  <si>
    <t>KRTS-APWN26-GETKRTSFUT6203, BLACK, L</t>
  </si>
  <si>
    <t>8909284284026</t>
  </si>
  <si>
    <t>441811105003</t>
  </si>
  <si>
    <t>KRTS-APWN26-GETKRTSFUT6203, BLACK, M</t>
  </si>
  <si>
    <t>8909284284033</t>
  </si>
  <si>
    <t>441811105004</t>
  </si>
  <si>
    <t>KRTS-APWN26-GETKRTSFUT6203, BLACK, S</t>
  </si>
  <si>
    <t>8909284284040</t>
  </si>
  <si>
    <t>441811105005</t>
  </si>
  <si>
    <t>KRTS-APWN26-GETKRTSFUT6203, BLACK, XL</t>
  </si>
  <si>
    <t>5114202191</t>
  </si>
  <si>
    <t>5114202190</t>
  </si>
  <si>
    <t>5114202189</t>
  </si>
  <si>
    <t>8909284283951</t>
  </si>
  <si>
    <t>441811104001</t>
  </si>
  <si>
    <t>KRTS-APWN26-GETKRTSFUT6202, NAVY, 2XL</t>
  </si>
  <si>
    <t>8909284283968</t>
  </si>
  <si>
    <t>441811104002</t>
  </si>
  <si>
    <t>KRTS-APWN26-GETKRTSFUT6202, NAVY, L</t>
  </si>
  <si>
    <t>8909284283975</t>
  </si>
  <si>
    <t>441811104003</t>
  </si>
  <si>
    <t>KRTS-APWN26-GETKRTSFUT6202, NAVY, M</t>
  </si>
  <si>
    <t>8909284283982</t>
  </si>
  <si>
    <t>441811104004</t>
  </si>
  <si>
    <t>KRTS-APWN26-GETKRTSFUT6202, NAVY, S</t>
  </si>
  <si>
    <t>8909284283999</t>
  </si>
  <si>
    <t>441811104005</t>
  </si>
  <si>
    <t>KRTS-APWN26-GETKRTSFUT6202, NAVY, XL</t>
  </si>
  <si>
    <t>5114202187</t>
  </si>
  <si>
    <t>5114202186</t>
  </si>
  <si>
    <t>5114202185</t>
  </si>
  <si>
    <t>5114202184</t>
  </si>
  <si>
    <t>5114202183</t>
  </si>
  <si>
    <t>8909284283906</t>
  </si>
  <si>
    <t>441811103001</t>
  </si>
  <si>
    <t>8909284283913</t>
  </si>
  <si>
    <t>441811103002</t>
  </si>
  <si>
    <t>KRTS-APWN26-GETKRTSFUT6126, OFF WHITE, L</t>
  </si>
  <si>
    <t>8909284283920</t>
  </si>
  <si>
    <t>441811103003</t>
  </si>
  <si>
    <t>KRTS-APWN26-GETKRTSFUT6126, OFF WHITE, M</t>
  </si>
  <si>
    <t>8909284283937</t>
  </si>
  <si>
    <t>441811103004</t>
  </si>
  <si>
    <t>KRTS-APWN26-GETKRTSFUT6126, OFF WHITE, S</t>
  </si>
  <si>
    <t>8909284283944</t>
  </si>
  <si>
    <t>441811103005</t>
  </si>
  <si>
    <t>5114202182</t>
  </si>
  <si>
    <t>5114202181</t>
  </si>
  <si>
    <t>5114202180</t>
  </si>
  <si>
    <t>8909284283890</t>
  </si>
  <si>
    <t>441811102005</t>
  </si>
  <si>
    <t>KRTS-APWN26-GETKRTSFUT6105, MUSTARD, XL</t>
  </si>
  <si>
    <t>5114202178</t>
  </si>
  <si>
    <t>8909284283807</t>
  </si>
  <si>
    <t>441811101001</t>
  </si>
  <si>
    <t>KRTS-APWN26-GETKRTSFUT6, LIME GREEN, 2XL</t>
  </si>
  <si>
    <t>8909284283814</t>
  </si>
  <si>
    <t>441811101002</t>
  </si>
  <si>
    <t>KRTS-APWN26-GETKRTSFUT610, LIME GREEN, L</t>
  </si>
  <si>
    <t>8909284283821</t>
  </si>
  <si>
    <t>441811101003</t>
  </si>
  <si>
    <t>KRTS-APWN26-GETKRTSFUT610, LIME GREEN, M</t>
  </si>
  <si>
    <t>8909284283838</t>
  </si>
  <si>
    <t>441811101004</t>
  </si>
  <si>
    <t>KRTS-APWN26-GETKRTSFUT610, LIME GREEN, S</t>
  </si>
  <si>
    <t>8909284283845</t>
  </si>
  <si>
    <t>441811101005</t>
  </si>
  <si>
    <t>KRTS-APWN26-GETKRTSFUT61, LIME GREEN, XL</t>
  </si>
  <si>
    <t>18.07.2026</t>
  </si>
  <si>
    <t>5114202176</t>
  </si>
  <si>
    <t>5114202175</t>
  </si>
  <si>
    <t>02.08.2026</t>
  </si>
  <si>
    <t>8909284283708</t>
  </si>
  <si>
    <t>441811099001</t>
  </si>
  <si>
    <t>KRTS-APWN26-GETKRTSFUT6100, MUSTARD, 2XL</t>
  </si>
  <si>
    <t>8909284283715</t>
  </si>
  <si>
    <t>441811099002</t>
  </si>
  <si>
    <t>KRTS-APWN26-GETKRTSFUT6100, MUSTARD, L</t>
  </si>
  <si>
    <t>8909284283722</t>
  </si>
  <si>
    <t>441811099003</t>
  </si>
  <si>
    <t>KRTS-APWN26-GETKRTSFUT6100, MUSTARD, M</t>
  </si>
  <si>
    <t>8909284283739</t>
  </si>
  <si>
    <t>441811099004</t>
  </si>
  <si>
    <t>KRTS-APWN26-GETKRTSFUT6100, MUSTARD, S</t>
  </si>
  <si>
    <t>8909284283746</t>
  </si>
  <si>
    <t>441811099005</t>
  </si>
  <si>
    <t>KRTS-APWN26-GETKRTSFUT6100, MUSTARD, XL</t>
  </si>
  <si>
    <t>5114202174</t>
  </si>
  <si>
    <t>5114202173</t>
  </si>
  <si>
    <t>8909284283661</t>
  </si>
  <si>
    <t>441811098007</t>
  </si>
  <si>
    <t>KRTS-APWN26-GETKRTSFUT6098, MUSTARD, L</t>
  </si>
  <si>
    <t>8909284283678</t>
  </si>
  <si>
    <t>441811098008</t>
  </si>
  <si>
    <t>KRTS-APWN26-GETKRTSFUT6098, MUSTARD, M</t>
  </si>
  <si>
    <t>8909284283685</t>
  </si>
  <si>
    <t>441811098009</t>
  </si>
  <si>
    <t>KRTS-APWN26-GETKRTSFUT6098, MUSTARD, S</t>
  </si>
  <si>
    <t>8909284283692</t>
  </si>
  <si>
    <t>441811098010</t>
  </si>
  <si>
    <t>KRTS-APWN26-GETKRTSFUT6098, MUSTARD, XL</t>
  </si>
  <si>
    <t>5114202171</t>
  </si>
  <si>
    <t>8909284283609</t>
  </si>
  <si>
    <t>441811098001</t>
  </si>
  <si>
    <t>KRTS-APWN26-GETKRTSFUT6098, MAROON, 2XL</t>
  </si>
  <si>
    <t>8909284283616</t>
  </si>
  <si>
    <t>441811098002</t>
  </si>
  <si>
    <t>KRTS-APWN26-GETKRTSFUT6098, MAROON, L</t>
  </si>
  <si>
    <t>8909284283623</t>
  </si>
  <si>
    <t>441811098003</t>
  </si>
  <si>
    <t>KRTS-APWN26-GETKRTSFUT6098, MAROON, M</t>
  </si>
  <si>
    <t>8909284283630</t>
  </si>
  <si>
    <t>441811098004</t>
  </si>
  <si>
    <t>KRTS-APWN26-GETKRTSFUT6098, MAROON, S</t>
  </si>
  <si>
    <t>8909284283647</t>
  </si>
  <si>
    <t>441811098005</t>
  </si>
  <si>
    <t>KRTS-APWN26-GETKRTSFUT6098, MAROON, XL</t>
  </si>
  <si>
    <t>5114202169</t>
  </si>
  <si>
    <t>5114202168</t>
  </si>
  <si>
    <t>5114202167</t>
  </si>
  <si>
    <t>5114202165</t>
  </si>
  <si>
    <t>5114202164</t>
  </si>
  <si>
    <t>5114202163</t>
  </si>
  <si>
    <t>5114202162</t>
  </si>
  <si>
    <t>5114202161</t>
  </si>
  <si>
    <t>8909284283555</t>
  </si>
  <si>
    <t>441811097001</t>
  </si>
  <si>
    <t>KRTS-APWN26-GETKRTSFUT6089, PINK, 2XL</t>
  </si>
  <si>
    <t>8909284283562</t>
  </si>
  <si>
    <t>441811097002</t>
  </si>
  <si>
    <t>KRTS-APWN26-GETKRTSFUT6089, PINK, L</t>
  </si>
  <si>
    <t>8909284283579</t>
  </si>
  <si>
    <t>441811097003</t>
  </si>
  <si>
    <t>KRTS-APWN26-GETKRTSFUT6089, PINK, M</t>
  </si>
  <si>
    <t>8909284283586</t>
  </si>
  <si>
    <t>441811097004</t>
  </si>
  <si>
    <t>KRTS-APWN26-GETKRTSFUT6089, PINK, S</t>
  </si>
  <si>
    <t>8909284283593</t>
  </si>
  <si>
    <t>441811097005</t>
  </si>
  <si>
    <t>KRTS-APWN26-GETKRTSFUT6089, PINK, XL</t>
  </si>
  <si>
    <t>5114202160</t>
  </si>
  <si>
    <t>8909284283500</t>
  </si>
  <si>
    <t>441811096001</t>
  </si>
  <si>
    <t>KRTS-APWN26-GETKRTSFUT6087, CORAL, 2XL</t>
  </si>
  <si>
    <t>8909284283517</t>
  </si>
  <si>
    <t>441811096002</t>
  </si>
  <si>
    <t>KRTS-APWN26-GETKRTSFUT6087, CORAL, L</t>
  </si>
  <si>
    <t>8909284283524</t>
  </si>
  <si>
    <t>441811096003</t>
  </si>
  <si>
    <t>KRTS-APWN26-GETKRTSFUT6087, CORAL, M</t>
  </si>
  <si>
    <t>8909284283531</t>
  </si>
  <si>
    <t>441811096004</t>
  </si>
  <si>
    <t>KRTS-APWN26-GETKRTSFUT6087, CORAL, S</t>
  </si>
  <si>
    <t>8909284283548</t>
  </si>
  <si>
    <t>441811096005</t>
  </si>
  <si>
    <t>KRTS-APWN26-GETKRTSFUT6087, CORAL, XL</t>
  </si>
  <si>
    <t>5114202159</t>
  </si>
  <si>
    <t>8909284283463</t>
  </si>
  <si>
    <t>441811095002</t>
  </si>
  <si>
    <t>KRTS-APWN26-GETKRTSFUT6012, MAROON, L</t>
  </si>
  <si>
    <t>8909284283470</t>
  </si>
  <si>
    <t>441811095003</t>
  </si>
  <si>
    <t>KRTS-APWN26-GETKRTSFUT6012, MAROON, M</t>
  </si>
  <si>
    <t>8909284283487</t>
  </si>
  <si>
    <t>441811095004</t>
  </si>
  <si>
    <t>KRTS-APWN26-GETKRTSFUT6012, MAROON, S</t>
  </si>
  <si>
    <t>8909284283494</t>
  </si>
  <si>
    <t>441811095005</t>
  </si>
  <si>
    <t>KRTS-APWN26-GETKRTSFUT6012, MAROON, XL</t>
  </si>
  <si>
    <t>5114202158</t>
  </si>
  <si>
    <t>5114202157</t>
  </si>
  <si>
    <t>17.08.2026</t>
  </si>
  <si>
    <t>8909284283401</t>
  </si>
  <si>
    <t>441811094006</t>
  </si>
  <si>
    <t>KRTS-APWN26-GETKRTSFUT6002, MUSTARD, 2XL</t>
  </si>
  <si>
    <t>8909284283418</t>
  </si>
  <si>
    <t>441811094007</t>
  </si>
  <si>
    <t>KRTS-APWN26-GETKRTSFUT6002, MUSTARD, L</t>
  </si>
  <si>
    <t>8909284283425</t>
  </si>
  <si>
    <t>441811094008</t>
  </si>
  <si>
    <t>KRTS-APWN26-GETKRTSFUT6002, MUSTARD, M</t>
  </si>
  <si>
    <t>8909284283432</t>
  </si>
  <si>
    <t>441811094009</t>
  </si>
  <si>
    <t>KRTS-APWN26-GETKRTSFUT6002, MUSTARD, S</t>
  </si>
  <si>
    <t>8909284283449</t>
  </si>
  <si>
    <t>441811094010</t>
  </si>
  <si>
    <t>KRTS-APWN26-GETKRTSFUT6002, MUSTARD, XL</t>
  </si>
  <si>
    <t>5114202156</t>
  </si>
  <si>
    <t>8909284283357</t>
  </si>
  <si>
    <t>441811094001</t>
  </si>
  <si>
    <t>KRTS-APWN26-GETKRTSFUT6002, MAROON, 2XL</t>
  </si>
  <si>
    <t>8909284283364</t>
  </si>
  <si>
    <t>441811094002</t>
  </si>
  <si>
    <t>KRTS-APWN26-GETKRTSFUT6002, MAROON, L</t>
  </si>
  <si>
    <t>8909284283371</t>
  </si>
  <si>
    <t>441811094003</t>
  </si>
  <si>
    <t>KRTS-APWN26-GETKRTSFUT6002, MAROON, M</t>
  </si>
  <si>
    <t>8909284283388</t>
  </si>
  <si>
    <t>441811094004</t>
  </si>
  <si>
    <t>KRTS-APWN26-GETKRTSFUT6002, MAROON, S</t>
  </si>
  <si>
    <t>8909284283395</t>
  </si>
  <si>
    <t>441811094005</t>
  </si>
  <si>
    <t>KRTS-APWN26-GETKRTSFUT6002, MAROON, XL</t>
  </si>
  <si>
    <t>5114202155</t>
  </si>
  <si>
    <t>5114202154</t>
  </si>
  <si>
    <t>5114202152</t>
  </si>
  <si>
    <t>5114202151</t>
  </si>
  <si>
    <t>5114202150</t>
  </si>
  <si>
    <t>5114202149</t>
  </si>
  <si>
    <t>5114202148</t>
  </si>
  <si>
    <t>5114202146</t>
  </si>
  <si>
    <t>5114202145</t>
  </si>
  <si>
    <t>5114202090</t>
  </si>
  <si>
    <t>8909284220765</t>
  </si>
  <si>
    <t>441811011001</t>
  </si>
  <si>
    <t>SKD-APWN26-GETCRDSFUT6206, TEAL, 2XL</t>
  </si>
  <si>
    <t>8909284220772</t>
  </si>
  <si>
    <t>441811011002</t>
  </si>
  <si>
    <t>SKD-APWN26-GETCRDSFUT6206, TEAL, L</t>
  </si>
  <si>
    <t>8909284220789</t>
  </si>
  <si>
    <t>441811011003</t>
  </si>
  <si>
    <t>SKD-APWN26-GETCRDSFUT6206, TEAL, M</t>
  </si>
  <si>
    <t>8909284220796</t>
  </si>
  <si>
    <t>441811011004</t>
  </si>
  <si>
    <t>SKD-APWN26-GETCRDSFUT6206, TEAL, S</t>
  </si>
  <si>
    <t>8909284220802</t>
  </si>
  <si>
    <t>441811011005</t>
  </si>
  <si>
    <t>SKD-APWN26-GETCRDSFUT6206, TEAL, XL</t>
  </si>
  <si>
    <t>5114202088</t>
  </si>
  <si>
    <t>8909284220666</t>
  </si>
  <si>
    <t>441811009001</t>
  </si>
  <si>
    <t>SKD-APWN26-GETCRDSFUT60, LIME GREEN, 2XL</t>
  </si>
  <si>
    <t>8909284220673</t>
  </si>
  <si>
    <t>441811009002</t>
  </si>
  <si>
    <t>SKD-APWN26-GETCRDSFUT6099, LIME GREEN, L</t>
  </si>
  <si>
    <t>8909284220680</t>
  </si>
  <si>
    <t>441811009003</t>
  </si>
  <si>
    <t>SKD-APWN26-GETCRDSFUT6099, LIME GREEN, M</t>
  </si>
  <si>
    <t>8909284220697</t>
  </si>
  <si>
    <t>441811009004</t>
  </si>
  <si>
    <t>SKD-APWN26-GETCRDSFUT6099, LIME GREEN, S</t>
  </si>
  <si>
    <t>8909284220703</t>
  </si>
  <si>
    <t>441811009005</t>
  </si>
  <si>
    <t>SKD-APWN26-GETCRDSFUT609, LIME GREEN, XL</t>
  </si>
  <si>
    <t>5114202085</t>
  </si>
  <si>
    <t>5114202082</t>
  </si>
  <si>
    <t>5114202079</t>
  </si>
  <si>
    <t>5114202077</t>
  </si>
  <si>
    <t>22.04.2026</t>
  </si>
  <si>
    <t>05.08.2026</t>
  </si>
  <si>
    <t>15.07.2026</t>
  </si>
  <si>
    <t>14.08.2026</t>
  </si>
  <si>
    <t>8909284284750</t>
  </si>
  <si>
    <t>494520298</t>
  </si>
  <si>
    <t>441811011TEAL(RP)</t>
  </si>
  <si>
    <t>5114077220</t>
  </si>
  <si>
    <t>8909284309972</t>
  </si>
  <si>
    <t>494520740</t>
  </si>
  <si>
    <t>441811094MUSTARD(RP)</t>
  </si>
  <si>
    <t>8909284310381</t>
  </si>
  <si>
    <t>494520781</t>
  </si>
  <si>
    <t>441811101LIME GREEN(RP)</t>
  </si>
  <si>
    <t>8909284310657</t>
  </si>
  <si>
    <t>494520808</t>
  </si>
  <si>
    <t>441811107GREEN(RP)</t>
  </si>
  <si>
    <t>5114077216</t>
  </si>
  <si>
    <t>8909284310503</t>
  </si>
  <si>
    <t>494520793</t>
  </si>
  <si>
    <t>441811104NAVY(RP)</t>
  </si>
  <si>
    <t>8909284309903</t>
  </si>
  <si>
    <t>494520733</t>
  </si>
  <si>
    <t>441811094MAROON(RP)</t>
  </si>
  <si>
    <t>5114077212</t>
  </si>
  <si>
    <t>5114077211</t>
  </si>
  <si>
    <t>5114077210</t>
  </si>
  <si>
    <t>5114076814</t>
  </si>
  <si>
    <t>5114076813</t>
  </si>
  <si>
    <t>5114076809</t>
  </si>
  <si>
    <t>5114076802</t>
  </si>
  <si>
    <t>5113994068</t>
  </si>
  <si>
    <t>16.04.2026</t>
  </si>
  <si>
    <t>10.08.2026</t>
  </si>
  <si>
    <t>8909284310558</t>
  </si>
  <si>
    <t>494520798</t>
  </si>
  <si>
    <t>441811105BLACK(RP)</t>
  </si>
  <si>
    <t>5113994065</t>
  </si>
  <si>
    <t>8909284310251</t>
  </si>
  <si>
    <t>494520768</t>
  </si>
  <si>
    <t>441811099MUSTARD(RP)</t>
  </si>
  <si>
    <t>25.07.2026</t>
  </si>
  <si>
    <t>8909284310640</t>
  </si>
  <si>
    <t>494520807</t>
  </si>
  <si>
    <t>441811106GREEN(RP)</t>
  </si>
  <si>
    <t>8909284310053</t>
  </si>
  <si>
    <t>494520748</t>
  </si>
  <si>
    <t>441811096CORAL(RP)</t>
  </si>
  <si>
    <t>5113994061</t>
  </si>
  <si>
    <t>20.07.2026</t>
  </si>
  <si>
    <t>8909490140475</t>
  </si>
  <si>
    <t>494525030</t>
  </si>
  <si>
    <t>441811508OFF WHITE(RP)</t>
  </si>
  <si>
    <t>8909284310404</t>
  </si>
  <si>
    <t>494520783</t>
  </si>
  <si>
    <t>441811102MUSTARD(RP)</t>
  </si>
  <si>
    <t>8909284310725</t>
  </si>
  <si>
    <t>494520815</t>
  </si>
  <si>
    <t>441811108GOLD(RP)</t>
  </si>
  <si>
    <t>5113994045</t>
  </si>
  <si>
    <t>5113994043</t>
  </si>
  <si>
    <t>5113994042</t>
  </si>
  <si>
    <t>5113994027</t>
  </si>
  <si>
    <t>5113994026</t>
  </si>
  <si>
    <t>5113994023</t>
  </si>
  <si>
    <t>6</t>
  </si>
  <si>
    <t>30.05.2026</t>
  </si>
  <si>
    <t>06.01.2026</t>
  </si>
  <si>
    <t>5112678615</t>
  </si>
  <si>
    <t>8909284193069</t>
  </si>
  <si>
    <t>441853990002</t>
  </si>
  <si>
    <t>KRTS-APSU26-YETKRTSCUT5009, BLACK, M</t>
  </si>
  <si>
    <t>8909284193052</t>
  </si>
  <si>
    <t>441853990003</t>
  </si>
  <si>
    <t>KRTS-APSU26-YETKRTSCUT5009, BLACK, L</t>
  </si>
  <si>
    <t>8909284193045</t>
  </si>
  <si>
    <t>441853990004</t>
  </si>
  <si>
    <t>KRTS-APSU26-YETKRTSCUT5009, BLACK, XL</t>
  </si>
  <si>
    <t>SKU</t>
  </si>
  <si>
    <t>Colour</t>
  </si>
  <si>
    <t>Invoice No.</t>
  </si>
  <si>
    <t>RR PO No.</t>
  </si>
  <si>
    <t>Invoice Date</t>
  </si>
  <si>
    <t>Delivery Date</t>
  </si>
  <si>
    <t>RR PO Line No.</t>
  </si>
  <si>
    <t>SKU Code</t>
  </si>
  <si>
    <t>EAN/UPC Code</t>
  </si>
  <si>
    <t>HSN/SAC Code</t>
  </si>
  <si>
    <t>RR SKU Code</t>
  </si>
  <si>
    <t>Vendor_Batch</t>
  </si>
  <si>
    <t>Qty in Base UOM</t>
  </si>
  <si>
    <t>RR Internal No.</t>
  </si>
  <si>
    <t>Mfg/Pkd Date</t>
  </si>
  <si>
    <t>Expiry/BBD Date</t>
  </si>
  <si>
    <t>MRP per Piece</t>
  </si>
  <si>
    <t>Base Amt</t>
  </si>
  <si>
    <t>Tax Amt</t>
  </si>
  <si>
    <t>Landed Cost</t>
  </si>
  <si>
    <t>No. of Packages</t>
  </si>
  <si>
    <t>Free SKU Flag</t>
  </si>
  <si>
    <t>Invoice Line No.</t>
  </si>
  <si>
    <t>PO Open Qty</t>
  </si>
  <si>
    <t>SKU Description</t>
  </si>
  <si>
    <t>DC Code</t>
  </si>
  <si>
    <t>DC Name</t>
  </si>
  <si>
    <t/>
  </si>
  <si>
    <t>297</t>
  </si>
  <si>
    <t>RRL VF-Bangalore Soukya Road A</t>
  </si>
  <si>
    <t>316</t>
  </si>
  <si>
    <t>167</t>
  </si>
  <si>
    <t>RRL VF APPAREL DC HR Jhajjar</t>
  </si>
  <si>
    <t>177</t>
  </si>
  <si>
    <t>176</t>
  </si>
  <si>
    <t>RRL VF WB Serampore Apparel DC</t>
  </si>
  <si>
    <t>187</t>
  </si>
  <si>
    <t>GETKRTSFUT6125</t>
  </si>
  <si>
    <t>30</t>
  </si>
  <si>
    <t>257</t>
  </si>
  <si>
    <t>217</t>
  </si>
  <si>
    <t>156</t>
  </si>
  <si>
    <t>132</t>
  </si>
  <si>
    <t>186</t>
  </si>
  <si>
    <t>157</t>
  </si>
  <si>
    <t>GETKRTSFUT6210</t>
  </si>
  <si>
    <t>GETKRTSFUT6205</t>
  </si>
  <si>
    <t>GETKRTSFUT6204</t>
  </si>
  <si>
    <t>GETKRTSFUT6203</t>
  </si>
  <si>
    <t>GETKRTSFUT6202</t>
  </si>
  <si>
    <t>114</t>
  </si>
  <si>
    <t>GETKRTSFUT6126</t>
  </si>
  <si>
    <t>GETKRTSFUT6105</t>
  </si>
  <si>
    <t>GETKRTSFUT6103</t>
  </si>
  <si>
    <t>197</t>
  </si>
  <si>
    <t>GETKRTSFUT6100</t>
  </si>
  <si>
    <t>GETKRTSFUT6098</t>
  </si>
  <si>
    <t>100</t>
  </si>
  <si>
    <t>120</t>
  </si>
  <si>
    <t>GETKRTSFUT6089</t>
  </si>
  <si>
    <t>GETKRTSFUT6087</t>
  </si>
  <si>
    <t>GETKRTSFUT6012</t>
  </si>
  <si>
    <t>GETKRTSFUT6002</t>
  </si>
  <si>
    <t>36</t>
  </si>
  <si>
    <t>GETCRDSFUT6206</t>
  </si>
  <si>
    <t>GETCRDSFUT6099</t>
  </si>
  <si>
    <t>32</t>
  </si>
  <si>
    <t>45</t>
  </si>
  <si>
    <t>28</t>
  </si>
  <si>
    <t>39</t>
  </si>
  <si>
    <t>222</t>
  </si>
  <si>
    <t>25</t>
  </si>
  <si>
    <t>42</t>
  </si>
  <si>
    <t>10</t>
  </si>
  <si>
    <t>0</t>
  </si>
  <si>
    <t>292</t>
  </si>
  <si>
    <t>56</t>
  </si>
  <si>
    <t>126</t>
  </si>
  <si>
    <t>81</t>
  </si>
  <si>
    <t>8</t>
  </si>
  <si>
    <t>17</t>
  </si>
  <si>
    <t>14</t>
  </si>
  <si>
    <t>13</t>
  </si>
  <si>
    <t>38</t>
  </si>
  <si>
    <t>66</t>
  </si>
  <si>
    <t>89</t>
  </si>
  <si>
    <t>33</t>
  </si>
  <si>
    <t>23</t>
  </si>
  <si>
    <t>26</t>
  </si>
  <si>
    <t>12</t>
  </si>
  <si>
    <t>24</t>
  </si>
  <si>
    <t>15</t>
  </si>
  <si>
    <t>YETKRTSCUT5009</t>
  </si>
  <si>
    <t>7</t>
  </si>
  <si>
    <t>49</t>
  </si>
  <si>
    <t>9</t>
  </si>
  <si>
    <t>20</t>
  </si>
  <si>
    <t>16</t>
  </si>
  <si>
    <t>76</t>
  </si>
  <si>
    <t>55</t>
  </si>
  <si>
    <t>35</t>
  </si>
  <si>
    <t>21</t>
  </si>
  <si>
    <t>53</t>
  </si>
  <si>
    <t>19</t>
  </si>
  <si>
    <t>22</t>
  </si>
  <si>
    <t>11</t>
  </si>
  <si>
    <t>101</t>
  </si>
  <si>
    <t>57</t>
  </si>
  <si>
    <t>58</t>
  </si>
  <si>
    <t>location</t>
  </si>
  <si>
    <t>RP DESCRPTION</t>
  </si>
  <si>
    <t>02.06.2026</t>
  </si>
  <si>
    <t>01.09.2026</t>
  </si>
  <si>
    <t>5114611719</t>
  </si>
  <si>
    <t>8909490246658</t>
  </si>
  <si>
    <t>441812262001</t>
  </si>
  <si>
    <t>KRTS-APWN26-GETKRTSFUT6106, BEIGE, 2XL</t>
  </si>
  <si>
    <t>8909490246665</t>
  </si>
  <si>
    <t>441812262002</t>
  </si>
  <si>
    <t>KRTS-APWN26-GETKRTSFUT6106, BEIGE, L</t>
  </si>
  <si>
    <t>8909490246672</t>
  </si>
  <si>
    <t>441812262003</t>
  </si>
  <si>
    <t>KRTS-APWN26-GETKRTSFUT6106, BEIGE, M</t>
  </si>
  <si>
    <t>8909490246689</t>
  </si>
  <si>
    <t>441812262004</t>
  </si>
  <si>
    <t>KRTS-APWN26-GETKRTSFUT6106, BEIGE, S</t>
  </si>
  <si>
    <t>8909490246696</t>
  </si>
  <si>
    <t>441812262005</t>
  </si>
  <si>
    <t>KRTS-APWN26-GETKRTSFUT6106, BEIGE, XL</t>
  </si>
  <si>
    <t>5114611713</t>
  </si>
  <si>
    <t>5114611707</t>
  </si>
  <si>
    <t>18</t>
  </si>
  <si>
    <t>27</t>
  </si>
  <si>
    <t>37</t>
  </si>
  <si>
    <t>GETKRTSFUT6106</t>
  </si>
  <si>
    <t>331</t>
  </si>
  <si>
    <t>441853990017</t>
  </si>
  <si>
    <t>KRTS-APSU26-YETKRTSCUT500, LT. YELLOW, M</t>
  </si>
  <si>
    <t>441853990</t>
  </si>
  <si>
    <t>DC</t>
  </si>
  <si>
    <t>LT. YELLOW</t>
  </si>
  <si>
    <t>Bangalore</t>
  </si>
  <si>
    <t>441853990018</t>
  </si>
  <si>
    <t>KRTS-APSU26-YETKRTSCUT500, LT. YELLOW, L</t>
  </si>
  <si>
    <t>441853990020</t>
  </si>
  <si>
    <t>KRTS-APSU26-YETKRTSCUT500, LT. YELLOW, XXL</t>
  </si>
  <si>
    <t>5114897150</t>
  </si>
  <si>
    <t>23.06.2026</t>
  </si>
  <si>
    <t>22.08.2026</t>
  </si>
  <si>
    <t>5115513594</t>
  </si>
  <si>
    <t>GETKRTSFUT6451</t>
  </si>
  <si>
    <t>8909490275917</t>
  </si>
  <si>
    <t>441814970001</t>
  </si>
  <si>
    <t>64</t>
  </si>
  <si>
    <t>KRTS-APWN26-GETKRTSFUT645, LIME GREEN, S</t>
  </si>
  <si>
    <t>8909490275924</t>
  </si>
  <si>
    <t>441814970002</t>
  </si>
  <si>
    <t>273</t>
  </si>
  <si>
    <t>KRTS-APWN26-GETKRTSFUT645, LIME GREEN, M</t>
  </si>
  <si>
    <t>8909490275948</t>
  </si>
  <si>
    <t>441814970003</t>
  </si>
  <si>
    <t>KRTS-APWN26-GETKRTSFUT645, LIME GREEN, L</t>
  </si>
  <si>
    <t>8909490275955</t>
  </si>
  <si>
    <t>441814970004</t>
  </si>
  <si>
    <t>KRTS-APWN26-GETKRTSFUT64, LIME GREEN, XL</t>
  </si>
  <si>
    <t>8909490275962</t>
  </si>
  <si>
    <t>441814970005</t>
  </si>
  <si>
    <t>96</t>
  </si>
  <si>
    <t>5115513593</t>
  </si>
  <si>
    <t>GETKRTSFUT6422</t>
  </si>
  <si>
    <t>8909490275566</t>
  </si>
  <si>
    <t>441814969001</t>
  </si>
  <si>
    <t>KRTS-APWN26-GETKRTSFUT6422, DARK GREY, S</t>
  </si>
  <si>
    <t>8909490275863</t>
  </si>
  <si>
    <t>441814969002</t>
  </si>
  <si>
    <t>KRTS-APWN26-GETKRTSFUT6422, DARK GREY, M</t>
  </si>
  <si>
    <t>8909490275870</t>
  </si>
  <si>
    <t>441814969003</t>
  </si>
  <si>
    <t>KRTS-APWN26-GETKRTSFUT6422, DARK GREY, L</t>
  </si>
  <si>
    <t>8909490275887</t>
  </si>
  <si>
    <t>441814969004</t>
  </si>
  <si>
    <t>KRTS-APWN26-GETKRTSFUT642, DARK GREY, XL</t>
  </si>
  <si>
    <t>8909490275900</t>
  </si>
  <si>
    <t>441814969005</t>
  </si>
  <si>
    <t>KRTS-APWN26-GETKRTSFUT64, DARK GREY, 2XL</t>
  </si>
  <si>
    <t>5115513592</t>
  </si>
  <si>
    <t>GETKRTSFUT6421</t>
  </si>
  <si>
    <t>8909490275511</t>
  </si>
  <si>
    <t>441814968001</t>
  </si>
  <si>
    <t>KRTS-APWN26-GETKRTSFUT6421, DARK GREY, S</t>
  </si>
  <si>
    <t>8909490275528</t>
  </si>
  <si>
    <t>441814968002</t>
  </si>
  <si>
    <t>KRTS-APWN26-GETKRTSFUT6421, DARK GREY, M</t>
  </si>
  <si>
    <t>8909490275535</t>
  </si>
  <si>
    <t>441814968003</t>
  </si>
  <si>
    <t>KRTS-APWN26-GETKRTSFUT6421, DARK GREY, L</t>
  </si>
  <si>
    <t>8909490275542</t>
  </si>
  <si>
    <t>441814968004</t>
  </si>
  <si>
    <t>8909490275559</t>
  </si>
  <si>
    <t>441814968005</t>
  </si>
  <si>
    <t>5115513591</t>
  </si>
  <si>
    <t>GETKRTSFUT6420</t>
  </si>
  <si>
    <t>8909490275450</t>
  </si>
  <si>
    <t>441814967001</t>
  </si>
  <si>
    <t>KRTS-APWN26-GETKRTSFUT6420, MINT, S</t>
  </si>
  <si>
    <t>8909490275467</t>
  </si>
  <si>
    <t>441814967002</t>
  </si>
  <si>
    <t>KRTS-APWN26-GETKRTSFUT6420, MINT, M</t>
  </si>
  <si>
    <t>8909490275474</t>
  </si>
  <si>
    <t>441814967003</t>
  </si>
  <si>
    <t>KRTS-APWN26-GETKRTSFUT6420, MINT, L</t>
  </si>
  <si>
    <t>8909490275481</t>
  </si>
  <si>
    <t>441814967004</t>
  </si>
  <si>
    <t>KRTS-APWN26-GETKRTSFUT6420, MINT, XL</t>
  </si>
  <si>
    <t>8909490275504</t>
  </si>
  <si>
    <t>441814967005</t>
  </si>
  <si>
    <t>KRTS-APWN26-GETKRTSFUT6420, MINT, 2XL</t>
  </si>
  <si>
    <t>5115513590</t>
  </si>
  <si>
    <t>GETKRTSFUT6419</t>
  </si>
  <si>
    <t>8909490275399</t>
  </si>
  <si>
    <t>441814966001</t>
  </si>
  <si>
    <t>KRTS-APWN26-GETKRTSFUT6419, LIGHT RED, S</t>
  </si>
  <si>
    <t>8909490275405</t>
  </si>
  <si>
    <t>441814966002</t>
  </si>
  <si>
    <t>KRTS-APWN26-GETKRTSFUT6419, LIGHT RED, M</t>
  </si>
  <si>
    <t>8909490275429</t>
  </si>
  <si>
    <t>441814966003</t>
  </si>
  <si>
    <t>KRTS-APWN26-GETKRTSFUT6419, LIGHT RED, L</t>
  </si>
  <si>
    <t>8909490275436</t>
  </si>
  <si>
    <t>441814966004</t>
  </si>
  <si>
    <t>KRTS-APWN26-GETKRTSFUT641, LIGHT RED, XL</t>
  </si>
  <si>
    <t>8909490275443</t>
  </si>
  <si>
    <t>441814966005</t>
  </si>
  <si>
    <t>KRTS-APWN26-GETKRTSFUT64, LIGHT RED, 2XL</t>
  </si>
  <si>
    <t>5115513589</t>
  </si>
  <si>
    <t>178</t>
  </si>
  <si>
    <t>63</t>
  </si>
  <si>
    <t>5115513588</t>
  </si>
  <si>
    <t>GETKRTSFUT6418</t>
  </si>
  <si>
    <t>8909490275344</t>
  </si>
  <si>
    <t>441814965001</t>
  </si>
  <si>
    <t>KRTS-APWN26-GETKRTSFUT6418, TEAL, S</t>
  </si>
  <si>
    <t>8909490275351</t>
  </si>
  <si>
    <t>441814965002</t>
  </si>
  <si>
    <t>KRTS-APWN26-GETKRTSFUT6418, TEAL, M</t>
  </si>
  <si>
    <t>8909490275368</t>
  </si>
  <si>
    <t>441814965003</t>
  </si>
  <si>
    <t>KRTS-APWN26-GETKRTSFUT6418, TEAL, L</t>
  </si>
  <si>
    <t>8909490275375</t>
  </si>
  <si>
    <t>441814965004</t>
  </si>
  <si>
    <t>KRTS-APWN26-GETKRTSFUT6418, TEAL, XL</t>
  </si>
  <si>
    <t>8909490275382</t>
  </si>
  <si>
    <t>441814965005</t>
  </si>
  <si>
    <t>KRTS-APWN26-GETKRTSFUT6418, TEAL, 2XL</t>
  </si>
  <si>
    <t>5115513587</t>
  </si>
  <si>
    <t>5115513586</t>
  </si>
  <si>
    <t>5115513585</t>
  </si>
  <si>
    <t>5115513584</t>
  </si>
  <si>
    <t>127</t>
  </si>
  <si>
    <t>5115513583</t>
  </si>
  <si>
    <t>5115513582</t>
  </si>
  <si>
    <t>5115513581</t>
  </si>
  <si>
    <t>5115513580</t>
  </si>
  <si>
    <t>5115513579</t>
  </si>
  <si>
    <t>5115513578</t>
  </si>
  <si>
    <t>5115513577</t>
  </si>
  <si>
    <t>5115513576</t>
  </si>
  <si>
    <t>GETKRTSFUT6417</t>
  </si>
  <si>
    <t>8909490275283</t>
  </si>
  <si>
    <t>441814964001</t>
  </si>
  <si>
    <t>KRTS-APWN26-GETKRTSFUT6417, MUSTARD, S</t>
  </si>
  <si>
    <t>8909490275290</t>
  </si>
  <si>
    <t>441814964002</t>
  </si>
  <si>
    <t>KRTS-APWN26-GETKRTSFUT6417, MUSTARD, M</t>
  </si>
  <si>
    <t>8909490275306</t>
  </si>
  <si>
    <t>441814964003</t>
  </si>
  <si>
    <t>KRTS-APWN26-GETKRTSFUT6417, MUSTARD, L</t>
  </si>
  <si>
    <t>8909490275313</t>
  </si>
  <si>
    <t>441814964004</t>
  </si>
  <si>
    <t>KRTS-APWN26-GETKRTSFUT6417, MUSTARD, XL</t>
  </si>
  <si>
    <t>8909490275320</t>
  </si>
  <si>
    <t>441814964005</t>
  </si>
  <si>
    <t>KRTS-APWN26-GETKRTSFUT6417, MUSTARD, 2XL</t>
  </si>
  <si>
    <t>5115513575</t>
  </si>
  <si>
    <t>GETKRTSFUT6416</t>
  </si>
  <si>
    <t>8909490275221</t>
  </si>
  <si>
    <t>441814963001</t>
  </si>
  <si>
    <t>KRTS-APWN26-GETKRTSFUT6416, Mauve, S</t>
  </si>
  <si>
    <t>8909490275238</t>
  </si>
  <si>
    <t>441814963002</t>
  </si>
  <si>
    <t>KRTS-APWN26-GETKRTSFUT6416, Mauve, M</t>
  </si>
  <si>
    <t>8909490275245</t>
  </si>
  <si>
    <t>441814963003</t>
  </si>
  <si>
    <t>KRTS-APWN26-GETKRTSFUT6416, Mauve, L</t>
  </si>
  <si>
    <t>8909490275269</t>
  </si>
  <si>
    <t>441814963004</t>
  </si>
  <si>
    <t>KRTS-APWN26-GETKRTSFUT6416, Mauve, XL</t>
  </si>
  <si>
    <t>8909490275276</t>
  </si>
  <si>
    <t>441814963005</t>
  </si>
  <si>
    <t>KRTS-APWN26-GETKRTSFUT6416, Mauve, 2XL</t>
  </si>
  <si>
    <t>5115513574</t>
  </si>
  <si>
    <t>GETKRTSFUT6415B</t>
  </si>
  <si>
    <t>8909490275160</t>
  </si>
  <si>
    <t>441814962001</t>
  </si>
  <si>
    <t>KRTS-APWN26-GETKRTSFUT6415B, RUST, S</t>
  </si>
  <si>
    <t>8909490275184</t>
  </si>
  <si>
    <t>441814962002</t>
  </si>
  <si>
    <t>KRTS-APWN26-GETKRTSFUT6415B, RUST, M</t>
  </si>
  <si>
    <t>8909490275191</t>
  </si>
  <si>
    <t>441814962003</t>
  </si>
  <si>
    <t>KRTS-APWN26-GETKRTSFUT6415B, RUST, L</t>
  </si>
  <si>
    <t>8909490275207</t>
  </si>
  <si>
    <t>441814962004</t>
  </si>
  <si>
    <t>KRTS-APWN26-GETKRTSFUT6415B, RUST, XL</t>
  </si>
  <si>
    <t>8909490275214</t>
  </si>
  <si>
    <t>441814962005</t>
  </si>
  <si>
    <t>KRTS-APWN26-GETKRTSFUT6415B, RUST, 2XL</t>
  </si>
  <si>
    <t>5115513573</t>
  </si>
  <si>
    <t>GETKRTSFUT6415</t>
  </si>
  <si>
    <t>8909490275108</t>
  </si>
  <si>
    <t>441814961001</t>
  </si>
  <si>
    <t>KRTS-APWN26-GETKRTSFUT6415, NAVY, S</t>
  </si>
  <si>
    <t>8909490275115</t>
  </si>
  <si>
    <t>441814961002</t>
  </si>
  <si>
    <t>KRTS-APWN26-GETKRTSFUT6415, NAVY, M</t>
  </si>
  <si>
    <t>8909490275122</t>
  </si>
  <si>
    <t>441814961003</t>
  </si>
  <si>
    <t>KRTS-APWN26-GETKRTSFUT6415, NAVY, L</t>
  </si>
  <si>
    <t>8909490275146</t>
  </si>
  <si>
    <t>441814961004</t>
  </si>
  <si>
    <t>KRTS-APWN26-GETKRTSFUT6415, NAVY, XL</t>
  </si>
  <si>
    <t>8909490275153</t>
  </si>
  <si>
    <t>441814961005</t>
  </si>
  <si>
    <t>KRTS-APWN26-GETKRTSFUT6415, NAVY, 2XL</t>
  </si>
  <si>
    <t>5115513572</t>
  </si>
  <si>
    <t>5115513571</t>
  </si>
  <si>
    <t>GETKRTSFUT6414</t>
  </si>
  <si>
    <t>8909490275047</t>
  </si>
  <si>
    <t>441814960001</t>
  </si>
  <si>
    <t>KRTS-APWN26-GETKRTSFUT6414, FUCHSIA, S</t>
  </si>
  <si>
    <t>8909490275061</t>
  </si>
  <si>
    <t>441814960002</t>
  </si>
  <si>
    <t>KRTS-APWN26-GETKRTSFUT6414, FUCHSIA, M</t>
  </si>
  <si>
    <t>8909490275078</t>
  </si>
  <si>
    <t>441814960003</t>
  </si>
  <si>
    <t>KRTS-APWN26-GETKRTSFUT6414, FUCHSIA, L</t>
  </si>
  <si>
    <t>8909490275085</t>
  </si>
  <si>
    <t>441814960004</t>
  </si>
  <si>
    <t>KRTS-APWN26-GETKRTSFUT6414, FUCHSIA, XL</t>
  </si>
  <si>
    <t>8909490275092</t>
  </si>
  <si>
    <t>441814960005</t>
  </si>
  <si>
    <t>KRTS-APWN26-GETKRTSFUT6414, FUCHSIA, 2XL</t>
  </si>
  <si>
    <t>5115513570</t>
  </si>
  <si>
    <t>GETKRTSFUT6413</t>
  </si>
  <si>
    <t>8909490274996</t>
  </si>
  <si>
    <t>441814959001</t>
  </si>
  <si>
    <t>KRTS-APWN26-GETKRTSFUT6413, Mauve, S</t>
  </si>
  <si>
    <t>8909490275009</t>
  </si>
  <si>
    <t>441814959002</t>
  </si>
  <si>
    <t>KRTS-APWN26-GETKRTSFUT6413, Mauve, M</t>
  </si>
  <si>
    <t>8909490275016</t>
  </si>
  <si>
    <t>441814959003</t>
  </si>
  <si>
    <t>KRTS-APWN26-GETKRTSFUT6413, Mauve, L</t>
  </si>
  <si>
    <t>8909490275023</t>
  </si>
  <si>
    <t>441814959004</t>
  </si>
  <si>
    <t>KRTS-APWN26-GETKRTSFUT6413, Mauve, XL</t>
  </si>
  <si>
    <t>8909490275030</t>
  </si>
  <si>
    <t>441814959005</t>
  </si>
  <si>
    <t>KRTS-APWN26-GETKRTSFUT6413, Mauve, 2XL</t>
  </si>
  <si>
    <t>5115513569</t>
  </si>
  <si>
    <t>5115513568</t>
  </si>
  <si>
    <t>5115513567</t>
  </si>
  <si>
    <t>5115513566</t>
  </si>
  <si>
    <t>5115513565</t>
  </si>
  <si>
    <t>5115513564</t>
  </si>
  <si>
    <t>5115513563</t>
  </si>
  <si>
    <t>5115513562</t>
  </si>
  <si>
    <t>5115513561</t>
  </si>
  <si>
    <t>5115513560</t>
  </si>
  <si>
    <t>5115513559</t>
  </si>
  <si>
    <t>5115512555</t>
  </si>
  <si>
    <t>8909490298930</t>
  </si>
  <si>
    <t>494549903</t>
  </si>
  <si>
    <t>450</t>
  </si>
  <si>
    <t>441814969DARK GREY(RP)</t>
  </si>
  <si>
    <t>5115512553</t>
  </si>
  <si>
    <t>8909490298916</t>
  </si>
  <si>
    <t>494549893</t>
  </si>
  <si>
    <t>441814967MINT(RP)</t>
  </si>
  <si>
    <t>5115512552</t>
  </si>
  <si>
    <t>8909490298923</t>
  </si>
  <si>
    <t>494549902</t>
  </si>
  <si>
    <t>441814968DARK GREY(RP)</t>
  </si>
  <si>
    <t>5115512551</t>
  </si>
  <si>
    <t>8909490298886</t>
  </si>
  <si>
    <t>494549885</t>
  </si>
  <si>
    <t>441814965TEAL(RP)</t>
  </si>
  <si>
    <t>5115512550</t>
  </si>
  <si>
    <t>8909490298862</t>
  </si>
  <si>
    <t>494549877</t>
  </si>
  <si>
    <t>441814963MAUVE(RP)</t>
  </si>
  <si>
    <t>5115512549</t>
  </si>
  <si>
    <t>8909490298893</t>
  </si>
  <si>
    <t>494549888</t>
  </si>
  <si>
    <t>441814966LIGHT RED(RP)</t>
  </si>
  <si>
    <t>5115512548</t>
  </si>
  <si>
    <t>8909490298879</t>
  </si>
  <si>
    <t>494549878</t>
  </si>
  <si>
    <t>441814964MUSTARD(RP)</t>
  </si>
  <si>
    <t>5115512547</t>
  </si>
  <si>
    <t>8909490276747</t>
  </si>
  <si>
    <t>494549868</t>
  </si>
  <si>
    <t>441814962RUST(RP)</t>
  </si>
  <si>
    <t>5115512546</t>
  </si>
  <si>
    <t>8909490276723</t>
  </si>
  <si>
    <t>494549863</t>
  </si>
  <si>
    <t>441814961NAVY(RP)</t>
  </si>
  <si>
    <t>5115512545</t>
  </si>
  <si>
    <t>8909490276716</t>
  </si>
  <si>
    <t>494549860</t>
  </si>
  <si>
    <t>441814960FUCHSIA(RP)</t>
  </si>
  <si>
    <t>5115512544</t>
  </si>
  <si>
    <t>8909490298947</t>
  </si>
  <si>
    <t>494549910</t>
  </si>
  <si>
    <t>441814970LIME GREEN(RP)</t>
  </si>
  <si>
    <t>5115512543</t>
  </si>
  <si>
    <t>8909284192727</t>
  </si>
  <si>
    <t>494550467</t>
  </si>
  <si>
    <t>531</t>
  </si>
  <si>
    <t>441853990BLACK(RP)</t>
  </si>
  <si>
    <t>5115512542</t>
  </si>
  <si>
    <t>GETKRTSFUT6452</t>
  </si>
  <si>
    <t>8909490298954</t>
  </si>
  <si>
    <t>494549913</t>
  </si>
  <si>
    <t>441814971CREAM(RP)</t>
  </si>
  <si>
    <t>5115512541</t>
  </si>
  <si>
    <t>GETKRTSFUT6457</t>
  </si>
  <si>
    <t>8909490298961</t>
  </si>
  <si>
    <t>494549919</t>
  </si>
  <si>
    <t>272</t>
  </si>
  <si>
    <t>441814972BLACK(RP)</t>
  </si>
  <si>
    <t>5115512540</t>
  </si>
  <si>
    <t>8909490276709</t>
  </si>
  <si>
    <t>494549853</t>
  </si>
  <si>
    <t>441814959MAUVE(RP)</t>
  </si>
  <si>
    <t>5115512539</t>
  </si>
  <si>
    <t>GETKRTSCUT7163</t>
  </si>
  <si>
    <t>8909490317303</t>
  </si>
  <si>
    <t>494549927</t>
  </si>
  <si>
    <t>597</t>
  </si>
  <si>
    <t>441814973BLACK(RP)</t>
  </si>
  <si>
    <t>5115512538</t>
  </si>
  <si>
    <t>5115512537</t>
  </si>
  <si>
    <t>5115512536</t>
  </si>
  <si>
    <t>5115512535</t>
  </si>
  <si>
    <t>5115512534</t>
  </si>
  <si>
    <t>5115512533</t>
  </si>
  <si>
    <t>5115512532</t>
  </si>
  <si>
    <t>5115512531</t>
  </si>
  <si>
    <t>5115512530</t>
  </si>
  <si>
    <t>5115512529</t>
  </si>
  <si>
    <t>5115512528</t>
  </si>
  <si>
    <t>5115512527</t>
  </si>
  <si>
    <t>5115512526</t>
  </si>
  <si>
    <t>325</t>
  </si>
  <si>
    <t>5115512525</t>
  </si>
  <si>
    <t>5115512524</t>
  </si>
  <si>
    <t>5115512523</t>
  </si>
  <si>
    <t>210</t>
  </si>
  <si>
    <t>5115512522</t>
  </si>
  <si>
    <t>366</t>
  </si>
  <si>
    <t>5115512521</t>
  </si>
  <si>
    <t>5115512520</t>
  </si>
  <si>
    <t>5115512519</t>
  </si>
  <si>
    <t>5115512518</t>
  </si>
  <si>
    <t>5115512517</t>
  </si>
  <si>
    <t>5115512516</t>
  </si>
  <si>
    <t>5115512515</t>
  </si>
  <si>
    <t>5115512514</t>
  </si>
  <si>
    <t>5115512513</t>
  </si>
  <si>
    <t>5115512512</t>
  </si>
  <si>
    <t>5115512511</t>
  </si>
  <si>
    <t>5115512510</t>
  </si>
  <si>
    <t>264</t>
  </si>
  <si>
    <t>5115512509</t>
  </si>
  <si>
    <t>5115512508</t>
  </si>
  <si>
    <t>5115512507</t>
  </si>
  <si>
    <t>5115466395</t>
  </si>
  <si>
    <t>322</t>
  </si>
  <si>
    <t>8909284193038</t>
  </si>
  <si>
    <t>441853990005</t>
  </si>
  <si>
    <t>KRTS-APSU26-YETKRTSCUT5009, BLACK, 2XL</t>
  </si>
  <si>
    <t>303</t>
  </si>
  <si>
    <t>8909284193076</t>
  </si>
  <si>
    <t>441853990001</t>
  </si>
  <si>
    <t>KRTS-APSU26-YETKRTSCUT5009, BLACK, S</t>
  </si>
  <si>
    <t>5115466392</t>
  </si>
  <si>
    <t>46</t>
  </si>
  <si>
    <t>69</t>
  </si>
  <si>
    <t>5115466386</t>
  </si>
  <si>
    <t>161</t>
  </si>
  <si>
    <t>151</t>
  </si>
  <si>
    <t>5115466372</t>
  </si>
  <si>
    <t>8909490317242</t>
  </si>
  <si>
    <t>441814973001</t>
  </si>
  <si>
    <t>85</t>
  </si>
  <si>
    <t>KRTS-APWN26-GETKRTSCUT7163, BLACK, S</t>
  </si>
  <si>
    <t>8909490317259</t>
  </si>
  <si>
    <t>441814973002</t>
  </si>
  <si>
    <t>363</t>
  </si>
  <si>
    <t>KRTS-APWN26-GETKRTSCUT7163, BLACK, M</t>
  </si>
  <si>
    <t>8909490317266</t>
  </si>
  <si>
    <t>441814973003</t>
  </si>
  <si>
    <t>341</t>
  </si>
  <si>
    <t>KRTS-APWN26-GETKRTSCUT7163, BLACK, L</t>
  </si>
  <si>
    <t>8909490317273</t>
  </si>
  <si>
    <t>441814973004</t>
  </si>
  <si>
    <t>KRTS-APWN26-GETKRTSCUT7163, BLACK, XL</t>
  </si>
  <si>
    <t>8909490317297</t>
  </si>
  <si>
    <t>441814973005</t>
  </si>
  <si>
    <t>128</t>
  </si>
  <si>
    <t>KRTS-APWN26-GETKRTSCUT7163, BLACK, 2XL</t>
  </si>
  <si>
    <t>5115466370</t>
  </si>
  <si>
    <t>8909490276044</t>
  </si>
  <si>
    <t>441814972001</t>
  </si>
  <si>
    <t>KRTS-APWN26-GETKRTSFUT6457, BLACK, S</t>
  </si>
  <si>
    <t>8909490276068</t>
  </si>
  <si>
    <t>441814972002</t>
  </si>
  <si>
    <t>165</t>
  </si>
  <si>
    <t>KRTS-APWN26-GETKRTSFUT6457, BLACK, M</t>
  </si>
  <si>
    <t>8909490276082</t>
  </si>
  <si>
    <t>441814972003</t>
  </si>
  <si>
    <t>155</t>
  </si>
  <si>
    <t>KRTS-APWN26-GETKRTSFUT6457, BLACK, L</t>
  </si>
  <si>
    <t>8909490276099</t>
  </si>
  <si>
    <t>441814972004</t>
  </si>
  <si>
    <t>KRTS-APWN26-GETKRTSFUT6457, BLACK, XL</t>
  </si>
  <si>
    <t>8909490276112</t>
  </si>
  <si>
    <t>441814972005</t>
  </si>
  <si>
    <t>KRTS-APWN26-GETKRTSFUT6457, BLACK, 2XL</t>
  </si>
  <si>
    <t>5115466368</t>
  </si>
  <si>
    <t>8909490275986</t>
  </si>
  <si>
    <t>441814971001</t>
  </si>
  <si>
    <t>KRTS-APWN26-GETKRTSFUT6452, CREAM, S</t>
  </si>
  <si>
    <t>8909490275993</t>
  </si>
  <si>
    <t>441814971002</t>
  </si>
  <si>
    <t>KRTS-APWN26-GETKRTSFUT6452, CREAM, M</t>
  </si>
  <si>
    <t>8909490276006</t>
  </si>
  <si>
    <t>441814971003</t>
  </si>
  <si>
    <t>KRTS-APWN26-GETKRTSFUT6452, CREAM, L</t>
  </si>
  <si>
    <t>8909490276020</t>
  </si>
  <si>
    <t>441814971004</t>
  </si>
  <si>
    <t>KRTS-APWN26-GETKRTSFUT6452, CREAM, XL</t>
  </si>
  <si>
    <t>8909490276037</t>
  </si>
  <si>
    <t>441814971005</t>
  </si>
  <si>
    <t>KRTS-APWN26-GETKRTSFUT6452, CREAM, 2XL</t>
  </si>
  <si>
    <t>5115466366</t>
  </si>
  <si>
    <t>52</t>
  </si>
  <si>
    <t>209</t>
  </si>
  <si>
    <t>78</t>
  </si>
  <si>
    <t>5115466364</t>
  </si>
  <si>
    <t>107</t>
  </si>
  <si>
    <t>5115466362</t>
  </si>
  <si>
    <t>5115466361</t>
  </si>
  <si>
    <t>43</t>
  </si>
  <si>
    <t>180</t>
  </si>
  <si>
    <t>170</t>
  </si>
  <si>
    <t>5115466360</t>
  </si>
  <si>
    <t>77</t>
  </si>
  <si>
    <t>72</t>
  </si>
  <si>
    <t>5115466359</t>
  </si>
  <si>
    <t>5115229289</t>
  </si>
  <si>
    <t>GETKRTSCUT5008D</t>
  </si>
  <si>
    <t>8909490522820</t>
  </si>
  <si>
    <t>441814704001</t>
  </si>
  <si>
    <t>74</t>
  </si>
  <si>
    <t>KRTS-APWN26-GETKRTSCUT5008D, MUSTARD, S</t>
  </si>
  <si>
    <t>8909490522837</t>
  </si>
  <si>
    <t>441814704002</t>
  </si>
  <si>
    <t>KRTS-APWN26-GETKRTSCUT5008D, MUSTARD, M</t>
  </si>
  <si>
    <t>8909490522844</t>
  </si>
  <si>
    <t>441814704003</t>
  </si>
  <si>
    <t>KRTS-APWN26-GETKRTSCUT5008D, MUSTARD, L</t>
  </si>
  <si>
    <t>8909490522851</t>
  </si>
  <si>
    <t>441814704004</t>
  </si>
  <si>
    <t>KRTS-APWN26-GETKRTSCUT5008D, MUSTARD, XL</t>
  </si>
  <si>
    <t>8909490522868</t>
  </si>
  <si>
    <t>441814704005</t>
  </si>
  <si>
    <t>111</t>
  </si>
  <si>
    <t>KRTS-APWN26-GETKRTSCUT5008, MUSTARD, 2XL</t>
  </si>
  <si>
    <t>5115229288</t>
  </si>
  <si>
    <t>GETKRTSCUT5008C</t>
  </si>
  <si>
    <t>8909490522776</t>
  </si>
  <si>
    <t>441814703001</t>
  </si>
  <si>
    <t>KRTS-APWN26-GETKRTSCUT5008C, RED, S</t>
  </si>
  <si>
    <t>8909490522783</t>
  </si>
  <si>
    <t>441814703002</t>
  </si>
  <si>
    <t>KRTS-APWN26-GETKRTSCUT5008C, RED, M</t>
  </si>
  <si>
    <t>8909490522790</t>
  </si>
  <si>
    <t>441814703003</t>
  </si>
  <si>
    <t>312</t>
  </si>
  <si>
    <t>KRTS-APWN26-GETKRTSCUT5008C, RED, L</t>
  </si>
  <si>
    <t>8909490522806</t>
  </si>
  <si>
    <t>441814703004</t>
  </si>
  <si>
    <t>KRTS-APWN26-GETKRTSCUT5008C, RED, XL</t>
  </si>
  <si>
    <t>8909490522813</t>
  </si>
  <si>
    <t>441814703005</t>
  </si>
  <si>
    <t>117</t>
  </si>
  <si>
    <t>KRTS-APWN26-GETKRTSCUT5008C, RED, 2XL</t>
  </si>
  <si>
    <t>5115229286</t>
  </si>
  <si>
    <t>GETKRTSCUT5008B</t>
  </si>
  <si>
    <t>8909490522721</t>
  </si>
  <si>
    <t>441814702001</t>
  </si>
  <si>
    <t>KRTS-APWN26-GETKRTSCUT5008B, OLIVE, S</t>
  </si>
  <si>
    <t>8909490522738</t>
  </si>
  <si>
    <t>441814702002</t>
  </si>
  <si>
    <t>KRTS-APWN26-GETKRTSCUT5008B, OLIVE, M</t>
  </si>
  <si>
    <t>8909490522745</t>
  </si>
  <si>
    <t>441814702003</t>
  </si>
  <si>
    <t>KRTS-APWN26-GETKRTSCUT5008B, OLIVE, L</t>
  </si>
  <si>
    <t>8909490522752</t>
  </si>
  <si>
    <t>441814702004</t>
  </si>
  <si>
    <t>KRTS-APWN26-GETKRTSCUT5008B, OLIVE, XL</t>
  </si>
  <si>
    <t>8909490522769</t>
  </si>
  <si>
    <t>441814702005</t>
  </si>
  <si>
    <t>KRTS-APWN26-GETKRTSCUT5008B, OLIVE, 2XL</t>
  </si>
  <si>
    <t>5115229284</t>
  </si>
  <si>
    <t>GETKRTSCUT5008</t>
  </si>
  <si>
    <t>8909490522677</t>
  </si>
  <si>
    <t>441814701001</t>
  </si>
  <si>
    <t>KRTS-APWN26-GETKRTSCUT5008, BLACK, S</t>
  </si>
  <si>
    <t>8909490522684</t>
  </si>
  <si>
    <t>441814701002</t>
  </si>
  <si>
    <t>426</t>
  </si>
  <si>
    <t>KRTS-APWN26-GETKRTSCUT5008, BLACK, M</t>
  </si>
  <si>
    <t>8909490522691</t>
  </si>
  <si>
    <t>441814701003</t>
  </si>
  <si>
    <t>401</t>
  </si>
  <si>
    <t>KRTS-APWN26-GETKRTSCUT5008, BLACK, L</t>
  </si>
  <si>
    <t>8909490522707</t>
  </si>
  <si>
    <t>441814701004</t>
  </si>
  <si>
    <t>KRTS-APWN26-GETKRTSCUT5008, BLACK, XL</t>
  </si>
  <si>
    <t>8909490522714</t>
  </si>
  <si>
    <t>441814701005</t>
  </si>
  <si>
    <t>150</t>
  </si>
  <si>
    <t>KRTS-APWN26-GETKRTSCUT5008, BLACK, 2XL</t>
  </si>
  <si>
    <t>5115229283</t>
  </si>
  <si>
    <t>5115229282</t>
  </si>
  <si>
    <t>44</t>
  </si>
  <si>
    <t>175</t>
  </si>
  <si>
    <t>5115229280</t>
  </si>
  <si>
    <t>5115229278</t>
  </si>
  <si>
    <t>240</t>
  </si>
  <si>
    <t>225</t>
  </si>
  <si>
    <t>5115229277</t>
  </si>
  <si>
    <t>5115229276</t>
  </si>
  <si>
    <t>196</t>
  </si>
  <si>
    <t>185</t>
  </si>
  <si>
    <t>5115229275</t>
  </si>
  <si>
    <t>5115229274</t>
  </si>
  <si>
    <t>60</t>
  </si>
  <si>
    <t>252</t>
  </si>
  <si>
    <t>238</t>
  </si>
  <si>
    <t>5115228511</t>
  </si>
  <si>
    <t>8909490525159</t>
  </si>
  <si>
    <t>494547601</t>
  </si>
  <si>
    <t>520</t>
  </si>
  <si>
    <t>441814704MUSTARD(RP)</t>
  </si>
  <si>
    <t>5115228509</t>
  </si>
  <si>
    <t>8909490525074</t>
  </si>
  <si>
    <t>494547593</t>
  </si>
  <si>
    <t>546</t>
  </si>
  <si>
    <t>441814703RED(RP)</t>
  </si>
  <si>
    <t>5115228508</t>
  </si>
  <si>
    <t>323</t>
  </si>
  <si>
    <t>5115228507</t>
  </si>
  <si>
    <t>8909490524985</t>
  </si>
  <si>
    <t>494547584</t>
  </si>
  <si>
    <t>416</t>
  </si>
  <si>
    <t>441814701BLACK(RP)</t>
  </si>
  <si>
    <t>5115228506</t>
  </si>
  <si>
    <t>5115228032</t>
  </si>
  <si>
    <t>308</t>
  </si>
  <si>
    <t>5115228031</t>
  </si>
  <si>
    <t>307</t>
  </si>
  <si>
    <t>5115228030</t>
  </si>
  <si>
    <t>8909490525067</t>
  </si>
  <si>
    <t>494547592</t>
  </si>
  <si>
    <t>441814702OLIVE(RP)</t>
  </si>
  <si>
    <t>5115228029</t>
  </si>
  <si>
    <t>5115228028</t>
  </si>
  <si>
    <t>395</t>
  </si>
  <si>
    <t>5115228027</t>
  </si>
  <si>
    <t>5115228026</t>
  </si>
  <si>
    <t>701</t>
  </si>
  <si>
    <t>51</t>
  </si>
  <si>
    <t>99</t>
  </si>
  <si>
    <t>65</t>
  </si>
  <si>
    <t>54</t>
  </si>
  <si>
    <t>40</t>
  </si>
  <si>
    <t>93</t>
  </si>
  <si>
    <t>73</t>
  </si>
  <si>
    <t>83</t>
  </si>
  <si>
    <t>80</t>
  </si>
  <si>
    <t>50</t>
  </si>
  <si>
    <t>04.08.2026</t>
  </si>
  <si>
    <t>15.10.2026</t>
  </si>
  <si>
    <t>30.11.2026</t>
  </si>
  <si>
    <t>03.10.2026</t>
  </si>
  <si>
    <t>25.09.2026</t>
  </si>
  <si>
    <t>31.08.2026</t>
  </si>
  <si>
    <t>25.08.2026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</si>
</sst>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rgb="FF000000"/>
      <name val="Calibri"/>
      <family val="2"/>
      <scheme val="minor"/>
    </font>
    <font>
      <b/>
      <sz val="12"/>
      <color rgb="FF0093C3"/>
      <name val="Calibri"/>
      <family val="2"/>
    </font>
    <font>
      <sz val="10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E8F0F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7" fillId="3" borderId="2" xfId="0" applyFont="1" applyFill="1" applyBorder="1" applyAlignment="1">
      <alignment vertical="top" wrapText="1"/>
    </xf>
    <xf numFmtId="0" fontId="0" fillId="0" borderId="0" xfId="0" applyProtection="1">
      <protection locked="0"/>
    </xf>
    <xf numFmtId="0" fontId="4" fillId="0" borderId="0" xfId="0" applyFont="1" applyProtection="1">
      <protection locked="0"/>
    </xf>
    <xf numFmtId="0" fontId="3" fillId="2" borderId="1" xfId="0" applyFont="1" applyFill="1" applyBorder="1" applyAlignment="1">
      <alignment horizontal="center"/>
    </xf>
    <xf numFmtId="0" fontId="2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1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C30A20B-2D6E-D649-9FF1-9A8BA8637232}">
  <we:reference id="wa200010725" version="1.0.0.1" store="en-US" storeType="OMEX"/>
  <we:alternateReferences>
    <we:reference id="wa200010725" version="1.0.0.1" store="en-US" storeType="OMEX"/>
  </we:alternateReferences>
  <we:properties>
    <we:property name="claude.fileId" value="&quot;7fce303b-089b-4b20-9121-e433580fa19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77"/>
  <sheetViews>
    <sheetView workbookViewId="0">
      <selection activeCell="F21" sqref="F21"/>
    </sheetView>
  </sheetViews>
  <sheetFormatPr baseColWidth="10" defaultColWidth="11.1640625" defaultRowHeight="15" customHeight="1" x14ac:dyDescent="0.2"/>
  <cols>
    <col min="1" max="1" width="8.6640625" style="2" customWidth="1"/>
    <col min="2" max="2" width="20.83203125" style="2" customWidth="1"/>
    <col min="3" max="3" width="18.6640625" style="2" customWidth="1"/>
    <col min="4" max="5" width="15.33203125" style="2" customWidth="1"/>
    <col min="6" max="6" width="39.6640625" style="2" customWidth="1"/>
    <col min="7" max="7" width="18.6640625" style="2" customWidth="1"/>
    <col min="8" max="8" width="15.33203125" style="2" customWidth="1"/>
    <col min="9" max="9" width="14.1640625" style="2" customWidth="1"/>
    <col min="10" max="10" width="45.1640625" style="2" customWidth="1"/>
    <col min="11" max="11" width="18.6640625" style="2" customWidth="1"/>
    <col min="12" max="12" width="15.33203125" style="2" customWidth="1"/>
    <col min="13" max="13" width="31.83203125" style="2" customWidth="1"/>
    <col min="14" max="14" width="22" style="2" customWidth="1"/>
    <col min="15" max="15" width="16.5" style="2" customWidth="1"/>
    <col min="16" max="16" width="15.33203125" style="2" customWidth="1"/>
    <col min="17" max="17" width="14.1640625" style="2" customWidth="1"/>
    <col min="18" max="18" width="34.1640625" style="2" customWidth="1"/>
    <col min="19" max="19" width="11" style="2" customWidth="1"/>
    <col min="20" max="20" width="33" style="2" customWidth="1"/>
    <col min="21" max="21" width="8.6640625" style="2" customWidth="1"/>
    <col min="22" max="22" width="9.83203125" style="2" customWidth="1"/>
    <col min="23" max="23" width="4.33203125" style="2" customWidth="1"/>
    <col min="24" max="24" width="22" customWidth="1"/>
    <col min="25" max="30" width="8.6640625" customWidth="1"/>
    <col min="31" max="31" width="34.1640625" customWidth="1"/>
    <col min="32" max="33" width="33" customWidth="1"/>
    <col min="34" max="16384" width="11.1640625" style="2"/>
  </cols>
  <sheetData>
    <row r="1" spans="1:36" ht="15.75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4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447</v>
      </c>
      <c r="AF1" s="5" t="s">
        <v>448</v>
      </c>
      <c r="AG1" s="5" t="s">
        <v>556</v>
      </c>
      <c r="AH1" s="2" t="s">
        <v>557</v>
      </c>
      <c r="AJ1"/>
    </row>
    <row r="2" spans="1:36" ht="15.75" customHeight="1" x14ac:dyDescent="0.2">
      <c r="A2" t="s">
        <v>30</v>
      </c>
      <c r="B2" t="s">
        <v>596</v>
      </c>
      <c r="C2" t="s">
        <v>1152</v>
      </c>
      <c r="D2" t="s">
        <v>1153</v>
      </c>
      <c r="E2" t="s">
        <v>34</v>
      </c>
      <c r="F2" t="s">
        <v>35</v>
      </c>
      <c r="G2" t="s">
        <v>36</v>
      </c>
      <c r="H2" t="s">
        <v>598</v>
      </c>
      <c r="I2" t="s">
        <v>599</v>
      </c>
      <c r="J2" t="s">
        <v>601</v>
      </c>
      <c r="K2" t="s">
        <v>474</v>
      </c>
      <c r="L2" t="s">
        <v>40</v>
      </c>
      <c r="M2">
        <v>1</v>
      </c>
      <c r="N2">
        <v>64</v>
      </c>
      <c r="O2">
        <v>64</v>
      </c>
      <c r="P2" t="s">
        <v>41</v>
      </c>
      <c r="Q2">
        <v>276.7</v>
      </c>
      <c r="R2">
        <v>276.7</v>
      </c>
      <c r="S2">
        <v>885.44</v>
      </c>
      <c r="T2">
        <v>17708.8</v>
      </c>
      <c r="U2">
        <v>5</v>
      </c>
      <c r="V2" t="s">
        <v>42</v>
      </c>
      <c r="W2" t="s">
        <v>474</v>
      </c>
      <c r="X2" s="6" t="str">
        <f t="shared" ref="X2:X256" si="0">IF(ISNUMBER(VALUE(LEFT(J2,1))),LEFT(J2,MIN(IFERROR(FIND("A",UPPER(J2)),LEN(J2)+1),IFERROR(FIND("B",UPPER(J2)),LEN(J2)+1),IFERROR(FIND("C",UPPER(J2)),LEN(J2)+1),IFERROR(FIND("D",UPPER(J2)),LEN(J2)+1),IFERROR(FIND("E",UPPER(J2)),LEN(J2)+1),IFERROR(FIND("F",UPPER(J2)),LEN(J2)+1),IFERROR(FIND("G",UPPER(J2)),LEN(J2)+1),IFERROR(FIND("H",UPPER(J2)),LEN(J2)+1),IFERROR(FIND("I",UPPER(J2)),LEN(J2)+1),IFERROR(FIND("J",UPPER(J2)),LEN(J2)+1),IFERROR(FIND("K",UPPER(J2)),LEN(J2)+1),IFERROR(FIND("L",UPPER(J2)),LEN(J2)+1),IFERROR(FIND("M",UPPER(J2)),LEN(J2)+1),IFERROR(FIND("N",UPPER(J2)),LEN(J2)+1),IFERROR(FIND("O",UPPER(J2)),LEN(J2)+1),IFERROR(FIND("P",UPPER(J2)),LEN(J2)+1),IFERROR(FIND("Q",UPPER(J2)),LEN(J2)+1),IFERROR(FIND("R",UPPER(J2)),LEN(J2)+1),IFERROR(FIND("S",UPPER(J2)),LEN(J2)+1),IFERROR(FIND("T",UPPER(J2)),LEN(J2)+1),IFERROR(FIND("U",UPPER(J2)),LEN(J2)+1),IFERROR(FIND("V",UPPER(J2)),LEN(J2)+1),IFERROR(FIND("W",UPPER(J2)),LEN(J2)+1),IFERROR(FIND("X",UPPER(J2)),LEN(J2)+1),IFERROR(FIND("Y",UPPER(J2)),LEN(J2)+1),IFERROR(FIND("Z",UPPER(J2)),LEN(J2)+1))-1),LEFT(TEXT(I2,"0"),LEN(TEXT(I2,"0"))-3))</f>
        <v>441814970</v>
      </c>
      <c r="Y2" s="7" t="str">
        <f t="shared" ref="Y2:Y256" si="1">IF(ISNUMBER(SEARCH("(RP)",J2)),"RP","DC")</f>
        <v>DC</v>
      </c>
      <c r="Z2" s="7">
        <f t="shared" ref="Z2:Z256" si="2">IF(ISNUMBER(SEARCH("(RP)",J2)),O2,IF(RIGHT(TRIM(J2),3)=", S",O2,0))</f>
        <v>64</v>
      </c>
      <c r="AA2" s="7">
        <f t="shared" ref="AA2:AA256" si="3">IF(ISNUMBER(SEARCH("(RP)",J2)),O2,IF(RIGHT(TRIM(J2),3)=", M",O2,0))</f>
        <v>0</v>
      </c>
      <c r="AB2" s="7">
        <f t="shared" ref="AB2:AB256" si="4">IF(ISNUMBER(SEARCH("(RP)",J2)),O2,IF(RIGHT(TRIM(J2),3)=", L",O2,0))</f>
        <v>0</v>
      </c>
      <c r="AC2" s="7">
        <f t="shared" ref="AC2:AC256" si="5">IF(ISNUMBER(SEARCH("(RP)",J2)),O2,IF(RIGHT(TRIM(J2),4)=", XL",O2,0))</f>
        <v>0</v>
      </c>
      <c r="AD2" s="7">
        <f t="shared" ref="AD2:AD256" si="6">IF(ISNUMBER(SEARCH("(RP)",J2)),O2,IF(OR(RIGHT(TRIM(J2),5)=", XXL",RIGHT(TRIM(J2),5)=", 2XL"),O2,0))</f>
        <v>0</v>
      </c>
      <c r="AE2" s="8" t="str" cm="1">
        <f t="array" ref="AE2">IFERROR(_xlfn.XLOOKUP(H2,Sheet1!$G:$G,Sheet1!$F:$F),IFERROR(_xlfn.XLOOKUP(1,(--($X$2:$X$1074=X2))*(--ISNUMBER(MATCH($H$2:$H$1074,Sheet1!$G:$G,0))),_xlfn.XLOOKUP($H$2:$H$1074,Sheet1!$G:$G,Sheet1!$F:$F,"")),"NOT FOUND"))</f>
        <v>GETKRTSFUT6451</v>
      </c>
      <c r="AF2" s="9" t="str">
        <f>IFERROR(IF(ISNUMBER(SEARCH("(RP)",J2)),TRIM(SUBSTITUTE(MID(J2,10,LEN(J2)),"(RP)","")),TRIM(MID(J2,FIND(",",J2)+1,FIND(",",J2,FIND(",",J2)+1)-FIND(",",J2)-1))),"")</f>
        <v>LIME GREEN</v>
      </c>
      <c r="AG2" s="10" t="str">
        <f>IF(A2="SZAF","Bangalore",IF(A2="SAEX","JHAJJAR",IF(A2="S0EU","HARIPAL","")))</f>
        <v>Bangalore</v>
      </c>
      <c r="AH2" s="8" t="str" cm="1">
        <f t="array" ref="AH2">IF(OR(J2="",AE2="",AE2="NOT FOUND"),"",IF(Y2="RP",_xlfn.LET(_xlpm.desc,_xlfn.XLOOKUP(1,(--(Sheet1!$F$2:$F$754=AE2))*(--ISNUMBER(FIND("-",Sheet1!$W$2:$W$754,FIND("-",Sheet1!$W$2:$W$754)+1))),Sheet1!$W$2:$W$754,""),IF(_xlpm.desc="","NOT FOUND",LEFT(_xlpm.desc,FIND("-",_xlpm.desc,FIND("-",_xlpm.desc)+1))&amp;AE2)),LEFT(J2,FIND("-",J2,FIND("-",J2)+1))&amp;AE2))</f>
        <v>KRTS-APWN26-GETKRTSFUT6451</v>
      </c>
      <c r="AJ2"/>
    </row>
    <row r="3" spans="1:36" ht="15.75" customHeight="1" x14ac:dyDescent="0.2">
      <c r="A3" t="s">
        <v>30</v>
      </c>
      <c r="B3" t="s">
        <v>596</v>
      </c>
      <c r="C3" t="s">
        <v>1152</v>
      </c>
      <c r="D3" t="s">
        <v>1153</v>
      </c>
      <c r="E3" t="s">
        <v>34</v>
      </c>
      <c r="F3" t="s">
        <v>35</v>
      </c>
      <c r="G3" t="s">
        <v>43</v>
      </c>
      <c r="H3" t="s">
        <v>602</v>
      </c>
      <c r="I3" t="s">
        <v>603</v>
      </c>
      <c r="J3" t="s">
        <v>605</v>
      </c>
      <c r="K3" t="s">
        <v>474</v>
      </c>
      <c r="L3" t="s">
        <v>40</v>
      </c>
      <c r="M3">
        <v>1</v>
      </c>
      <c r="N3">
        <v>273</v>
      </c>
      <c r="O3">
        <v>273</v>
      </c>
      <c r="P3" t="s">
        <v>41</v>
      </c>
      <c r="Q3">
        <v>276.7</v>
      </c>
      <c r="R3">
        <v>276.7</v>
      </c>
      <c r="S3">
        <v>3776.96</v>
      </c>
      <c r="T3">
        <v>75539.100000000006</v>
      </c>
      <c r="U3">
        <v>5</v>
      </c>
      <c r="V3" t="s">
        <v>42</v>
      </c>
      <c r="W3" t="s">
        <v>474</v>
      </c>
      <c r="X3" s="6" t="str">
        <f t="shared" si="0"/>
        <v>441814970</v>
      </c>
      <c r="Y3" s="7" t="str">
        <f t="shared" si="1"/>
        <v>DC</v>
      </c>
      <c r="Z3" s="7">
        <f t="shared" si="2"/>
        <v>0</v>
      </c>
      <c r="AA3" s="7">
        <f t="shared" si="3"/>
        <v>273</v>
      </c>
      <c r="AB3" s="7">
        <f t="shared" si="4"/>
        <v>0</v>
      </c>
      <c r="AC3" s="7">
        <f t="shared" si="5"/>
        <v>0</v>
      </c>
      <c r="AD3" s="7">
        <f t="shared" si="6"/>
        <v>0</v>
      </c>
      <c r="AE3" s="8" t="str" cm="1">
        <f t="array" ref="AE3">IFERROR(_xlfn.XLOOKUP(H3,Sheet1!$G:$G,Sheet1!$F:$F),IFERROR(_xlfn.XLOOKUP(1,(--($X$2:$X$1074=X3))*(--ISNUMBER(MATCH($H$2:$H$1074,Sheet1!$G:$G,0))),_xlfn.XLOOKUP($H$2:$H$1074,Sheet1!$G:$G,Sheet1!$F:$F,"")),"NOT FOUND"))</f>
        <v>GETKRTSFUT6451</v>
      </c>
      <c r="AF3" s="9" t="str">
        <f t="shared" ref="AF3:AF66" si="7">IFERROR(IF(ISNUMBER(SEARCH("(RP)",J3)),TRIM(SUBSTITUTE(MID(J3,10,LEN(J3)),"(RP)","")),TRIM(MID(J3,FIND(",",J3)+1,FIND(",",J3,FIND(",",J3)+1)-FIND(",",J3)-1))),"")</f>
        <v>LIME GREEN</v>
      </c>
      <c r="AG3" s="10" t="str">
        <f t="shared" ref="AG3:AG66" si="8">IF(A3="SZAF","Bangalore",IF(A3="SAEX","JHAJJAR",IF(A3="S0EU","HARIPAL","")))</f>
        <v>Bangalore</v>
      </c>
      <c r="AH3" s="8" t="str" cm="1">
        <f t="array" ref="AH3">IF(OR(J3="",AE3="",AE3="NOT FOUND"),"",IF(Y3="RP",_xlfn.LET(_xlpm.desc,_xlfn.XLOOKUP(1,(--(Sheet1!$F$2:$F$754=AE3))*(--ISNUMBER(FIND("-",Sheet1!$W$2:$W$754,FIND("-",Sheet1!$W$2:$W$754)+1))),Sheet1!$W$2:$W$754,""),IF(_xlpm.desc="","NOT FOUND",LEFT(_xlpm.desc,FIND("-",_xlpm.desc,FIND("-",_xlpm.desc)+1))&amp;AE3)),LEFT(J3,FIND("-",J3,FIND("-",J3)+1))&amp;AE3))</f>
        <v>KRTS-APWN26-GETKRTSFUT6451</v>
      </c>
      <c r="AJ3"/>
    </row>
    <row r="4" spans="1:36" ht="15.75" customHeight="1" x14ac:dyDescent="0.2">
      <c r="A4" t="s">
        <v>30</v>
      </c>
      <c r="B4" t="s">
        <v>596</v>
      </c>
      <c r="C4" t="s">
        <v>1152</v>
      </c>
      <c r="D4" t="s">
        <v>1153</v>
      </c>
      <c r="E4" t="s">
        <v>34</v>
      </c>
      <c r="F4" t="s">
        <v>35</v>
      </c>
      <c r="G4" t="s">
        <v>47</v>
      </c>
      <c r="H4" t="s">
        <v>606</v>
      </c>
      <c r="I4" t="s">
        <v>607</v>
      </c>
      <c r="J4" t="s">
        <v>608</v>
      </c>
      <c r="K4" t="s">
        <v>474</v>
      </c>
      <c r="L4" t="s">
        <v>40</v>
      </c>
      <c r="M4">
        <v>1</v>
      </c>
      <c r="N4">
        <v>257</v>
      </c>
      <c r="O4">
        <v>257</v>
      </c>
      <c r="P4" t="s">
        <v>41</v>
      </c>
      <c r="Q4">
        <v>276.7</v>
      </c>
      <c r="R4">
        <v>276.7</v>
      </c>
      <c r="S4">
        <v>3555.6</v>
      </c>
      <c r="T4">
        <v>71111.899999999994</v>
      </c>
      <c r="U4">
        <v>5</v>
      </c>
      <c r="V4" t="s">
        <v>42</v>
      </c>
      <c r="W4" t="s">
        <v>474</v>
      </c>
      <c r="X4" s="6" t="str">
        <f t="shared" si="0"/>
        <v>441814970</v>
      </c>
      <c r="Y4" s="7" t="str">
        <f t="shared" si="1"/>
        <v>DC</v>
      </c>
      <c r="Z4" s="7">
        <f t="shared" si="2"/>
        <v>0</v>
      </c>
      <c r="AA4" s="7">
        <f t="shared" si="3"/>
        <v>0</v>
      </c>
      <c r="AB4" s="7">
        <f t="shared" si="4"/>
        <v>257</v>
      </c>
      <c r="AC4" s="7">
        <f t="shared" si="5"/>
        <v>0</v>
      </c>
      <c r="AD4" s="7">
        <f t="shared" si="6"/>
        <v>0</v>
      </c>
      <c r="AE4" s="8" t="str" cm="1">
        <f t="array" ref="AE4">IFERROR(_xlfn.XLOOKUP(H4,Sheet1!$G:$G,Sheet1!$F:$F),IFERROR(_xlfn.XLOOKUP(1,(--($X$2:$X$1074=X4))*(--ISNUMBER(MATCH($H$2:$H$1074,Sheet1!$G:$G,0))),_xlfn.XLOOKUP($H$2:$H$1074,Sheet1!$G:$G,Sheet1!$F:$F,"")),"NOT FOUND"))</f>
        <v>GETKRTSFUT6451</v>
      </c>
      <c r="AF4" s="9" t="str">
        <f t="shared" si="7"/>
        <v>LIME GREEN</v>
      </c>
      <c r="AG4" s="10" t="str">
        <f t="shared" si="8"/>
        <v>Bangalore</v>
      </c>
      <c r="AH4" s="8" t="str" cm="1">
        <f t="array" ref="AH4">IF(OR(J4="",AE4="",AE4="NOT FOUND"),"",IF(Y4="RP",_xlfn.LET(_xlpm.desc,_xlfn.XLOOKUP(1,(--(Sheet1!$F$2:$F$754=AE4))*(--ISNUMBER(FIND("-",Sheet1!$W$2:$W$754,FIND("-",Sheet1!$W$2:$W$754)+1))),Sheet1!$W$2:$W$754,""),IF(_xlpm.desc="","NOT FOUND",LEFT(_xlpm.desc,FIND("-",_xlpm.desc,FIND("-",_xlpm.desc)+1))&amp;AE4)),LEFT(J4,FIND("-",J4,FIND("-",J4)+1))&amp;AE4))</f>
        <v>KRTS-APWN26-GETKRTSFUT6451</v>
      </c>
      <c r="AJ4"/>
    </row>
    <row r="5" spans="1:36" ht="15.75" customHeight="1" x14ac:dyDescent="0.2">
      <c r="A5" t="s">
        <v>30</v>
      </c>
      <c r="B5" t="s">
        <v>596</v>
      </c>
      <c r="C5" t="s">
        <v>1152</v>
      </c>
      <c r="D5" t="s">
        <v>1153</v>
      </c>
      <c r="E5" t="s">
        <v>34</v>
      </c>
      <c r="F5" t="s">
        <v>35</v>
      </c>
      <c r="G5" t="s">
        <v>51</v>
      </c>
      <c r="H5" t="s">
        <v>609</v>
      </c>
      <c r="I5" t="s">
        <v>610</v>
      </c>
      <c r="J5" t="s">
        <v>611</v>
      </c>
      <c r="K5" t="s">
        <v>474</v>
      </c>
      <c r="L5" t="s">
        <v>40</v>
      </c>
      <c r="M5">
        <v>1</v>
      </c>
      <c r="N5">
        <v>273</v>
      </c>
      <c r="O5">
        <v>273</v>
      </c>
      <c r="P5" t="s">
        <v>41</v>
      </c>
      <c r="Q5">
        <v>276.7</v>
      </c>
      <c r="R5">
        <v>276.7</v>
      </c>
      <c r="S5">
        <v>3776.96</v>
      </c>
      <c r="T5">
        <v>75539.100000000006</v>
      </c>
      <c r="U5">
        <v>5</v>
      </c>
      <c r="V5" t="s">
        <v>42</v>
      </c>
      <c r="W5" t="s">
        <v>474</v>
      </c>
      <c r="X5" s="6" t="str">
        <f t="shared" si="0"/>
        <v>441814970</v>
      </c>
      <c r="Y5" s="7" t="str">
        <f t="shared" si="1"/>
        <v>DC</v>
      </c>
      <c r="Z5" s="7">
        <f t="shared" si="2"/>
        <v>0</v>
      </c>
      <c r="AA5" s="7">
        <f t="shared" si="3"/>
        <v>0</v>
      </c>
      <c r="AB5" s="7">
        <f t="shared" si="4"/>
        <v>0</v>
      </c>
      <c r="AC5" s="7">
        <f t="shared" si="5"/>
        <v>273</v>
      </c>
      <c r="AD5" s="7">
        <f t="shared" si="6"/>
        <v>0</v>
      </c>
      <c r="AE5" s="8" t="str" cm="1">
        <f t="array" ref="AE5">IFERROR(_xlfn.XLOOKUP(H5,Sheet1!$G:$G,Sheet1!$F:$F),IFERROR(_xlfn.XLOOKUP(1,(--($X$2:$X$1074=X5))*(--ISNUMBER(MATCH($H$2:$H$1074,Sheet1!$G:$G,0))),_xlfn.XLOOKUP($H$2:$H$1074,Sheet1!$G:$G,Sheet1!$F:$F,"")),"NOT FOUND"))</f>
        <v>GETKRTSFUT6451</v>
      </c>
      <c r="AF5" s="9" t="str">
        <f t="shared" si="7"/>
        <v>LIME GREEN</v>
      </c>
      <c r="AG5" s="10" t="str">
        <f t="shared" si="8"/>
        <v>Bangalore</v>
      </c>
      <c r="AH5" s="8" t="str" cm="1">
        <f t="array" ref="AH5">IF(OR(J5="",AE5="",AE5="NOT FOUND"),"",IF(Y5="RP",_xlfn.LET(_xlpm.desc,_xlfn.XLOOKUP(1,(--(Sheet1!$F$2:$F$754=AE5))*(--ISNUMBER(FIND("-",Sheet1!$W$2:$W$754,FIND("-",Sheet1!$W$2:$W$754)+1))),Sheet1!$W$2:$W$754,""),IF(_xlpm.desc="","NOT FOUND",LEFT(_xlpm.desc,FIND("-",_xlpm.desc,FIND("-",_xlpm.desc)+1))&amp;AE5)),LEFT(J5,FIND("-",J5,FIND("-",J5)+1))&amp;AE5))</f>
        <v>KRTS-APWN26-GETKRTSFUT6451</v>
      </c>
      <c r="AJ5"/>
    </row>
    <row r="6" spans="1:36" ht="15.75" customHeight="1" x14ac:dyDescent="0.2">
      <c r="A6" t="s">
        <v>30</v>
      </c>
      <c r="B6" t="s">
        <v>596</v>
      </c>
      <c r="C6" t="s">
        <v>1152</v>
      </c>
      <c r="D6" t="s">
        <v>1153</v>
      </c>
      <c r="E6" t="s">
        <v>34</v>
      </c>
      <c r="F6" t="s">
        <v>35</v>
      </c>
      <c r="G6" t="s">
        <v>55</v>
      </c>
      <c r="H6" t="s">
        <v>612</v>
      </c>
      <c r="I6" t="s">
        <v>613</v>
      </c>
      <c r="J6" t="s">
        <v>176</v>
      </c>
      <c r="K6" t="s">
        <v>474</v>
      </c>
      <c r="L6" t="s">
        <v>40</v>
      </c>
      <c r="M6">
        <v>1</v>
      </c>
      <c r="N6">
        <v>96</v>
      </c>
      <c r="O6">
        <v>96</v>
      </c>
      <c r="P6" t="s">
        <v>41</v>
      </c>
      <c r="Q6">
        <v>276.7</v>
      </c>
      <c r="R6">
        <v>276.7</v>
      </c>
      <c r="S6">
        <v>1328.16</v>
      </c>
      <c r="T6">
        <v>26563.200000000001</v>
      </c>
      <c r="U6">
        <v>5</v>
      </c>
      <c r="V6" t="s">
        <v>42</v>
      </c>
      <c r="W6" t="s">
        <v>474</v>
      </c>
      <c r="X6" s="6" t="str">
        <f t="shared" si="0"/>
        <v>441814970</v>
      </c>
      <c r="Y6" s="7" t="str">
        <f t="shared" si="1"/>
        <v>DC</v>
      </c>
      <c r="Z6" s="7">
        <f t="shared" si="2"/>
        <v>0</v>
      </c>
      <c r="AA6" s="7">
        <f t="shared" si="3"/>
        <v>0</v>
      </c>
      <c r="AB6" s="7">
        <f t="shared" si="4"/>
        <v>0</v>
      </c>
      <c r="AC6" s="7">
        <f t="shared" si="5"/>
        <v>0</v>
      </c>
      <c r="AD6" s="7">
        <f t="shared" si="6"/>
        <v>96</v>
      </c>
      <c r="AE6" s="8" t="str" cm="1">
        <f t="array" ref="AE6">IFERROR(_xlfn.XLOOKUP(H6,Sheet1!$G:$G,Sheet1!$F:$F),IFERROR(_xlfn.XLOOKUP(1,(--($X$2:$X$1074=X6))*(--ISNUMBER(MATCH($H$2:$H$1074,Sheet1!$G:$G,0))),_xlfn.XLOOKUP($H$2:$H$1074,Sheet1!$G:$G,Sheet1!$F:$F,"")),"NOT FOUND"))</f>
        <v>GETKRTSFUT6451</v>
      </c>
      <c r="AF6" s="9" t="str">
        <f t="shared" si="7"/>
        <v>LIME GREEN</v>
      </c>
      <c r="AG6" s="10" t="str">
        <f t="shared" si="8"/>
        <v>Bangalore</v>
      </c>
      <c r="AH6" s="8" t="str" cm="1">
        <f t="array" ref="AH6">IF(OR(J6="",AE6="",AE6="NOT FOUND"),"",IF(Y6="RP",_xlfn.LET(_xlpm.desc,_xlfn.XLOOKUP(1,(--(Sheet1!$F$2:$F$754=AE6))*(--ISNUMBER(FIND("-",Sheet1!$W$2:$W$754,FIND("-",Sheet1!$W$2:$W$754)+1))),Sheet1!$W$2:$W$754,""),IF(_xlpm.desc="","NOT FOUND",LEFT(_xlpm.desc,FIND("-",_xlpm.desc,FIND("-",_xlpm.desc)+1))&amp;AE6)),LEFT(J6,FIND("-",J6,FIND("-",J6)+1))&amp;AE6))</f>
        <v>KRTS-APWN26-GETKRTSFUT6451</v>
      </c>
      <c r="AJ6"/>
    </row>
    <row r="7" spans="1:36" ht="15.75" customHeight="1" x14ac:dyDescent="0.2">
      <c r="A7" t="s">
        <v>30</v>
      </c>
      <c r="B7" t="s">
        <v>615</v>
      </c>
      <c r="C7" t="s">
        <v>1152</v>
      </c>
      <c r="D7" t="s">
        <v>1154</v>
      </c>
      <c r="E7" t="s">
        <v>34</v>
      </c>
      <c r="F7" t="s">
        <v>35</v>
      </c>
      <c r="G7" t="s">
        <v>36</v>
      </c>
      <c r="H7" t="s">
        <v>617</v>
      </c>
      <c r="I7" t="s">
        <v>618</v>
      </c>
      <c r="J7" t="s">
        <v>619</v>
      </c>
      <c r="K7" t="s">
        <v>474</v>
      </c>
      <c r="L7" t="s">
        <v>40</v>
      </c>
      <c r="M7">
        <v>1</v>
      </c>
      <c r="N7">
        <v>64</v>
      </c>
      <c r="O7">
        <v>64</v>
      </c>
      <c r="P7" t="s">
        <v>41</v>
      </c>
      <c r="Q7">
        <v>279.7</v>
      </c>
      <c r="R7">
        <v>279.7</v>
      </c>
      <c r="S7">
        <v>895.04</v>
      </c>
      <c r="T7">
        <v>17900.8</v>
      </c>
      <c r="U7">
        <v>5</v>
      </c>
      <c r="V7" t="s">
        <v>42</v>
      </c>
      <c r="W7" t="s">
        <v>474</v>
      </c>
      <c r="X7" s="6" t="str">
        <f t="shared" si="0"/>
        <v>441814969</v>
      </c>
      <c r="Y7" s="7" t="str">
        <f t="shared" si="1"/>
        <v>DC</v>
      </c>
      <c r="Z7" s="7">
        <f t="shared" si="2"/>
        <v>64</v>
      </c>
      <c r="AA7" s="7">
        <f t="shared" si="3"/>
        <v>0</v>
      </c>
      <c r="AB7" s="7">
        <f t="shared" si="4"/>
        <v>0</v>
      </c>
      <c r="AC7" s="7">
        <f t="shared" si="5"/>
        <v>0</v>
      </c>
      <c r="AD7" s="7">
        <f>IF(ISNUMBER(SEARCH("(RP)",J7)),O7,IF(OR(RIGHT(TRIM(J7),5)=", XXL",RIGHT(TRIM(J7),5)=", 2XL"),O7,0))</f>
        <v>0</v>
      </c>
      <c r="AE7" s="8" t="str" cm="1">
        <f t="array" ref="AE7">IFERROR(_xlfn.XLOOKUP(H7,Sheet1!$G:$G,Sheet1!$F:$F),IFERROR(_xlfn.XLOOKUP(1,(--($X$2:$X$1074=X7))*(--ISNUMBER(MATCH($H$2:$H$1074,Sheet1!$G:$G,0))),_xlfn.XLOOKUP($H$2:$H$1074,Sheet1!$G:$G,Sheet1!$F:$F,"")),"NOT FOUND"))</f>
        <v>GETKRTSFUT6422</v>
      </c>
      <c r="AF7" s="9" t="str">
        <f t="shared" si="7"/>
        <v>DARK GREY</v>
      </c>
      <c r="AG7" s="10" t="str">
        <f t="shared" si="8"/>
        <v>Bangalore</v>
      </c>
      <c r="AH7" s="8" t="str" cm="1">
        <f t="array" ref="AH7">IF(OR(J7="",AE7="",AE7="NOT FOUND"),"",IF(Y7="RP",_xlfn.LET(_xlpm.desc,_xlfn.XLOOKUP(1,(--(Sheet1!$F$2:$F$754=AE7))*(--ISNUMBER(FIND("-",Sheet1!$W$2:$W$754,FIND("-",Sheet1!$W$2:$W$754)+1))),Sheet1!$W$2:$W$754,""),IF(_xlpm.desc="","NOT FOUND",LEFT(_xlpm.desc,FIND("-",_xlpm.desc,FIND("-",_xlpm.desc)+1))&amp;AE7)),LEFT(J7,FIND("-",J7,FIND("-",J7)+1))&amp;AE7))</f>
        <v>KRTS-APWN26-GETKRTSFUT6422</v>
      </c>
    </row>
    <row r="8" spans="1:36" ht="15.75" customHeight="1" x14ac:dyDescent="0.2">
      <c r="A8" t="s">
        <v>30</v>
      </c>
      <c r="B8" t="s">
        <v>615</v>
      </c>
      <c r="C8" t="s">
        <v>1152</v>
      </c>
      <c r="D8" t="s">
        <v>1154</v>
      </c>
      <c r="E8" t="s">
        <v>34</v>
      </c>
      <c r="F8" t="s">
        <v>35</v>
      </c>
      <c r="G8" t="s">
        <v>43</v>
      </c>
      <c r="H8" t="s">
        <v>620</v>
      </c>
      <c r="I8" t="s">
        <v>621</v>
      </c>
      <c r="J8" t="s">
        <v>622</v>
      </c>
      <c r="K8" t="s">
        <v>474</v>
      </c>
      <c r="L8" t="s">
        <v>40</v>
      </c>
      <c r="M8">
        <v>1</v>
      </c>
      <c r="N8">
        <v>273</v>
      </c>
      <c r="O8">
        <v>273</v>
      </c>
      <c r="P8" t="s">
        <v>41</v>
      </c>
      <c r="Q8">
        <v>279.7</v>
      </c>
      <c r="R8">
        <v>279.7</v>
      </c>
      <c r="S8">
        <v>3817.91</v>
      </c>
      <c r="T8">
        <v>76358.100000000006</v>
      </c>
      <c r="U8">
        <v>5</v>
      </c>
      <c r="V8" t="s">
        <v>42</v>
      </c>
      <c r="W8" t="s">
        <v>474</v>
      </c>
      <c r="X8" s="6" t="str">
        <f t="shared" si="0"/>
        <v>441814969</v>
      </c>
      <c r="Y8" s="7" t="str">
        <f t="shared" si="1"/>
        <v>DC</v>
      </c>
      <c r="Z8" s="7">
        <f t="shared" si="2"/>
        <v>0</v>
      </c>
      <c r="AA8" s="7">
        <f t="shared" si="3"/>
        <v>273</v>
      </c>
      <c r="AB8" s="7">
        <f t="shared" si="4"/>
        <v>0</v>
      </c>
      <c r="AC8" s="7">
        <f t="shared" si="5"/>
        <v>0</v>
      </c>
      <c r="AD8" s="7">
        <f t="shared" si="6"/>
        <v>0</v>
      </c>
      <c r="AE8" s="8" t="str" cm="1">
        <f t="array" ref="AE8">IFERROR(_xlfn.XLOOKUP(H8,Sheet1!$G:$G,Sheet1!$F:$F),IFERROR(_xlfn.XLOOKUP(1,(--($X$2:$X$1074=X8))*(--ISNUMBER(MATCH($H$2:$H$1074,Sheet1!$G:$G,0))),_xlfn.XLOOKUP($H$2:$H$1074,Sheet1!$G:$G,Sheet1!$F:$F,"")),"NOT FOUND"))</f>
        <v>GETKRTSFUT6422</v>
      </c>
      <c r="AF8" s="9" t="str">
        <f t="shared" si="7"/>
        <v>DARK GREY</v>
      </c>
      <c r="AG8" s="10" t="str">
        <f t="shared" si="8"/>
        <v>Bangalore</v>
      </c>
      <c r="AH8" s="8" t="str" cm="1">
        <f t="array" ref="AH8">IF(OR(J8="",AE8="",AE8="NOT FOUND"),"",IF(Y8="RP",_xlfn.LET(_xlpm.desc,_xlfn.XLOOKUP(1,(--(Sheet1!$F$2:$F$754=AE8))*(--ISNUMBER(FIND("-",Sheet1!$W$2:$W$754,FIND("-",Sheet1!$W$2:$W$754)+1))),Sheet1!$W$2:$W$754,""),IF(_xlpm.desc="","NOT FOUND",LEFT(_xlpm.desc,FIND("-",_xlpm.desc,FIND("-",_xlpm.desc)+1))&amp;AE8)),LEFT(J8,FIND("-",J8,FIND("-",J8)+1))&amp;AE8))</f>
        <v>KRTS-APWN26-GETKRTSFUT6422</v>
      </c>
    </row>
    <row r="9" spans="1:36" ht="15.75" customHeight="1" x14ac:dyDescent="0.2">
      <c r="A9" t="s">
        <v>30</v>
      </c>
      <c r="B9" t="s">
        <v>615</v>
      </c>
      <c r="C9" t="s">
        <v>1152</v>
      </c>
      <c r="D9" t="s">
        <v>1154</v>
      </c>
      <c r="E9" t="s">
        <v>34</v>
      </c>
      <c r="F9" t="s">
        <v>35</v>
      </c>
      <c r="G9" t="s">
        <v>47</v>
      </c>
      <c r="H9" t="s">
        <v>623</v>
      </c>
      <c r="I9" t="s">
        <v>624</v>
      </c>
      <c r="J9" t="s">
        <v>625</v>
      </c>
      <c r="K9" t="s">
        <v>474</v>
      </c>
      <c r="L9" t="s">
        <v>40</v>
      </c>
      <c r="M9">
        <v>1</v>
      </c>
      <c r="N9">
        <v>257</v>
      </c>
      <c r="O9">
        <v>257</v>
      </c>
      <c r="P9" t="s">
        <v>41</v>
      </c>
      <c r="Q9">
        <v>279.7</v>
      </c>
      <c r="R9">
        <v>279.7</v>
      </c>
      <c r="S9">
        <v>3594.15</v>
      </c>
      <c r="T9">
        <v>71882.899999999994</v>
      </c>
      <c r="U9">
        <v>5</v>
      </c>
      <c r="V9" t="s">
        <v>42</v>
      </c>
      <c r="W9" t="s">
        <v>474</v>
      </c>
      <c r="X9" s="6" t="str">
        <f t="shared" si="0"/>
        <v>441814969</v>
      </c>
      <c r="Y9" s="7" t="str">
        <f t="shared" si="1"/>
        <v>DC</v>
      </c>
      <c r="Z9" s="7">
        <f t="shared" si="2"/>
        <v>0</v>
      </c>
      <c r="AA9" s="7">
        <f t="shared" si="3"/>
        <v>0</v>
      </c>
      <c r="AB9" s="7">
        <f t="shared" si="4"/>
        <v>257</v>
      </c>
      <c r="AC9" s="7">
        <f t="shared" si="5"/>
        <v>0</v>
      </c>
      <c r="AD9" s="7">
        <f t="shared" si="6"/>
        <v>0</v>
      </c>
      <c r="AE9" s="8" t="str" cm="1">
        <f t="array" ref="AE9">IFERROR(_xlfn.XLOOKUP(H9,Sheet1!$G:$G,Sheet1!$F:$F),IFERROR(_xlfn.XLOOKUP(1,(--($X$2:$X$1074=X9))*(--ISNUMBER(MATCH($H$2:$H$1074,Sheet1!$G:$G,0))),_xlfn.XLOOKUP($H$2:$H$1074,Sheet1!$G:$G,Sheet1!$F:$F,"")),"NOT FOUND"))</f>
        <v>GETKRTSFUT6422</v>
      </c>
      <c r="AF9" s="9" t="str">
        <f t="shared" si="7"/>
        <v>DARK GREY</v>
      </c>
      <c r="AG9" s="10" t="str">
        <f t="shared" si="8"/>
        <v>Bangalore</v>
      </c>
      <c r="AH9" s="8" t="str" cm="1">
        <f t="array" ref="AH9">IF(OR(J9="",AE9="",AE9="NOT FOUND"),"",IF(Y9="RP",_xlfn.LET(_xlpm.desc,_xlfn.XLOOKUP(1,(--(Sheet1!$F$2:$F$754=AE9))*(--ISNUMBER(FIND("-",Sheet1!$W$2:$W$754,FIND("-",Sheet1!$W$2:$W$754)+1))),Sheet1!$W$2:$W$754,""),IF(_xlpm.desc="","NOT FOUND",LEFT(_xlpm.desc,FIND("-",_xlpm.desc,FIND("-",_xlpm.desc)+1))&amp;AE9)),LEFT(J9,FIND("-",J9,FIND("-",J9)+1))&amp;AE9))</f>
        <v>KRTS-APWN26-GETKRTSFUT6422</v>
      </c>
    </row>
    <row r="10" spans="1:36" ht="15.75" customHeight="1" x14ac:dyDescent="0.2">
      <c r="A10" t="s">
        <v>30</v>
      </c>
      <c r="B10" t="s">
        <v>615</v>
      </c>
      <c r="C10" t="s">
        <v>1152</v>
      </c>
      <c r="D10" t="s">
        <v>1154</v>
      </c>
      <c r="E10" t="s">
        <v>34</v>
      </c>
      <c r="F10" t="s">
        <v>35</v>
      </c>
      <c r="G10" t="s">
        <v>51</v>
      </c>
      <c r="H10" t="s">
        <v>626</v>
      </c>
      <c r="I10" t="s">
        <v>627</v>
      </c>
      <c r="J10" t="s">
        <v>628</v>
      </c>
      <c r="K10" t="s">
        <v>474</v>
      </c>
      <c r="L10" t="s">
        <v>40</v>
      </c>
      <c r="M10">
        <v>1</v>
      </c>
      <c r="N10">
        <v>273</v>
      </c>
      <c r="O10">
        <v>273</v>
      </c>
      <c r="P10" t="s">
        <v>41</v>
      </c>
      <c r="Q10">
        <v>279.7</v>
      </c>
      <c r="R10">
        <v>279.7</v>
      </c>
      <c r="S10">
        <v>3817.91</v>
      </c>
      <c r="T10">
        <v>76358.100000000006</v>
      </c>
      <c r="U10">
        <v>5</v>
      </c>
      <c r="V10" t="s">
        <v>42</v>
      </c>
      <c r="W10" t="s">
        <v>474</v>
      </c>
      <c r="X10" s="6" t="str">
        <f t="shared" si="0"/>
        <v>441814969</v>
      </c>
      <c r="Y10" s="7" t="str">
        <f t="shared" si="1"/>
        <v>DC</v>
      </c>
      <c r="Z10" s="7">
        <f t="shared" si="2"/>
        <v>0</v>
      </c>
      <c r="AA10" s="7">
        <f t="shared" si="3"/>
        <v>0</v>
      </c>
      <c r="AB10" s="7">
        <f t="shared" si="4"/>
        <v>0</v>
      </c>
      <c r="AC10" s="7">
        <f t="shared" si="5"/>
        <v>273</v>
      </c>
      <c r="AD10" s="7">
        <f t="shared" si="6"/>
        <v>0</v>
      </c>
      <c r="AE10" s="8" t="str" cm="1">
        <f t="array" ref="AE10">IFERROR(_xlfn.XLOOKUP(H10,Sheet1!$G:$G,Sheet1!$F:$F),IFERROR(_xlfn.XLOOKUP(1,(--($X$2:$X$1074=X10))*(--ISNUMBER(MATCH($H$2:$H$1074,Sheet1!$G:$G,0))),_xlfn.XLOOKUP($H$2:$H$1074,Sheet1!$G:$G,Sheet1!$F:$F,"")),"NOT FOUND"))</f>
        <v>GETKRTSFUT6422</v>
      </c>
      <c r="AF10" s="9" t="str">
        <f t="shared" si="7"/>
        <v>DARK GREY</v>
      </c>
      <c r="AG10" s="10" t="str">
        <f t="shared" si="8"/>
        <v>Bangalore</v>
      </c>
      <c r="AH10" s="8" t="str" cm="1">
        <f t="array" ref="AH10">IF(OR(J10="",AE10="",AE10="NOT FOUND"),"",IF(Y10="RP",_xlfn.LET(_xlpm.desc,_xlfn.XLOOKUP(1,(--(Sheet1!$F$2:$F$754=AE10))*(--ISNUMBER(FIND("-",Sheet1!$W$2:$W$754,FIND("-",Sheet1!$W$2:$W$754)+1))),Sheet1!$W$2:$W$754,""),IF(_xlpm.desc="","NOT FOUND",LEFT(_xlpm.desc,FIND("-",_xlpm.desc,FIND("-",_xlpm.desc)+1))&amp;AE10)),LEFT(J10,FIND("-",J10,FIND("-",J10)+1))&amp;AE10))</f>
        <v>KRTS-APWN26-GETKRTSFUT6422</v>
      </c>
    </row>
    <row r="11" spans="1:36" ht="15.75" customHeight="1" x14ac:dyDescent="0.2">
      <c r="A11" t="s">
        <v>30</v>
      </c>
      <c r="B11" t="s">
        <v>615</v>
      </c>
      <c r="C11" t="s">
        <v>1152</v>
      </c>
      <c r="D11" t="s">
        <v>1154</v>
      </c>
      <c r="E11" t="s">
        <v>34</v>
      </c>
      <c r="F11" t="s">
        <v>35</v>
      </c>
      <c r="G11" t="s">
        <v>55</v>
      </c>
      <c r="H11" t="s">
        <v>629</v>
      </c>
      <c r="I11" t="s">
        <v>630</v>
      </c>
      <c r="J11" t="s">
        <v>631</v>
      </c>
      <c r="K11" t="s">
        <v>474</v>
      </c>
      <c r="L11" t="s">
        <v>40</v>
      </c>
      <c r="M11">
        <v>1</v>
      </c>
      <c r="N11">
        <v>96</v>
      </c>
      <c r="O11">
        <v>96</v>
      </c>
      <c r="P11" t="s">
        <v>41</v>
      </c>
      <c r="Q11">
        <v>279.7</v>
      </c>
      <c r="R11">
        <v>279.7</v>
      </c>
      <c r="S11">
        <v>1342.56</v>
      </c>
      <c r="T11">
        <v>26851.200000000001</v>
      </c>
      <c r="U11">
        <v>5</v>
      </c>
      <c r="V11" t="s">
        <v>42</v>
      </c>
      <c r="W11" t="s">
        <v>474</v>
      </c>
      <c r="X11" s="6" t="str">
        <f t="shared" si="0"/>
        <v>441814969</v>
      </c>
      <c r="Y11" s="7" t="str">
        <f t="shared" si="1"/>
        <v>DC</v>
      </c>
      <c r="Z11" s="7">
        <f t="shared" si="2"/>
        <v>0</v>
      </c>
      <c r="AA11" s="7">
        <f t="shared" si="3"/>
        <v>0</v>
      </c>
      <c r="AB11" s="7">
        <f t="shared" si="4"/>
        <v>0</v>
      </c>
      <c r="AC11" s="7">
        <f t="shared" si="5"/>
        <v>0</v>
      </c>
      <c r="AD11" s="7">
        <f t="shared" si="6"/>
        <v>96</v>
      </c>
      <c r="AE11" s="8" t="str" cm="1">
        <f t="array" ref="AE11">IFERROR(_xlfn.XLOOKUP(H11,Sheet1!$G:$G,Sheet1!$F:$F),IFERROR(_xlfn.XLOOKUP(1,(--($X$2:$X$1074=X11))*(--ISNUMBER(MATCH($H$2:$H$1074,Sheet1!$G:$G,0))),_xlfn.XLOOKUP($H$2:$H$1074,Sheet1!$G:$G,Sheet1!$F:$F,"")),"NOT FOUND"))</f>
        <v>GETKRTSFUT6422</v>
      </c>
      <c r="AF11" s="9" t="str">
        <f t="shared" si="7"/>
        <v>DARK GREY</v>
      </c>
      <c r="AG11" s="10" t="str">
        <f t="shared" si="8"/>
        <v>Bangalore</v>
      </c>
      <c r="AH11" s="8" t="str" cm="1">
        <f t="array" ref="AH11">IF(OR(J11="",AE11="",AE11="NOT FOUND"),"",IF(Y11="RP",_xlfn.LET(_xlpm.desc,_xlfn.XLOOKUP(1,(--(Sheet1!$F$2:$F$754=AE11))*(--ISNUMBER(FIND("-",Sheet1!$W$2:$W$754,FIND("-",Sheet1!$W$2:$W$754)+1))),Sheet1!$W$2:$W$754,""),IF(_xlpm.desc="","NOT FOUND",LEFT(_xlpm.desc,FIND("-",_xlpm.desc,FIND("-",_xlpm.desc)+1))&amp;AE11)),LEFT(J11,FIND("-",J11,FIND("-",J11)+1))&amp;AE11))</f>
        <v>KRTS-APWN26-GETKRTSFUT6422</v>
      </c>
    </row>
    <row r="12" spans="1:36" ht="15.75" customHeight="1" x14ac:dyDescent="0.2">
      <c r="A12" t="s">
        <v>30</v>
      </c>
      <c r="B12" t="s">
        <v>632</v>
      </c>
      <c r="C12" t="s">
        <v>1152</v>
      </c>
      <c r="D12" t="s">
        <v>1154</v>
      </c>
      <c r="E12" t="s">
        <v>34</v>
      </c>
      <c r="F12" t="s">
        <v>35</v>
      </c>
      <c r="G12" t="s">
        <v>36</v>
      </c>
      <c r="H12" t="s">
        <v>634</v>
      </c>
      <c r="I12" t="s">
        <v>635</v>
      </c>
      <c r="J12" t="s">
        <v>636</v>
      </c>
      <c r="K12" t="s">
        <v>474</v>
      </c>
      <c r="L12" t="s">
        <v>40</v>
      </c>
      <c r="M12">
        <v>1</v>
      </c>
      <c r="N12">
        <v>64</v>
      </c>
      <c r="O12">
        <v>64</v>
      </c>
      <c r="P12" t="s">
        <v>41</v>
      </c>
      <c r="Q12">
        <v>276.7</v>
      </c>
      <c r="R12">
        <v>276.7</v>
      </c>
      <c r="S12">
        <v>885.44</v>
      </c>
      <c r="T12">
        <v>17708.8</v>
      </c>
      <c r="U12">
        <v>5</v>
      </c>
      <c r="V12" t="s">
        <v>42</v>
      </c>
      <c r="W12" t="s">
        <v>474</v>
      </c>
      <c r="X12" s="6" t="str">
        <f t="shared" si="0"/>
        <v>441814968</v>
      </c>
      <c r="Y12" s="7" t="str">
        <f t="shared" si="1"/>
        <v>DC</v>
      </c>
      <c r="Z12" s="7">
        <f t="shared" si="2"/>
        <v>64</v>
      </c>
      <c r="AA12" s="7">
        <f t="shared" si="3"/>
        <v>0</v>
      </c>
      <c r="AB12" s="7">
        <f t="shared" si="4"/>
        <v>0</v>
      </c>
      <c r="AC12" s="7">
        <f t="shared" si="5"/>
        <v>0</v>
      </c>
      <c r="AD12" s="7">
        <f t="shared" si="6"/>
        <v>0</v>
      </c>
      <c r="AE12" s="8" t="str" cm="1">
        <f t="array" ref="AE12">IFERROR(_xlfn.XLOOKUP(H12,Sheet1!$G:$G,Sheet1!$F:$F),IFERROR(_xlfn.XLOOKUP(1,(--($X$2:$X$1074=X12))*(--ISNUMBER(MATCH($H$2:$H$1074,Sheet1!$G:$G,0))),_xlfn.XLOOKUP($H$2:$H$1074,Sheet1!$G:$G,Sheet1!$F:$F,"")),"NOT FOUND"))</f>
        <v>GETKRTSFUT6421</v>
      </c>
      <c r="AF12" s="9" t="str">
        <f t="shared" si="7"/>
        <v>DARK GREY</v>
      </c>
      <c r="AG12" s="10" t="str">
        <f t="shared" si="8"/>
        <v>Bangalore</v>
      </c>
      <c r="AH12" s="8" t="str" cm="1">
        <f t="array" ref="AH12">IF(OR(J12="",AE12="",AE12="NOT FOUND"),"",IF(Y12="RP",_xlfn.LET(_xlpm.desc,_xlfn.XLOOKUP(1,(--(Sheet1!$F$2:$F$754=AE12))*(--ISNUMBER(FIND("-",Sheet1!$W$2:$W$754,FIND("-",Sheet1!$W$2:$W$754)+1))),Sheet1!$W$2:$W$754,""),IF(_xlpm.desc="","NOT FOUND",LEFT(_xlpm.desc,FIND("-",_xlpm.desc,FIND("-",_xlpm.desc)+1))&amp;AE12)),LEFT(J12,FIND("-",J12,FIND("-",J12)+1))&amp;AE12))</f>
        <v>KRTS-APWN26-GETKRTSFUT6421</v>
      </c>
    </row>
    <row r="13" spans="1:36" ht="15.75" customHeight="1" x14ac:dyDescent="0.2">
      <c r="A13" t="s">
        <v>30</v>
      </c>
      <c r="B13" t="s">
        <v>632</v>
      </c>
      <c r="C13" t="s">
        <v>1152</v>
      </c>
      <c r="D13" t="s">
        <v>1154</v>
      </c>
      <c r="E13" t="s">
        <v>34</v>
      </c>
      <c r="F13" t="s">
        <v>35</v>
      </c>
      <c r="G13" t="s">
        <v>43</v>
      </c>
      <c r="H13" t="s">
        <v>637</v>
      </c>
      <c r="I13" t="s">
        <v>638</v>
      </c>
      <c r="J13" t="s">
        <v>639</v>
      </c>
      <c r="K13" t="s">
        <v>474</v>
      </c>
      <c r="L13" t="s">
        <v>40</v>
      </c>
      <c r="M13">
        <v>1</v>
      </c>
      <c r="N13">
        <v>273</v>
      </c>
      <c r="O13">
        <v>273</v>
      </c>
      <c r="P13" t="s">
        <v>41</v>
      </c>
      <c r="Q13">
        <v>276.7</v>
      </c>
      <c r="R13">
        <v>276.7</v>
      </c>
      <c r="S13">
        <v>3776.96</v>
      </c>
      <c r="T13">
        <v>75539.100000000006</v>
      </c>
      <c r="U13">
        <v>5</v>
      </c>
      <c r="V13" t="s">
        <v>42</v>
      </c>
      <c r="W13" t="s">
        <v>474</v>
      </c>
      <c r="X13" s="6" t="str">
        <f t="shared" si="0"/>
        <v>441814968</v>
      </c>
      <c r="Y13" s="7" t="str">
        <f t="shared" si="1"/>
        <v>DC</v>
      </c>
      <c r="Z13" s="7">
        <f t="shared" si="2"/>
        <v>0</v>
      </c>
      <c r="AA13" s="7">
        <f t="shared" si="3"/>
        <v>273</v>
      </c>
      <c r="AB13" s="7">
        <f t="shared" si="4"/>
        <v>0</v>
      </c>
      <c r="AC13" s="7">
        <f t="shared" si="5"/>
        <v>0</v>
      </c>
      <c r="AD13" s="7">
        <f t="shared" si="6"/>
        <v>0</v>
      </c>
      <c r="AE13" s="8" t="str" cm="1">
        <f t="array" ref="AE13">IFERROR(_xlfn.XLOOKUP(H13,Sheet1!$G:$G,Sheet1!$F:$F),IFERROR(_xlfn.XLOOKUP(1,(--($X$2:$X$1074=X13))*(--ISNUMBER(MATCH($H$2:$H$1074,Sheet1!$G:$G,0))),_xlfn.XLOOKUP($H$2:$H$1074,Sheet1!$G:$G,Sheet1!$F:$F,"")),"NOT FOUND"))</f>
        <v>GETKRTSFUT6421</v>
      </c>
      <c r="AF13" s="9" t="str">
        <f t="shared" si="7"/>
        <v>DARK GREY</v>
      </c>
      <c r="AG13" s="10" t="str">
        <f t="shared" si="8"/>
        <v>Bangalore</v>
      </c>
      <c r="AH13" s="8" t="str" cm="1">
        <f t="array" ref="AH13">IF(OR(J13="",AE13="",AE13="NOT FOUND"),"",IF(Y13="RP",_xlfn.LET(_xlpm.desc,_xlfn.XLOOKUP(1,(--(Sheet1!$F$2:$F$754=AE13))*(--ISNUMBER(FIND("-",Sheet1!$W$2:$W$754,FIND("-",Sheet1!$W$2:$W$754)+1))),Sheet1!$W$2:$W$754,""),IF(_xlpm.desc="","NOT FOUND",LEFT(_xlpm.desc,FIND("-",_xlpm.desc,FIND("-",_xlpm.desc)+1))&amp;AE13)),LEFT(J13,FIND("-",J13,FIND("-",J13)+1))&amp;AE13))</f>
        <v>KRTS-APWN26-GETKRTSFUT6421</v>
      </c>
    </row>
    <row r="14" spans="1:36" ht="15.75" customHeight="1" x14ac:dyDescent="0.2">
      <c r="A14" t="s">
        <v>30</v>
      </c>
      <c r="B14" t="s">
        <v>632</v>
      </c>
      <c r="C14" t="s">
        <v>1152</v>
      </c>
      <c r="D14" t="s">
        <v>1154</v>
      </c>
      <c r="E14" t="s">
        <v>34</v>
      </c>
      <c r="F14" t="s">
        <v>35</v>
      </c>
      <c r="G14" t="s">
        <v>47</v>
      </c>
      <c r="H14" t="s">
        <v>640</v>
      </c>
      <c r="I14" t="s">
        <v>641</v>
      </c>
      <c r="J14" t="s">
        <v>642</v>
      </c>
      <c r="K14" t="s">
        <v>474</v>
      </c>
      <c r="L14" t="s">
        <v>40</v>
      </c>
      <c r="M14">
        <v>1</v>
      </c>
      <c r="N14">
        <v>257</v>
      </c>
      <c r="O14">
        <v>257</v>
      </c>
      <c r="P14" t="s">
        <v>41</v>
      </c>
      <c r="Q14">
        <v>276.7</v>
      </c>
      <c r="R14">
        <v>276.7</v>
      </c>
      <c r="S14">
        <v>3555.6</v>
      </c>
      <c r="T14">
        <v>71111.899999999994</v>
      </c>
      <c r="U14">
        <v>5</v>
      </c>
      <c r="V14" t="s">
        <v>42</v>
      </c>
      <c r="W14" t="s">
        <v>474</v>
      </c>
      <c r="X14" s="6" t="str">
        <f t="shared" si="0"/>
        <v>441814968</v>
      </c>
      <c r="Y14" s="7" t="str">
        <f t="shared" si="1"/>
        <v>DC</v>
      </c>
      <c r="Z14" s="7">
        <f t="shared" si="2"/>
        <v>0</v>
      </c>
      <c r="AA14" s="7">
        <f t="shared" si="3"/>
        <v>0</v>
      </c>
      <c r="AB14" s="7">
        <f t="shared" si="4"/>
        <v>257</v>
      </c>
      <c r="AC14" s="7">
        <f t="shared" si="5"/>
        <v>0</v>
      </c>
      <c r="AD14" s="7">
        <f t="shared" si="6"/>
        <v>0</v>
      </c>
      <c r="AE14" s="8" t="str" cm="1">
        <f t="array" ref="AE14">IFERROR(_xlfn.XLOOKUP(H14,Sheet1!$G:$G,Sheet1!$F:$F),IFERROR(_xlfn.XLOOKUP(1,(--($X$2:$X$1074=X14))*(--ISNUMBER(MATCH($H$2:$H$1074,Sheet1!$G:$G,0))),_xlfn.XLOOKUP($H$2:$H$1074,Sheet1!$G:$G,Sheet1!$F:$F,"")),"NOT FOUND"))</f>
        <v>GETKRTSFUT6421</v>
      </c>
      <c r="AF14" s="9" t="str">
        <f t="shared" si="7"/>
        <v>DARK GREY</v>
      </c>
      <c r="AG14" s="10" t="str">
        <f t="shared" si="8"/>
        <v>Bangalore</v>
      </c>
      <c r="AH14" s="8" t="str" cm="1">
        <f t="array" ref="AH14">IF(OR(J14="",AE14="",AE14="NOT FOUND"),"",IF(Y14="RP",_xlfn.LET(_xlpm.desc,_xlfn.XLOOKUP(1,(--(Sheet1!$F$2:$F$754=AE14))*(--ISNUMBER(FIND("-",Sheet1!$W$2:$W$754,FIND("-",Sheet1!$W$2:$W$754)+1))),Sheet1!$W$2:$W$754,""),IF(_xlpm.desc="","NOT FOUND",LEFT(_xlpm.desc,FIND("-",_xlpm.desc,FIND("-",_xlpm.desc)+1))&amp;AE14)),LEFT(J14,FIND("-",J14,FIND("-",J14)+1))&amp;AE14))</f>
        <v>KRTS-APWN26-GETKRTSFUT6421</v>
      </c>
    </row>
    <row r="15" spans="1:36" ht="15.75" customHeight="1" x14ac:dyDescent="0.2">
      <c r="A15" t="s">
        <v>30</v>
      </c>
      <c r="B15" t="s">
        <v>632</v>
      </c>
      <c r="C15" t="s">
        <v>1152</v>
      </c>
      <c r="D15" t="s">
        <v>1154</v>
      </c>
      <c r="E15" t="s">
        <v>34</v>
      </c>
      <c r="F15" t="s">
        <v>35</v>
      </c>
      <c r="G15" t="s">
        <v>51</v>
      </c>
      <c r="H15" t="s">
        <v>643</v>
      </c>
      <c r="I15" t="s">
        <v>644</v>
      </c>
      <c r="J15" t="s">
        <v>628</v>
      </c>
      <c r="K15" t="s">
        <v>474</v>
      </c>
      <c r="L15" t="s">
        <v>40</v>
      </c>
      <c r="M15">
        <v>1</v>
      </c>
      <c r="N15">
        <v>273</v>
      </c>
      <c r="O15">
        <v>273</v>
      </c>
      <c r="P15" t="s">
        <v>41</v>
      </c>
      <c r="Q15">
        <v>276.7</v>
      </c>
      <c r="R15">
        <v>276.7</v>
      </c>
      <c r="S15">
        <v>3776.96</v>
      </c>
      <c r="T15">
        <v>75539.100000000006</v>
      </c>
      <c r="U15">
        <v>5</v>
      </c>
      <c r="V15" t="s">
        <v>42</v>
      </c>
      <c r="W15" t="s">
        <v>474</v>
      </c>
      <c r="X15" s="6" t="str">
        <f t="shared" si="0"/>
        <v>441814968</v>
      </c>
      <c r="Y15" s="7" t="str">
        <f t="shared" si="1"/>
        <v>DC</v>
      </c>
      <c r="Z15" s="7">
        <f t="shared" si="2"/>
        <v>0</v>
      </c>
      <c r="AA15" s="7">
        <f t="shared" si="3"/>
        <v>0</v>
      </c>
      <c r="AB15" s="7">
        <f t="shared" si="4"/>
        <v>0</v>
      </c>
      <c r="AC15" s="7">
        <f t="shared" si="5"/>
        <v>273</v>
      </c>
      <c r="AD15" s="7">
        <f t="shared" si="6"/>
        <v>0</v>
      </c>
      <c r="AE15" s="8" t="str" cm="1">
        <f t="array" ref="AE15">IFERROR(_xlfn.XLOOKUP(H15,Sheet1!$G:$G,Sheet1!$F:$F),IFERROR(_xlfn.XLOOKUP(1,(--($X$2:$X$1074=X15))*(--ISNUMBER(MATCH($H$2:$H$1074,Sheet1!$G:$G,0))),_xlfn.XLOOKUP($H$2:$H$1074,Sheet1!$G:$G,Sheet1!$F:$F,"")),"NOT FOUND"))</f>
        <v>GETKRTSFUT6421</v>
      </c>
      <c r="AF15" s="9" t="str">
        <f t="shared" si="7"/>
        <v>DARK GREY</v>
      </c>
      <c r="AG15" s="10" t="str">
        <f t="shared" si="8"/>
        <v>Bangalore</v>
      </c>
      <c r="AH15" s="8" t="str" cm="1">
        <f t="array" ref="AH15">IF(OR(J15="",AE15="",AE15="NOT FOUND"),"",IF(Y15="RP",_xlfn.LET(_xlpm.desc,_xlfn.XLOOKUP(1,(--(Sheet1!$F$2:$F$754=AE15))*(--ISNUMBER(FIND("-",Sheet1!$W$2:$W$754,FIND("-",Sheet1!$W$2:$W$754)+1))),Sheet1!$W$2:$W$754,""),IF(_xlpm.desc="","NOT FOUND",LEFT(_xlpm.desc,FIND("-",_xlpm.desc,FIND("-",_xlpm.desc)+1))&amp;AE15)),LEFT(J15,FIND("-",J15,FIND("-",J15)+1))&amp;AE15))</f>
        <v>KRTS-APWN26-GETKRTSFUT6421</v>
      </c>
    </row>
    <row r="16" spans="1:36" ht="15.75" customHeight="1" x14ac:dyDescent="0.2">
      <c r="A16" t="s">
        <v>30</v>
      </c>
      <c r="B16" t="s">
        <v>632</v>
      </c>
      <c r="C16" t="s">
        <v>1152</v>
      </c>
      <c r="D16" t="s">
        <v>1154</v>
      </c>
      <c r="E16" t="s">
        <v>34</v>
      </c>
      <c r="F16" t="s">
        <v>35</v>
      </c>
      <c r="G16" t="s">
        <v>55</v>
      </c>
      <c r="H16" t="s">
        <v>645</v>
      </c>
      <c r="I16" t="s">
        <v>646</v>
      </c>
      <c r="J16" t="s">
        <v>631</v>
      </c>
      <c r="K16" t="s">
        <v>474</v>
      </c>
      <c r="L16" t="s">
        <v>40</v>
      </c>
      <c r="M16">
        <v>1</v>
      </c>
      <c r="N16">
        <v>96</v>
      </c>
      <c r="O16">
        <v>96</v>
      </c>
      <c r="P16" t="s">
        <v>41</v>
      </c>
      <c r="Q16">
        <v>276.7</v>
      </c>
      <c r="R16">
        <v>276.7</v>
      </c>
      <c r="S16">
        <v>1328.16</v>
      </c>
      <c r="T16">
        <v>26563.200000000001</v>
      </c>
      <c r="U16">
        <v>5</v>
      </c>
      <c r="V16" t="s">
        <v>42</v>
      </c>
      <c r="W16" t="s">
        <v>474</v>
      </c>
      <c r="X16" s="6" t="str">
        <f t="shared" si="0"/>
        <v>441814968</v>
      </c>
      <c r="Y16" s="7" t="str">
        <f t="shared" si="1"/>
        <v>DC</v>
      </c>
      <c r="Z16" s="7">
        <f t="shared" si="2"/>
        <v>0</v>
      </c>
      <c r="AA16" s="7">
        <f t="shared" si="3"/>
        <v>0</v>
      </c>
      <c r="AB16" s="7">
        <f t="shared" si="4"/>
        <v>0</v>
      </c>
      <c r="AC16" s="7">
        <f t="shared" si="5"/>
        <v>0</v>
      </c>
      <c r="AD16" s="7">
        <f t="shared" si="6"/>
        <v>96</v>
      </c>
      <c r="AE16" s="8" t="str" cm="1">
        <f t="array" ref="AE16">IFERROR(_xlfn.XLOOKUP(H16,Sheet1!$G:$G,Sheet1!$F:$F),IFERROR(_xlfn.XLOOKUP(1,(--($X$2:$X$1074=X16))*(--ISNUMBER(MATCH($H$2:$H$1074,Sheet1!$G:$G,0))),_xlfn.XLOOKUP($H$2:$H$1074,Sheet1!$G:$G,Sheet1!$F:$F,"")),"NOT FOUND"))</f>
        <v>GETKRTSFUT6421</v>
      </c>
      <c r="AF16" s="9" t="str">
        <f t="shared" si="7"/>
        <v>DARK GREY</v>
      </c>
      <c r="AG16" s="10" t="str">
        <f t="shared" si="8"/>
        <v>Bangalore</v>
      </c>
      <c r="AH16" s="8" t="str" cm="1">
        <f t="array" ref="AH16">IF(OR(J16="",AE16="",AE16="NOT FOUND"),"",IF(Y16="RP",_xlfn.LET(_xlpm.desc,_xlfn.XLOOKUP(1,(--(Sheet1!$F$2:$F$754=AE16))*(--ISNUMBER(FIND("-",Sheet1!$W$2:$W$754,FIND("-",Sheet1!$W$2:$W$754)+1))),Sheet1!$W$2:$W$754,""),IF(_xlpm.desc="","NOT FOUND",LEFT(_xlpm.desc,FIND("-",_xlpm.desc,FIND("-",_xlpm.desc)+1))&amp;AE16)),LEFT(J16,FIND("-",J16,FIND("-",J16)+1))&amp;AE16))</f>
        <v>KRTS-APWN26-GETKRTSFUT6421</v>
      </c>
    </row>
    <row r="17" spans="1:34" ht="15.75" customHeight="1" x14ac:dyDescent="0.2">
      <c r="A17" t="s">
        <v>30</v>
      </c>
      <c r="B17" t="s">
        <v>647</v>
      </c>
      <c r="C17" t="s">
        <v>1152</v>
      </c>
      <c r="D17" t="s">
        <v>1154</v>
      </c>
      <c r="E17" t="s">
        <v>34</v>
      </c>
      <c r="F17" t="s">
        <v>35</v>
      </c>
      <c r="G17" t="s">
        <v>36</v>
      </c>
      <c r="H17" t="s">
        <v>649</v>
      </c>
      <c r="I17" t="s">
        <v>650</v>
      </c>
      <c r="J17" t="s">
        <v>651</v>
      </c>
      <c r="K17" t="s">
        <v>474</v>
      </c>
      <c r="L17" t="s">
        <v>40</v>
      </c>
      <c r="M17">
        <v>1</v>
      </c>
      <c r="N17">
        <v>64</v>
      </c>
      <c r="O17">
        <v>64</v>
      </c>
      <c r="P17" t="s">
        <v>41</v>
      </c>
      <c r="Q17">
        <v>279.7</v>
      </c>
      <c r="R17">
        <v>279.7</v>
      </c>
      <c r="S17">
        <v>895.04</v>
      </c>
      <c r="T17">
        <v>17900.8</v>
      </c>
      <c r="U17">
        <v>5</v>
      </c>
      <c r="V17" t="s">
        <v>42</v>
      </c>
      <c r="W17" t="s">
        <v>474</v>
      </c>
      <c r="X17" s="6" t="str">
        <f t="shared" si="0"/>
        <v>441814967</v>
      </c>
      <c r="Y17" s="7" t="str">
        <f t="shared" si="1"/>
        <v>DC</v>
      </c>
      <c r="Z17" s="7">
        <f t="shared" si="2"/>
        <v>64</v>
      </c>
      <c r="AA17" s="7">
        <f t="shared" si="3"/>
        <v>0</v>
      </c>
      <c r="AB17" s="7">
        <f t="shared" si="4"/>
        <v>0</v>
      </c>
      <c r="AC17" s="7">
        <f t="shared" si="5"/>
        <v>0</v>
      </c>
      <c r="AD17" s="7">
        <f t="shared" si="6"/>
        <v>0</v>
      </c>
      <c r="AE17" s="8" t="str" cm="1">
        <f t="array" ref="AE17">IFERROR(_xlfn.XLOOKUP(H17,Sheet1!$G:$G,Sheet1!$F:$F),IFERROR(_xlfn.XLOOKUP(1,(--($X$2:$X$1074=X17))*(--ISNUMBER(MATCH($H$2:$H$1074,Sheet1!$G:$G,0))),_xlfn.XLOOKUP($H$2:$H$1074,Sheet1!$G:$G,Sheet1!$F:$F,"")),"NOT FOUND"))</f>
        <v>GETKRTSFUT6420</v>
      </c>
      <c r="AF17" s="9" t="str">
        <f t="shared" si="7"/>
        <v>MINT</v>
      </c>
      <c r="AG17" s="10" t="str">
        <f t="shared" si="8"/>
        <v>Bangalore</v>
      </c>
      <c r="AH17" s="8" t="str" cm="1">
        <f t="array" ref="AH17">IF(OR(J17="",AE17="",AE17="NOT FOUND"),"",IF(Y17="RP",_xlfn.LET(_xlpm.desc,_xlfn.XLOOKUP(1,(--(Sheet1!$F$2:$F$754=AE17))*(--ISNUMBER(FIND("-",Sheet1!$W$2:$W$754,FIND("-",Sheet1!$W$2:$W$754)+1))),Sheet1!$W$2:$W$754,""),IF(_xlpm.desc="","NOT FOUND",LEFT(_xlpm.desc,FIND("-",_xlpm.desc,FIND("-",_xlpm.desc)+1))&amp;AE17)),LEFT(J17,FIND("-",J17,FIND("-",J17)+1))&amp;AE17))</f>
        <v>KRTS-APWN26-GETKRTSFUT6420</v>
      </c>
    </row>
    <row r="18" spans="1:34" ht="15.75" customHeight="1" x14ac:dyDescent="0.2">
      <c r="A18" t="s">
        <v>30</v>
      </c>
      <c r="B18" t="s">
        <v>647</v>
      </c>
      <c r="C18" t="s">
        <v>1152</v>
      </c>
      <c r="D18" t="s">
        <v>1154</v>
      </c>
      <c r="E18" t="s">
        <v>34</v>
      </c>
      <c r="F18" t="s">
        <v>35</v>
      </c>
      <c r="G18" t="s">
        <v>43</v>
      </c>
      <c r="H18" t="s">
        <v>652</v>
      </c>
      <c r="I18" t="s">
        <v>653</v>
      </c>
      <c r="J18" t="s">
        <v>654</v>
      </c>
      <c r="K18" t="s">
        <v>474</v>
      </c>
      <c r="L18" t="s">
        <v>40</v>
      </c>
      <c r="M18">
        <v>1</v>
      </c>
      <c r="N18">
        <v>273</v>
      </c>
      <c r="O18">
        <v>273</v>
      </c>
      <c r="P18" t="s">
        <v>41</v>
      </c>
      <c r="Q18">
        <v>279.7</v>
      </c>
      <c r="R18">
        <v>279.7</v>
      </c>
      <c r="S18">
        <v>3817.91</v>
      </c>
      <c r="T18">
        <v>76358.100000000006</v>
      </c>
      <c r="U18">
        <v>5</v>
      </c>
      <c r="V18" t="s">
        <v>42</v>
      </c>
      <c r="W18" t="s">
        <v>474</v>
      </c>
      <c r="X18" s="6" t="str">
        <f t="shared" si="0"/>
        <v>441814967</v>
      </c>
      <c r="Y18" s="7" t="str">
        <f t="shared" si="1"/>
        <v>DC</v>
      </c>
      <c r="Z18" s="7">
        <f t="shared" si="2"/>
        <v>0</v>
      </c>
      <c r="AA18" s="7">
        <f t="shared" si="3"/>
        <v>273</v>
      </c>
      <c r="AB18" s="7">
        <f t="shared" si="4"/>
        <v>0</v>
      </c>
      <c r="AC18" s="7">
        <f t="shared" si="5"/>
        <v>0</v>
      </c>
      <c r="AD18" s="7">
        <f t="shared" si="6"/>
        <v>0</v>
      </c>
      <c r="AE18" s="8" t="str" cm="1">
        <f t="array" ref="AE18">IFERROR(_xlfn.XLOOKUP(H18,Sheet1!$G:$G,Sheet1!$F:$F),IFERROR(_xlfn.XLOOKUP(1,(--($X$2:$X$1074=X18))*(--ISNUMBER(MATCH($H$2:$H$1074,Sheet1!$G:$G,0))),_xlfn.XLOOKUP($H$2:$H$1074,Sheet1!$G:$G,Sheet1!$F:$F,"")),"NOT FOUND"))</f>
        <v>GETKRTSFUT6420</v>
      </c>
      <c r="AF18" s="9" t="str">
        <f t="shared" si="7"/>
        <v>MINT</v>
      </c>
      <c r="AG18" s="10" t="str">
        <f t="shared" si="8"/>
        <v>Bangalore</v>
      </c>
      <c r="AH18" s="8" t="str" cm="1">
        <f t="array" ref="AH18">IF(OR(J18="",AE18="",AE18="NOT FOUND"),"",IF(Y18="RP",_xlfn.LET(_xlpm.desc,_xlfn.XLOOKUP(1,(--(Sheet1!$F$2:$F$754=AE18))*(--ISNUMBER(FIND("-",Sheet1!$W$2:$W$754,FIND("-",Sheet1!$W$2:$W$754)+1))),Sheet1!$W$2:$W$754,""),IF(_xlpm.desc="","NOT FOUND",LEFT(_xlpm.desc,FIND("-",_xlpm.desc,FIND("-",_xlpm.desc)+1))&amp;AE18)),LEFT(J18,FIND("-",J18,FIND("-",J18)+1))&amp;AE18))</f>
        <v>KRTS-APWN26-GETKRTSFUT6420</v>
      </c>
    </row>
    <row r="19" spans="1:34" ht="15.75" customHeight="1" x14ac:dyDescent="0.2">
      <c r="A19" t="s">
        <v>30</v>
      </c>
      <c r="B19" t="s">
        <v>647</v>
      </c>
      <c r="C19" t="s">
        <v>1152</v>
      </c>
      <c r="D19" t="s">
        <v>1154</v>
      </c>
      <c r="E19" t="s">
        <v>34</v>
      </c>
      <c r="F19" t="s">
        <v>35</v>
      </c>
      <c r="G19" t="s">
        <v>47</v>
      </c>
      <c r="H19" t="s">
        <v>655</v>
      </c>
      <c r="I19" t="s">
        <v>656</v>
      </c>
      <c r="J19" t="s">
        <v>657</v>
      </c>
      <c r="K19" t="s">
        <v>474</v>
      </c>
      <c r="L19" t="s">
        <v>40</v>
      </c>
      <c r="M19">
        <v>1</v>
      </c>
      <c r="N19">
        <v>257</v>
      </c>
      <c r="O19">
        <v>257</v>
      </c>
      <c r="P19" t="s">
        <v>41</v>
      </c>
      <c r="Q19">
        <v>279.7</v>
      </c>
      <c r="R19">
        <v>279.7</v>
      </c>
      <c r="S19">
        <v>3594.15</v>
      </c>
      <c r="T19">
        <v>71882.899999999994</v>
      </c>
      <c r="U19">
        <v>5</v>
      </c>
      <c r="V19" t="s">
        <v>42</v>
      </c>
      <c r="W19" t="s">
        <v>474</v>
      </c>
      <c r="X19" s="6" t="str">
        <f t="shared" si="0"/>
        <v>441814967</v>
      </c>
      <c r="Y19" s="7" t="str">
        <f t="shared" si="1"/>
        <v>DC</v>
      </c>
      <c r="Z19" s="7">
        <f t="shared" si="2"/>
        <v>0</v>
      </c>
      <c r="AA19" s="7">
        <f t="shared" si="3"/>
        <v>0</v>
      </c>
      <c r="AB19" s="7">
        <f t="shared" si="4"/>
        <v>257</v>
      </c>
      <c r="AC19" s="7">
        <f t="shared" si="5"/>
        <v>0</v>
      </c>
      <c r="AD19" s="7">
        <f t="shared" si="6"/>
        <v>0</v>
      </c>
      <c r="AE19" s="8" t="str" cm="1">
        <f t="array" ref="AE19">IFERROR(_xlfn.XLOOKUP(H19,Sheet1!$G:$G,Sheet1!$F:$F),IFERROR(_xlfn.XLOOKUP(1,(--($X$2:$X$1074=X19))*(--ISNUMBER(MATCH($H$2:$H$1074,Sheet1!$G:$G,0))),_xlfn.XLOOKUP($H$2:$H$1074,Sheet1!$G:$G,Sheet1!$F:$F,"")),"NOT FOUND"))</f>
        <v>GETKRTSFUT6420</v>
      </c>
      <c r="AF19" s="9" t="str">
        <f t="shared" si="7"/>
        <v>MINT</v>
      </c>
      <c r="AG19" s="10" t="str">
        <f t="shared" si="8"/>
        <v>Bangalore</v>
      </c>
      <c r="AH19" s="8" t="str" cm="1">
        <f t="array" ref="AH19">IF(OR(J19="",AE19="",AE19="NOT FOUND"),"",IF(Y19="RP",_xlfn.LET(_xlpm.desc,_xlfn.XLOOKUP(1,(--(Sheet1!$F$2:$F$754=AE19))*(--ISNUMBER(FIND("-",Sheet1!$W$2:$W$754,FIND("-",Sheet1!$W$2:$W$754)+1))),Sheet1!$W$2:$W$754,""),IF(_xlpm.desc="","NOT FOUND",LEFT(_xlpm.desc,FIND("-",_xlpm.desc,FIND("-",_xlpm.desc)+1))&amp;AE19)),LEFT(J19,FIND("-",J19,FIND("-",J19)+1))&amp;AE19))</f>
        <v>KRTS-APWN26-GETKRTSFUT6420</v>
      </c>
    </row>
    <row r="20" spans="1:34" ht="15.75" customHeight="1" x14ac:dyDescent="0.2">
      <c r="A20" t="s">
        <v>30</v>
      </c>
      <c r="B20" t="s">
        <v>647</v>
      </c>
      <c r="C20" t="s">
        <v>1152</v>
      </c>
      <c r="D20" t="s">
        <v>1154</v>
      </c>
      <c r="E20" t="s">
        <v>34</v>
      </c>
      <c r="F20" t="s">
        <v>35</v>
      </c>
      <c r="G20" t="s">
        <v>51</v>
      </c>
      <c r="H20" t="s">
        <v>658</v>
      </c>
      <c r="I20" t="s">
        <v>659</v>
      </c>
      <c r="J20" t="s">
        <v>660</v>
      </c>
      <c r="K20" t="s">
        <v>474</v>
      </c>
      <c r="L20" t="s">
        <v>40</v>
      </c>
      <c r="M20">
        <v>1</v>
      </c>
      <c r="N20">
        <v>273</v>
      </c>
      <c r="O20">
        <v>273</v>
      </c>
      <c r="P20" t="s">
        <v>41</v>
      </c>
      <c r="Q20">
        <v>279.7</v>
      </c>
      <c r="R20">
        <v>279.7</v>
      </c>
      <c r="S20">
        <v>3817.91</v>
      </c>
      <c r="T20">
        <v>76358.100000000006</v>
      </c>
      <c r="U20">
        <v>5</v>
      </c>
      <c r="V20" t="s">
        <v>42</v>
      </c>
      <c r="W20" t="s">
        <v>474</v>
      </c>
      <c r="X20" s="6" t="str">
        <f t="shared" si="0"/>
        <v>441814967</v>
      </c>
      <c r="Y20" s="7" t="str">
        <f t="shared" si="1"/>
        <v>DC</v>
      </c>
      <c r="Z20" s="7">
        <f t="shared" si="2"/>
        <v>0</v>
      </c>
      <c r="AA20" s="7">
        <f t="shared" si="3"/>
        <v>0</v>
      </c>
      <c r="AB20" s="7">
        <f t="shared" si="4"/>
        <v>0</v>
      </c>
      <c r="AC20" s="7">
        <f t="shared" si="5"/>
        <v>273</v>
      </c>
      <c r="AD20" s="7">
        <f t="shared" si="6"/>
        <v>0</v>
      </c>
      <c r="AE20" s="8" t="str" cm="1">
        <f t="array" ref="AE20">IFERROR(_xlfn.XLOOKUP(H20,Sheet1!$G:$G,Sheet1!$F:$F),IFERROR(_xlfn.XLOOKUP(1,(--($X$2:$X$1074=X20))*(--ISNUMBER(MATCH($H$2:$H$1074,Sheet1!$G:$G,0))),_xlfn.XLOOKUP($H$2:$H$1074,Sheet1!$G:$G,Sheet1!$F:$F,"")),"NOT FOUND"))</f>
        <v>GETKRTSFUT6420</v>
      </c>
      <c r="AF20" s="9" t="str">
        <f t="shared" si="7"/>
        <v>MINT</v>
      </c>
      <c r="AG20" s="10" t="str">
        <f t="shared" si="8"/>
        <v>Bangalore</v>
      </c>
      <c r="AH20" s="8" t="str" cm="1">
        <f t="array" ref="AH20">IF(OR(J20="",AE20="",AE20="NOT FOUND"),"",IF(Y20="RP",_xlfn.LET(_xlpm.desc,_xlfn.XLOOKUP(1,(--(Sheet1!$F$2:$F$754=AE20))*(--ISNUMBER(FIND("-",Sheet1!$W$2:$W$754,FIND("-",Sheet1!$W$2:$W$754)+1))),Sheet1!$W$2:$W$754,""),IF(_xlpm.desc="","NOT FOUND",LEFT(_xlpm.desc,FIND("-",_xlpm.desc,FIND("-",_xlpm.desc)+1))&amp;AE20)),LEFT(J20,FIND("-",J20,FIND("-",J20)+1))&amp;AE20))</f>
        <v>KRTS-APWN26-GETKRTSFUT6420</v>
      </c>
    </row>
    <row r="21" spans="1:34" ht="15.75" customHeight="1" x14ac:dyDescent="0.2">
      <c r="A21" t="s">
        <v>30</v>
      </c>
      <c r="B21" t="s">
        <v>647</v>
      </c>
      <c r="C21" t="s">
        <v>1152</v>
      </c>
      <c r="D21" t="s">
        <v>1154</v>
      </c>
      <c r="E21" t="s">
        <v>34</v>
      </c>
      <c r="F21" t="s">
        <v>35</v>
      </c>
      <c r="G21" t="s">
        <v>55</v>
      </c>
      <c r="H21" t="s">
        <v>661</v>
      </c>
      <c r="I21" t="s">
        <v>662</v>
      </c>
      <c r="J21" t="s">
        <v>663</v>
      </c>
      <c r="K21" t="s">
        <v>474</v>
      </c>
      <c r="L21" t="s">
        <v>40</v>
      </c>
      <c r="M21">
        <v>1</v>
      </c>
      <c r="N21">
        <v>96</v>
      </c>
      <c r="O21">
        <v>96</v>
      </c>
      <c r="P21" t="s">
        <v>41</v>
      </c>
      <c r="Q21">
        <v>279.7</v>
      </c>
      <c r="R21">
        <v>279.7</v>
      </c>
      <c r="S21">
        <v>1342.56</v>
      </c>
      <c r="T21">
        <v>26851.200000000001</v>
      </c>
      <c r="U21">
        <v>5</v>
      </c>
      <c r="V21" t="s">
        <v>42</v>
      </c>
      <c r="W21" t="s">
        <v>474</v>
      </c>
      <c r="X21" s="6" t="str">
        <f t="shared" si="0"/>
        <v>441814967</v>
      </c>
      <c r="Y21" s="7" t="str">
        <f t="shared" si="1"/>
        <v>DC</v>
      </c>
      <c r="Z21" s="7">
        <f t="shared" si="2"/>
        <v>0</v>
      </c>
      <c r="AA21" s="7">
        <f t="shared" si="3"/>
        <v>0</v>
      </c>
      <c r="AB21" s="7">
        <f t="shared" si="4"/>
        <v>0</v>
      </c>
      <c r="AC21" s="7">
        <f t="shared" si="5"/>
        <v>0</v>
      </c>
      <c r="AD21" s="7">
        <f t="shared" si="6"/>
        <v>96</v>
      </c>
      <c r="AE21" s="8" t="str" cm="1">
        <f t="array" ref="AE21">IFERROR(_xlfn.XLOOKUP(H21,Sheet1!$G:$G,Sheet1!$F:$F),IFERROR(_xlfn.XLOOKUP(1,(--($X$2:$X$1074=X21))*(--ISNUMBER(MATCH($H$2:$H$1074,Sheet1!$G:$G,0))),_xlfn.XLOOKUP($H$2:$H$1074,Sheet1!$G:$G,Sheet1!$F:$F,"")),"NOT FOUND"))</f>
        <v>GETKRTSFUT6420</v>
      </c>
      <c r="AF21" s="9" t="str">
        <f t="shared" si="7"/>
        <v>MINT</v>
      </c>
      <c r="AG21" s="10" t="str">
        <f t="shared" si="8"/>
        <v>Bangalore</v>
      </c>
      <c r="AH21" s="8" t="str" cm="1">
        <f t="array" ref="AH21">IF(OR(J21="",AE21="",AE21="NOT FOUND"),"",IF(Y21="RP",_xlfn.LET(_xlpm.desc,_xlfn.XLOOKUP(1,(--(Sheet1!$F$2:$F$754=AE21))*(--ISNUMBER(FIND("-",Sheet1!$W$2:$W$754,FIND("-",Sheet1!$W$2:$W$754)+1))),Sheet1!$W$2:$W$754,""),IF(_xlpm.desc="","NOT FOUND",LEFT(_xlpm.desc,FIND("-",_xlpm.desc,FIND("-",_xlpm.desc)+1))&amp;AE21)),LEFT(J21,FIND("-",J21,FIND("-",J21)+1))&amp;AE21))</f>
        <v>KRTS-APWN26-GETKRTSFUT6420</v>
      </c>
    </row>
    <row r="22" spans="1:34" ht="15.75" customHeight="1" x14ac:dyDescent="0.2">
      <c r="A22" t="s">
        <v>30</v>
      </c>
      <c r="B22" t="s">
        <v>664</v>
      </c>
      <c r="C22" t="s">
        <v>1152</v>
      </c>
      <c r="D22" t="s">
        <v>1154</v>
      </c>
      <c r="E22" t="s">
        <v>34</v>
      </c>
      <c r="F22" t="s">
        <v>35</v>
      </c>
      <c r="G22" t="s">
        <v>36</v>
      </c>
      <c r="H22" t="s">
        <v>666</v>
      </c>
      <c r="I22" t="s">
        <v>667</v>
      </c>
      <c r="J22" t="s">
        <v>668</v>
      </c>
      <c r="K22" t="s">
        <v>474</v>
      </c>
      <c r="L22" t="s">
        <v>40</v>
      </c>
      <c r="M22">
        <v>1</v>
      </c>
      <c r="N22">
        <v>64</v>
      </c>
      <c r="O22">
        <v>64</v>
      </c>
      <c r="P22" t="s">
        <v>41</v>
      </c>
      <c r="Q22">
        <v>276.7</v>
      </c>
      <c r="R22">
        <v>276.7</v>
      </c>
      <c r="S22">
        <v>885.44</v>
      </c>
      <c r="T22">
        <v>17708.8</v>
      </c>
      <c r="U22">
        <v>5</v>
      </c>
      <c r="V22" t="s">
        <v>42</v>
      </c>
      <c r="W22" t="s">
        <v>474</v>
      </c>
      <c r="X22" s="6" t="str">
        <f t="shared" si="0"/>
        <v>441814966</v>
      </c>
      <c r="Y22" s="7" t="str">
        <f t="shared" si="1"/>
        <v>DC</v>
      </c>
      <c r="Z22" s="7">
        <f t="shared" si="2"/>
        <v>64</v>
      </c>
      <c r="AA22" s="7">
        <f t="shared" si="3"/>
        <v>0</v>
      </c>
      <c r="AB22" s="7">
        <f t="shared" si="4"/>
        <v>0</v>
      </c>
      <c r="AC22" s="7">
        <f t="shared" si="5"/>
        <v>0</v>
      </c>
      <c r="AD22" s="7">
        <f t="shared" si="6"/>
        <v>0</v>
      </c>
      <c r="AE22" s="8" t="str" cm="1">
        <f t="array" ref="AE22">IFERROR(_xlfn.XLOOKUP(H22,Sheet1!$G:$G,Sheet1!$F:$F),IFERROR(_xlfn.XLOOKUP(1,(--($X$2:$X$1074=X22))*(--ISNUMBER(MATCH($H$2:$H$1074,Sheet1!$G:$G,0))),_xlfn.XLOOKUP($H$2:$H$1074,Sheet1!$G:$G,Sheet1!$F:$F,"")),"NOT FOUND"))</f>
        <v>GETKRTSFUT6419</v>
      </c>
      <c r="AF22" s="9" t="str">
        <f t="shared" si="7"/>
        <v>LIGHT RED</v>
      </c>
      <c r="AG22" s="10" t="str">
        <f t="shared" si="8"/>
        <v>Bangalore</v>
      </c>
      <c r="AH22" s="8" t="str" cm="1">
        <f t="array" ref="AH22">IF(OR(J22="",AE22="",AE22="NOT FOUND"),"",IF(Y22="RP",_xlfn.LET(_xlpm.desc,_xlfn.XLOOKUP(1,(--(Sheet1!$F$2:$F$754=AE22))*(--ISNUMBER(FIND("-",Sheet1!$W$2:$W$754,FIND("-",Sheet1!$W$2:$W$754)+1))),Sheet1!$W$2:$W$754,""),IF(_xlpm.desc="","NOT FOUND",LEFT(_xlpm.desc,FIND("-",_xlpm.desc,FIND("-",_xlpm.desc)+1))&amp;AE22)),LEFT(J22,FIND("-",J22,FIND("-",J22)+1))&amp;AE22))</f>
        <v>KRTS-APWN26-GETKRTSFUT6419</v>
      </c>
    </row>
    <row r="23" spans="1:34" ht="15.75" customHeight="1" x14ac:dyDescent="0.2">
      <c r="A23" t="s">
        <v>30</v>
      </c>
      <c r="B23" t="s">
        <v>664</v>
      </c>
      <c r="C23" t="s">
        <v>1152</v>
      </c>
      <c r="D23" t="s">
        <v>1154</v>
      </c>
      <c r="E23" t="s">
        <v>34</v>
      </c>
      <c r="F23" t="s">
        <v>35</v>
      </c>
      <c r="G23" t="s">
        <v>43</v>
      </c>
      <c r="H23" t="s">
        <v>669</v>
      </c>
      <c r="I23" t="s">
        <v>670</v>
      </c>
      <c r="J23" t="s">
        <v>671</v>
      </c>
      <c r="K23" t="s">
        <v>474</v>
      </c>
      <c r="L23" t="s">
        <v>40</v>
      </c>
      <c r="M23">
        <v>1</v>
      </c>
      <c r="N23">
        <v>273</v>
      </c>
      <c r="O23">
        <v>273</v>
      </c>
      <c r="P23" t="s">
        <v>41</v>
      </c>
      <c r="Q23">
        <v>276.7</v>
      </c>
      <c r="R23">
        <v>276.7</v>
      </c>
      <c r="S23">
        <v>3776.96</v>
      </c>
      <c r="T23">
        <v>75539.100000000006</v>
      </c>
      <c r="U23">
        <v>5</v>
      </c>
      <c r="V23" t="s">
        <v>42</v>
      </c>
      <c r="W23" t="s">
        <v>474</v>
      </c>
      <c r="X23" s="6" t="str">
        <f t="shared" si="0"/>
        <v>441814966</v>
      </c>
      <c r="Y23" s="7" t="str">
        <f t="shared" si="1"/>
        <v>DC</v>
      </c>
      <c r="Z23" s="7">
        <f t="shared" si="2"/>
        <v>0</v>
      </c>
      <c r="AA23" s="7">
        <f t="shared" si="3"/>
        <v>273</v>
      </c>
      <c r="AB23" s="7">
        <f t="shared" si="4"/>
        <v>0</v>
      </c>
      <c r="AC23" s="7">
        <f t="shared" si="5"/>
        <v>0</v>
      </c>
      <c r="AD23" s="7">
        <f t="shared" si="6"/>
        <v>0</v>
      </c>
      <c r="AE23" s="8" t="str" cm="1">
        <f t="array" ref="AE23">IFERROR(_xlfn.XLOOKUP(H23,Sheet1!$G:$G,Sheet1!$F:$F),IFERROR(_xlfn.XLOOKUP(1,(--($X$2:$X$1074=X23))*(--ISNUMBER(MATCH($H$2:$H$1074,Sheet1!$G:$G,0))),_xlfn.XLOOKUP($H$2:$H$1074,Sheet1!$G:$G,Sheet1!$F:$F,"")),"NOT FOUND"))</f>
        <v>GETKRTSFUT6419</v>
      </c>
      <c r="AF23" s="9" t="str">
        <f t="shared" si="7"/>
        <v>LIGHT RED</v>
      </c>
      <c r="AG23" s="10" t="str">
        <f t="shared" si="8"/>
        <v>Bangalore</v>
      </c>
      <c r="AH23" s="8" t="str" cm="1">
        <f t="array" ref="AH23">IF(OR(J23="",AE23="",AE23="NOT FOUND"),"",IF(Y23="RP",_xlfn.LET(_xlpm.desc,_xlfn.XLOOKUP(1,(--(Sheet1!$F$2:$F$754=AE23))*(--ISNUMBER(FIND("-",Sheet1!$W$2:$W$754,FIND("-",Sheet1!$W$2:$W$754)+1))),Sheet1!$W$2:$W$754,""),IF(_xlpm.desc="","NOT FOUND",LEFT(_xlpm.desc,FIND("-",_xlpm.desc,FIND("-",_xlpm.desc)+1))&amp;AE23)),LEFT(J23,FIND("-",J23,FIND("-",J23)+1))&amp;AE23))</f>
        <v>KRTS-APWN26-GETKRTSFUT6419</v>
      </c>
    </row>
    <row r="24" spans="1:34" ht="15.75" customHeight="1" x14ac:dyDescent="0.2">
      <c r="A24" t="s">
        <v>30</v>
      </c>
      <c r="B24" t="s">
        <v>664</v>
      </c>
      <c r="C24" t="s">
        <v>1152</v>
      </c>
      <c r="D24" t="s">
        <v>1154</v>
      </c>
      <c r="E24" t="s">
        <v>34</v>
      </c>
      <c r="F24" t="s">
        <v>35</v>
      </c>
      <c r="G24" t="s">
        <v>47</v>
      </c>
      <c r="H24" t="s">
        <v>672</v>
      </c>
      <c r="I24" t="s">
        <v>673</v>
      </c>
      <c r="J24" t="s">
        <v>674</v>
      </c>
      <c r="K24" t="s">
        <v>474</v>
      </c>
      <c r="L24" t="s">
        <v>40</v>
      </c>
      <c r="M24">
        <v>1</v>
      </c>
      <c r="N24">
        <v>257</v>
      </c>
      <c r="O24">
        <v>257</v>
      </c>
      <c r="P24" t="s">
        <v>41</v>
      </c>
      <c r="Q24">
        <v>276.7</v>
      </c>
      <c r="R24">
        <v>276.7</v>
      </c>
      <c r="S24">
        <v>3555.6</v>
      </c>
      <c r="T24">
        <v>71111.899999999994</v>
      </c>
      <c r="U24">
        <v>5</v>
      </c>
      <c r="V24" t="s">
        <v>42</v>
      </c>
      <c r="W24" t="s">
        <v>474</v>
      </c>
      <c r="X24" s="6" t="str">
        <f t="shared" si="0"/>
        <v>441814966</v>
      </c>
      <c r="Y24" s="7" t="str">
        <f t="shared" si="1"/>
        <v>DC</v>
      </c>
      <c r="Z24" s="7">
        <f t="shared" si="2"/>
        <v>0</v>
      </c>
      <c r="AA24" s="7">
        <f t="shared" si="3"/>
        <v>0</v>
      </c>
      <c r="AB24" s="7">
        <f t="shared" si="4"/>
        <v>257</v>
      </c>
      <c r="AC24" s="7">
        <f t="shared" si="5"/>
        <v>0</v>
      </c>
      <c r="AD24" s="7">
        <f t="shared" si="6"/>
        <v>0</v>
      </c>
      <c r="AE24" s="8" t="str" cm="1">
        <f t="array" ref="AE24">IFERROR(_xlfn.XLOOKUP(H24,Sheet1!$G:$G,Sheet1!$F:$F),IFERROR(_xlfn.XLOOKUP(1,(--($X$2:$X$1074=X24))*(--ISNUMBER(MATCH($H$2:$H$1074,Sheet1!$G:$G,0))),_xlfn.XLOOKUP($H$2:$H$1074,Sheet1!$G:$G,Sheet1!$F:$F,"")),"NOT FOUND"))</f>
        <v>GETKRTSFUT6419</v>
      </c>
      <c r="AF24" s="9" t="str">
        <f t="shared" si="7"/>
        <v>LIGHT RED</v>
      </c>
      <c r="AG24" s="10" t="str">
        <f t="shared" si="8"/>
        <v>Bangalore</v>
      </c>
      <c r="AH24" s="8" t="str" cm="1">
        <f t="array" ref="AH24">IF(OR(J24="",AE24="",AE24="NOT FOUND"),"",IF(Y24="RP",_xlfn.LET(_xlpm.desc,_xlfn.XLOOKUP(1,(--(Sheet1!$F$2:$F$754=AE24))*(--ISNUMBER(FIND("-",Sheet1!$W$2:$W$754,FIND("-",Sheet1!$W$2:$W$754)+1))),Sheet1!$W$2:$W$754,""),IF(_xlpm.desc="","NOT FOUND",LEFT(_xlpm.desc,FIND("-",_xlpm.desc,FIND("-",_xlpm.desc)+1))&amp;AE24)),LEFT(J24,FIND("-",J24,FIND("-",J24)+1))&amp;AE24))</f>
        <v>KRTS-APWN26-GETKRTSFUT6419</v>
      </c>
    </row>
    <row r="25" spans="1:34" ht="15.75" customHeight="1" x14ac:dyDescent="0.2">
      <c r="A25" t="s">
        <v>30</v>
      </c>
      <c r="B25" t="s">
        <v>664</v>
      </c>
      <c r="C25" t="s">
        <v>1152</v>
      </c>
      <c r="D25" t="s">
        <v>1154</v>
      </c>
      <c r="E25" t="s">
        <v>34</v>
      </c>
      <c r="F25" t="s">
        <v>35</v>
      </c>
      <c r="G25" t="s">
        <v>51</v>
      </c>
      <c r="H25" t="s">
        <v>675</v>
      </c>
      <c r="I25" t="s">
        <v>676</v>
      </c>
      <c r="J25" t="s">
        <v>677</v>
      </c>
      <c r="K25" t="s">
        <v>474</v>
      </c>
      <c r="L25" t="s">
        <v>40</v>
      </c>
      <c r="M25">
        <v>1</v>
      </c>
      <c r="N25">
        <v>273</v>
      </c>
      <c r="O25">
        <v>273</v>
      </c>
      <c r="P25" t="s">
        <v>41</v>
      </c>
      <c r="Q25">
        <v>276.7</v>
      </c>
      <c r="R25">
        <v>276.7</v>
      </c>
      <c r="S25">
        <v>3776.96</v>
      </c>
      <c r="T25">
        <v>75539.100000000006</v>
      </c>
      <c r="U25">
        <v>5</v>
      </c>
      <c r="V25" t="s">
        <v>42</v>
      </c>
      <c r="W25" t="s">
        <v>474</v>
      </c>
      <c r="X25" s="6" t="str">
        <f t="shared" si="0"/>
        <v>441814966</v>
      </c>
      <c r="Y25" s="7" t="str">
        <f t="shared" si="1"/>
        <v>DC</v>
      </c>
      <c r="Z25" s="7">
        <f t="shared" si="2"/>
        <v>0</v>
      </c>
      <c r="AA25" s="7">
        <f t="shared" si="3"/>
        <v>0</v>
      </c>
      <c r="AB25" s="7">
        <f t="shared" si="4"/>
        <v>0</v>
      </c>
      <c r="AC25" s="7">
        <f t="shared" si="5"/>
        <v>273</v>
      </c>
      <c r="AD25" s="7">
        <f t="shared" si="6"/>
        <v>0</v>
      </c>
      <c r="AE25" s="8" t="str" cm="1">
        <f t="array" ref="AE25">IFERROR(_xlfn.XLOOKUP(H25,Sheet1!$G:$G,Sheet1!$F:$F),IFERROR(_xlfn.XLOOKUP(1,(--($X$2:$X$1074=X25))*(--ISNUMBER(MATCH($H$2:$H$1074,Sheet1!$G:$G,0))),_xlfn.XLOOKUP($H$2:$H$1074,Sheet1!$G:$G,Sheet1!$F:$F,"")),"NOT FOUND"))</f>
        <v>GETKRTSFUT6419</v>
      </c>
      <c r="AF25" s="9" t="str">
        <f t="shared" si="7"/>
        <v>LIGHT RED</v>
      </c>
      <c r="AG25" s="10" t="str">
        <f t="shared" si="8"/>
        <v>Bangalore</v>
      </c>
      <c r="AH25" s="8" t="str" cm="1">
        <f t="array" ref="AH25">IF(OR(J25="",AE25="",AE25="NOT FOUND"),"",IF(Y25="RP",_xlfn.LET(_xlpm.desc,_xlfn.XLOOKUP(1,(--(Sheet1!$F$2:$F$754=AE25))*(--ISNUMBER(FIND("-",Sheet1!$W$2:$W$754,FIND("-",Sheet1!$W$2:$W$754)+1))),Sheet1!$W$2:$W$754,""),IF(_xlpm.desc="","NOT FOUND",LEFT(_xlpm.desc,FIND("-",_xlpm.desc,FIND("-",_xlpm.desc)+1))&amp;AE25)),LEFT(J25,FIND("-",J25,FIND("-",J25)+1))&amp;AE25))</f>
        <v>KRTS-APWN26-GETKRTSFUT6419</v>
      </c>
    </row>
    <row r="26" spans="1:34" ht="15.75" customHeight="1" x14ac:dyDescent="0.2">
      <c r="A26" t="s">
        <v>30</v>
      </c>
      <c r="B26" t="s">
        <v>664</v>
      </c>
      <c r="C26" t="s">
        <v>1152</v>
      </c>
      <c r="D26" t="s">
        <v>1154</v>
      </c>
      <c r="E26" t="s">
        <v>34</v>
      </c>
      <c r="F26" t="s">
        <v>35</v>
      </c>
      <c r="G26" t="s">
        <v>55</v>
      </c>
      <c r="H26" t="s">
        <v>678</v>
      </c>
      <c r="I26" t="s">
        <v>679</v>
      </c>
      <c r="J26" t="s">
        <v>680</v>
      </c>
      <c r="K26" t="s">
        <v>474</v>
      </c>
      <c r="L26" t="s">
        <v>40</v>
      </c>
      <c r="M26">
        <v>1</v>
      </c>
      <c r="N26">
        <v>96</v>
      </c>
      <c r="O26">
        <v>96</v>
      </c>
      <c r="P26" t="s">
        <v>41</v>
      </c>
      <c r="Q26">
        <v>276.7</v>
      </c>
      <c r="R26">
        <v>276.7</v>
      </c>
      <c r="S26">
        <v>1328.16</v>
      </c>
      <c r="T26">
        <v>26563.200000000001</v>
      </c>
      <c r="U26">
        <v>5</v>
      </c>
      <c r="V26" t="s">
        <v>42</v>
      </c>
      <c r="W26" t="s">
        <v>474</v>
      </c>
      <c r="X26" s="6" t="str">
        <f t="shared" si="0"/>
        <v>441814966</v>
      </c>
      <c r="Y26" s="7" t="str">
        <f t="shared" si="1"/>
        <v>DC</v>
      </c>
      <c r="Z26" s="7">
        <f t="shared" si="2"/>
        <v>0</v>
      </c>
      <c r="AA26" s="7">
        <f t="shared" si="3"/>
        <v>0</v>
      </c>
      <c r="AB26" s="7">
        <f t="shared" si="4"/>
        <v>0</v>
      </c>
      <c r="AC26" s="7">
        <f t="shared" si="5"/>
        <v>0</v>
      </c>
      <c r="AD26" s="7">
        <f t="shared" si="6"/>
        <v>96</v>
      </c>
      <c r="AE26" s="8" t="str" cm="1">
        <f t="array" ref="AE26">IFERROR(_xlfn.XLOOKUP(H26,Sheet1!$G:$G,Sheet1!$F:$F),IFERROR(_xlfn.XLOOKUP(1,(--($X$2:$X$1074=X26))*(--ISNUMBER(MATCH($H$2:$H$1074,Sheet1!$G:$G,0))),_xlfn.XLOOKUP($H$2:$H$1074,Sheet1!$G:$G,Sheet1!$F:$F,"")),"NOT FOUND"))</f>
        <v>GETKRTSFUT6419</v>
      </c>
      <c r="AF26" s="9" t="str">
        <f t="shared" si="7"/>
        <v>LIGHT RED</v>
      </c>
      <c r="AG26" s="10" t="str">
        <f t="shared" si="8"/>
        <v>Bangalore</v>
      </c>
      <c r="AH26" s="8" t="str" cm="1">
        <f t="array" ref="AH26">IF(OR(J26="",AE26="",AE26="NOT FOUND"),"",IF(Y26="RP",_xlfn.LET(_xlpm.desc,_xlfn.XLOOKUP(1,(--(Sheet1!$F$2:$F$754=AE26))*(--ISNUMBER(FIND("-",Sheet1!$W$2:$W$754,FIND("-",Sheet1!$W$2:$W$754)+1))),Sheet1!$W$2:$W$754,""),IF(_xlpm.desc="","NOT FOUND",LEFT(_xlpm.desc,FIND("-",_xlpm.desc,FIND("-",_xlpm.desc)+1))&amp;AE26)),LEFT(J26,FIND("-",J26,FIND("-",J26)+1))&amp;AE26))</f>
        <v>KRTS-APWN26-GETKRTSFUT6419</v>
      </c>
    </row>
    <row r="27" spans="1:34" ht="15.75" customHeight="1" x14ac:dyDescent="0.2">
      <c r="A27" t="s">
        <v>59</v>
      </c>
      <c r="B27" t="s">
        <v>681</v>
      </c>
      <c r="C27" t="s">
        <v>1152</v>
      </c>
      <c r="D27" t="s">
        <v>1153</v>
      </c>
      <c r="E27" t="s">
        <v>34</v>
      </c>
      <c r="F27" t="s">
        <v>35</v>
      </c>
      <c r="G27" t="s">
        <v>36</v>
      </c>
      <c r="H27" t="s">
        <v>598</v>
      </c>
      <c r="I27" t="s">
        <v>599</v>
      </c>
      <c r="J27" t="s">
        <v>601</v>
      </c>
      <c r="K27" t="s">
        <v>474</v>
      </c>
      <c r="L27" t="s">
        <v>40</v>
      </c>
      <c r="M27">
        <v>1</v>
      </c>
      <c r="N27">
        <v>42</v>
      </c>
      <c r="O27">
        <v>42</v>
      </c>
      <c r="P27" t="s">
        <v>41</v>
      </c>
      <c r="Q27">
        <v>276.7</v>
      </c>
      <c r="R27">
        <v>276.7</v>
      </c>
      <c r="S27">
        <v>581.07000000000005</v>
      </c>
      <c r="T27">
        <v>11621.4</v>
      </c>
      <c r="U27">
        <v>5</v>
      </c>
      <c r="V27" t="s">
        <v>42</v>
      </c>
      <c r="W27" t="s">
        <v>474</v>
      </c>
      <c r="X27" s="6" t="str">
        <f t="shared" si="0"/>
        <v>441814970</v>
      </c>
      <c r="Y27" s="7" t="str">
        <f t="shared" si="1"/>
        <v>DC</v>
      </c>
      <c r="Z27" s="7">
        <f t="shared" si="2"/>
        <v>42</v>
      </c>
      <c r="AA27" s="7">
        <f t="shared" si="3"/>
        <v>0</v>
      </c>
      <c r="AB27" s="7">
        <f t="shared" si="4"/>
        <v>0</v>
      </c>
      <c r="AC27" s="7">
        <f t="shared" si="5"/>
        <v>0</v>
      </c>
      <c r="AD27" s="7">
        <f t="shared" si="6"/>
        <v>0</v>
      </c>
      <c r="AE27" s="8" t="str" cm="1">
        <f t="array" ref="AE27">IFERROR(_xlfn.XLOOKUP(H27,Sheet1!$G:$G,Sheet1!$F:$F),IFERROR(_xlfn.XLOOKUP(1,(--($X$2:$X$1074=X27))*(--ISNUMBER(MATCH($H$2:$H$1074,Sheet1!$G:$G,0))),_xlfn.XLOOKUP($H$2:$H$1074,Sheet1!$G:$G,Sheet1!$F:$F,"")),"NOT FOUND"))</f>
        <v>GETKRTSFUT6451</v>
      </c>
      <c r="AF27" s="9" t="str">
        <f t="shared" si="7"/>
        <v>LIME GREEN</v>
      </c>
      <c r="AG27" s="10" t="str">
        <f t="shared" si="8"/>
        <v>JHAJJAR</v>
      </c>
      <c r="AH27" s="8" t="str" cm="1">
        <f t="array" ref="AH27">IF(OR(J27="",AE27="",AE27="NOT FOUND"),"",IF(Y27="RP",_xlfn.LET(_xlpm.desc,_xlfn.XLOOKUP(1,(--(Sheet1!$F$2:$F$754=AE27))*(--ISNUMBER(FIND("-",Sheet1!$W$2:$W$754,FIND("-",Sheet1!$W$2:$W$754)+1))),Sheet1!$W$2:$W$754,""),IF(_xlpm.desc="","NOT FOUND",LEFT(_xlpm.desc,FIND("-",_xlpm.desc,FIND("-",_xlpm.desc)+1))&amp;AE27)),LEFT(J27,FIND("-",J27,FIND("-",J27)+1))&amp;AE27))</f>
        <v>KRTS-APWN26-GETKRTSFUT6451</v>
      </c>
    </row>
    <row r="28" spans="1:34" ht="15.75" customHeight="1" x14ac:dyDescent="0.2">
      <c r="A28" t="s">
        <v>59</v>
      </c>
      <c r="B28" t="s">
        <v>681</v>
      </c>
      <c r="C28" t="s">
        <v>1152</v>
      </c>
      <c r="D28" t="s">
        <v>1153</v>
      </c>
      <c r="E28" t="s">
        <v>34</v>
      </c>
      <c r="F28" t="s">
        <v>35</v>
      </c>
      <c r="G28" t="s">
        <v>43</v>
      </c>
      <c r="H28" t="s">
        <v>602</v>
      </c>
      <c r="I28" t="s">
        <v>603</v>
      </c>
      <c r="J28" t="s">
        <v>605</v>
      </c>
      <c r="K28" t="s">
        <v>474</v>
      </c>
      <c r="L28" t="s">
        <v>40</v>
      </c>
      <c r="M28">
        <v>1</v>
      </c>
      <c r="N28">
        <v>178</v>
      </c>
      <c r="O28">
        <v>178</v>
      </c>
      <c r="P28" t="s">
        <v>41</v>
      </c>
      <c r="Q28">
        <v>276.7</v>
      </c>
      <c r="R28">
        <v>276.7</v>
      </c>
      <c r="S28">
        <v>2462.63</v>
      </c>
      <c r="T28">
        <v>49252.6</v>
      </c>
      <c r="U28">
        <v>5</v>
      </c>
      <c r="V28" t="s">
        <v>42</v>
      </c>
      <c r="W28" t="s">
        <v>474</v>
      </c>
      <c r="X28" s="6" t="str">
        <f t="shared" si="0"/>
        <v>441814970</v>
      </c>
      <c r="Y28" s="7" t="str">
        <f t="shared" si="1"/>
        <v>DC</v>
      </c>
      <c r="Z28" s="7">
        <f t="shared" si="2"/>
        <v>0</v>
      </c>
      <c r="AA28" s="7">
        <f t="shared" si="3"/>
        <v>178</v>
      </c>
      <c r="AB28" s="7">
        <f t="shared" si="4"/>
        <v>0</v>
      </c>
      <c r="AC28" s="7">
        <f t="shared" si="5"/>
        <v>0</v>
      </c>
      <c r="AD28" s="7">
        <f t="shared" si="6"/>
        <v>0</v>
      </c>
      <c r="AE28" s="8" t="str" cm="1">
        <f t="array" ref="AE28">IFERROR(_xlfn.XLOOKUP(H28,Sheet1!$G:$G,Sheet1!$F:$F),IFERROR(_xlfn.XLOOKUP(1,(--($X$2:$X$1074=X28))*(--ISNUMBER(MATCH($H$2:$H$1074,Sheet1!$G:$G,0))),_xlfn.XLOOKUP($H$2:$H$1074,Sheet1!$G:$G,Sheet1!$F:$F,"")),"NOT FOUND"))</f>
        <v>GETKRTSFUT6451</v>
      </c>
      <c r="AF28" s="9" t="str">
        <f t="shared" si="7"/>
        <v>LIME GREEN</v>
      </c>
      <c r="AG28" s="10" t="str">
        <f t="shared" si="8"/>
        <v>JHAJJAR</v>
      </c>
      <c r="AH28" s="8" t="str" cm="1">
        <f t="array" ref="AH28">IF(OR(J28="",AE28="",AE28="NOT FOUND"),"",IF(Y28="RP",_xlfn.LET(_xlpm.desc,_xlfn.XLOOKUP(1,(--(Sheet1!$F$2:$F$754=AE28))*(--ISNUMBER(FIND("-",Sheet1!$W$2:$W$754,FIND("-",Sheet1!$W$2:$W$754)+1))),Sheet1!$W$2:$W$754,""),IF(_xlpm.desc="","NOT FOUND",LEFT(_xlpm.desc,FIND("-",_xlpm.desc,FIND("-",_xlpm.desc)+1))&amp;AE28)),LEFT(J28,FIND("-",J28,FIND("-",J28)+1))&amp;AE28))</f>
        <v>KRTS-APWN26-GETKRTSFUT6451</v>
      </c>
    </row>
    <row r="29" spans="1:34" ht="15.75" customHeight="1" x14ac:dyDescent="0.2">
      <c r="A29" t="s">
        <v>59</v>
      </c>
      <c r="B29" t="s">
        <v>681</v>
      </c>
      <c r="C29" t="s">
        <v>1152</v>
      </c>
      <c r="D29" t="s">
        <v>1153</v>
      </c>
      <c r="E29" t="s">
        <v>34</v>
      </c>
      <c r="F29" t="s">
        <v>35</v>
      </c>
      <c r="G29" t="s">
        <v>47</v>
      </c>
      <c r="H29" t="s">
        <v>606</v>
      </c>
      <c r="I29" t="s">
        <v>607</v>
      </c>
      <c r="J29" t="s">
        <v>608</v>
      </c>
      <c r="K29" t="s">
        <v>474</v>
      </c>
      <c r="L29" t="s">
        <v>40</v>
      </c>
      <c r="M29">
        <v>1</v>
      </c>
      <c r="N29">
        <v>167</v>
      </c>
      <c r="O29">
        <v>167</v>
      </c>
      <c r="P29" t="s">
        <v>41</v>
      </c>
      <c r="Q29">
        <v>276.7</v>
      </c>
      <c r="R29">
        <v>276.7</v>
      </c>
      <c r="S29">
        <v>2310.4499999999998</v>
      </c>
      <c r="T29">
        <v>46208.9</v>
      </c>
      <c r="U29">
        <v>5</v>
      </c>
      <c r="V29" t="s">
        <v>42</v>
      </c>
      <c r="W29" t="s">
        <v>474</v>
      </c>
      <c r="X29" s="6" t="str">
        <f t="shared" si="0"/>
        <v>441814970</v>
      </c>
      <c r="Y29" s="7" t="str">
        <f t="shared" si="1"/>
        <v>DC</v>
      </c>
      <c r="Z29" s="7">
        <f t="shared" si="2"/>
        <v>0</v>
      </c>
      <c r="AA29" s="7">
        <f t="shared" si="3"/>
        <v>0</v>
      </c>
      <c r="AB29" s="7">
        <f t="shared" si="4"/>
        <v>167</v>
      </c>
      <c r="AC29" s="7">
        <f t="shared" si="5"/>
        <v>0</v>
      </c>
      <c r="AD29" s="7">
        <f t="shared" si="6"/>
        <v>0</v>
      </c>
      <c r="AE29" s="8" t="str" cm="1">
        <f t="array" ref="AE29">IFERROR(_xlfn.XLOOKUP(H29,Sheet1!$G:$G,Sheet1!$F:$F),IFERROR(_xlfn.XLOOKUP(1,(--($X$2:$X$1074=X29))*(--ISNUMBER(MATCH($H$2:$H$1074,Sheet1!$G:$G,0))),_xlfn.XLOOKUP($H$2:$H$1074,Sheet1!$G:$G,Sheet1!$F:$F,"")),"NOT FOUND"))</f>
        <v>GETKRTSFUT6451</v>
      </c>
      <c r="AF29" s="9" t="str">
        <f t="shared" si="7"/>
        <v>LIME GREEN</v>
      </c>
      <c r="AG29" s="10" t="str">
        <f t="shared" si="8"/>
        <v>JHAJJAR</v>
      </c>
      <c r="AH29" s="8" t="str" cm="1">
        <f t="array" ref="AH29">IF(OR(J29="",AE29="",AE29="NOT FOUND"),"",IF(Y29="RP",_xlfn.LET(_xlpm.desc,_xlfn.XLOOKUP(1,(--(Sheet1!$F$2:$F$754=AE29))*(--ISNUMBER(FIND("-",Sheet1!$W$2:$W$754,FIND("-",Sheet1!$W$2:$W$754)+1))),Sheet1!$W$2:$W$754,""),IF(_xlpm.desc="","NOT FOUND",LEFT(_xlpm.desc,FIND("-",_xlpm.desc,FIND("-",_xlpm.desc)+1))&amp;AE29)),LEFT(J29,FIND("-",J29,FIND("-",J29)+1))&amp;AE29))</f>
        <v>KRTS-APWN26-GETKRTSFUT6451</v>
      </c>
    </row>
    <row r="30" spans="1:34" ht="15.75" customHeight="1" x14ac:dyDescent="0.2">
      <c r="A30" t="s">
        <v>59</v>
      </c>
      <c r="B30" t="s">
        <v>681</v>
      </c>
      <c r="C30" t="s">
        <v>1152</v>
      </c>
      <c r="D30" t="s">
        <v>1153</v>
      </c>
      <c r="E30" t="s">
        <v>34</v>
      </c>
      <c r="F30" t="s">
        <v>35</v>
      </c>
      <c r="G30" t="s">
        <v>51</v>
      </c>
      <c r="H30" t="s">
        <v>609</v>
      </c>
      <c r="I30" t="s">
        <v>610</v>
      </c>
      <c r="J30" t="s">
        <v>611</v>
      </c>
      <c r="K30" t="s">
        <v>474</v>
      </c>
      <c r="L30" t="s">
        <v>40</v>
      </c>
      <c r="M30">
        <v>1</v>
      </c>
      <c r="N30">
        <v>178</v>
      </c>
      <c r="O30">
        <v>178</v>
      </c>
      <c r="P30" t="s">
        <v>41</v>
      </c>
      <c r="Q30">
        <v>276.7</v>
      </c>
      <c r="R30">
        <v>276.7</v>
      </c>
      <c r="S30">
        <v>2462.63</v>
      </c>
      <c r="T30">
        <v>49252.6</v>
      </c>
      <c r="U30">
        <v>5</v>
      </c>
      <c r="V30" t="s">
        <v>42</v>
      </c>
      <c r="W30" t="s">
        <v>474</v>
      </c>
      <c r="X30" s="6" t="str">
        <f t="shared" si="0"/>
        <v>441814970</v>
      </c>
      <c r="Y30" s="7" t="str">
        <f t="shared" si="1"/>
        <v>DC</v>
      </c>
      <c r="Z30" s="7">
        <f t="shared" si="2"/>
        <v>0</v>
      </c>
      <c r="AA30" s="7">
        <f t="shared" si="3"/>
        <v>0</v>
      </c>
      <c r="AB30" s="7">
        <f t="shared" si="4"/>
        <v>0</v>
      </c>
      <c r="AC30" s="7">
        <f t="shared" si="5"/>
        <v>178</v>
      </c>
      <c r="AD30" s="7">
        <f t="shared" si="6"/>
        <v>0</v>
      </c>
      <c r="AE30" s="8" t="str" cm="1">
        <f t="array" ref="AE30">IFERROR(_xlfn.XLOOKUP(H30,Sheet1!$G:$G,Sheet1!$F:$F),IFERROR(_xlfn.XLOOKUP(1,(--($X$2:$X$1074=X30))*(--ISNUMBER(MATCH($H$2:$H$1074,Sheet1!$G:$G,0))),_xlfn.XLOOKUP($H$2:$H$1074,Sheet1!$G:$G,Sheet1!$F:$F,"")),"NOT FOUND"))</f>
        <v>GETKRTSFUT6451</v>
      </c>
      <c r="AF30" s="9" t="str">
        <f t="shared" si="7"/>
        <v>LIME GREEN</v>
      </c>
      <c r="AG30" s="10" t="str">
        <f t="shared" si="8"/>
        <v>JHAJJAR</v>
      </c>
      <c r="AH30" s="8" t="str" cm="1">
        <f t="array" ref="AH30">IF(OR(J30="",AE30="",AE30="NOT FOUND"),"",IF(Y30="RP",_xlfn.LET(_xlpm.desc,_xlfn.XLOOKUP(1,(--(Sheet1!$F$2:$F$754=AE30))*(--ISNUMBER(FIND("-",Sheet1!$W$2:$W$754,FIND("-",Sheet1!$W$2:$W$754)+1))),Sheet1!$W$2:$W$754,""),IF(_xlpm.desc="","NOT FOUND",LEFT(_xlpm.desc,FIND("-",_xlpm.desc,FIND("-",_xlpm.desc)+1))&amp;AE30)),LEFT(J30,FIND("-",J30,FIND("-",J30)+1))&amp;AE30))</f>
        <v>KRTS-APWN26-GETKRTSFUT6451</v>
      </c>
    </row>
    <row r="31" spans="1:34" ht="15.75" customHeight="1" x14ac:dyDescent="0.2">
      <c r="A31" t="s">
        <v>59</v>
      </c>
      <c r="B31" t="s">
        <v>681</v>
      </c>
      <c r="C31" t="s">
        <v>1152</v>
      </c>
      <c r="D31" t="s">
        <v>1153</v>
      </c>
      <c r="E31" t="s">
        <v>34</v>
      </c>
      <c r="F31" t="s">
        <v>35</v>
      </c>
      <c r="G31" t="s">
        <v>55</v>
      </c>
      <c r="H31" t="s">
        <v>612</v>
      </c>
      <c r="I31" t="s">
        <v>613</v>
      </c>
      <c r="J31" t="s">
        <v>176</v>
      </c>
      <c r="K31" t="s">
        <v>474</v>
      </c>
      <c r="L31" t="s">
        <v>40</v>
      </c>
      <c r="M31">
        <v>1</v>
      </c>
      <c r="N31">
        <v>63</v>
      </c>
      <c r="O31">
        <v>63</v>
      </c>
      <c r="P31" t="s">
        <v>41</v>
      </c>
      <c r="Q31">
        <v>276.7</v>
      </c>
      <c r="R31">
        <v>276.7</v>
      </c>
      <c r="S31">
        <v>871.61</v>
      </c>
      <c r="T31">
        <v>17432.099999999999</v>
      </c>
      <c r="U31">
        <v>5</v>
      </c>
      <c r="V31" t="s">
        <v>42</v>
      </c>
      <c r="W31" t="s">
        <v>474</v>
      </c>
      <c r="X31" s="6" t="str">
        <f t="shared" si="0"/>
        <v>441814970</v>
      </c>
      <c r="Y31" s="7" t="str">
        <f t="shared" si="1"/>
        <v>DC</v>
      </c>
      <c r="Z31" s="7">
        <f t="shared" si="2"/>
        <v>0</v>
      </c>
      <c r="AA31" s="7">
        <f t="shared" si="3"/>
        <v>0</v>
      </c>
      <c r="AB31" s="7">
        <f t="shared" si="4"/>
        <v>0</v>
      </c>
      <c r="AC31" s="7">
        <f t="shared" si="5"/>
        <v>0</v>
      </c>
      <c r="AD31" s="7">
        <f t="shared" si="6"/>
        <v>63</v>
      </c>
      <c r="AE31" s="8" t="str" cm="1">
        <f t="array" ref="AE31">IFERROR(_xlfn.XLOOKUP(H31,Sheet1!$G:$G,Sheet1!$F:$F),IFERROR(_xlfn.XLOOKUP(1,(--($X$2:$X$1074=X31))*(--ISNUMBER(MATCH($H$2:$H$1074,Sheet1!$G:$G,0))),_xlfn.XLOOKUP($H$2:$H$1074,Sheet1!$G:$G,Sheet1!$F:$F,"")),"NOT FOUND"))</f>
        <v>GETKRTSFUT6451</v>
      </c>
      <c r="AF31" s="9" t="str">
        <f t="shared" si="7"/>
        <v>LIME GREEN</v>
      </c>
      <c r="AG31" s="10" t="str">
        <f t="shared" si="8"/>
        <v>JHAJJAR</v>
      </c>
      <c r="AH31" s="8" t="str" cm="1">
        <f t="array" ref="AH31">IF(OR(J31="",AE31="",AE31="NOT FOUND"),"",IF(Y31="RP",_xlfn.LET(_xlpm.desc,_xlfn.XLOOKUP(1,(--(Sheet1!$F$2:$F$754=AE31))*(--ISNUMBER(FIND("-",Sheet1!$W$2:$W$754,FIND("-",Sheet1!$W$2:$W$754)+1))),Sheet1!$W$2:$W$754,""),IF(_xlpm.desc="","NOT FOUND",LEFT(_xlpm.desc,FIND("-",_xlpm.desc,FIND("-",_xlpm.desc)+1))&amp;AE31)),LEFT(J31,FIND("-",J31,FIND("-",J31)+1))&amp;AE31))</f>
        <v>KRTS-APWN26-GETKRTSFUT6451</v>
      </c>
    </row>
    <row r="32" spans="1:34" ht="15.75" customHeight="1" x14ac:dyDescent="0.2">
      <c r="A32" t="s">
        <v>30</v>
      </c>
      <c r="B32" t="s">
        <v>684</v>
      </c>
      <c r="C32" t="s">
        <v>1152</v>
      </c>
      <c r="D32" t="s">
        <v>1154</v>
      </c>
      <c r="E32" t="s">
        <v>34</v>
      </c>
      <c r="F32" t="s">
        <v>35</v>
      </c>
      <c r="G32" t="s">
        <v>36</v>
      </c>
      <c r="H32" t="s">
        <v>686</v>
      </c>
      <c r="I32" t="s">
        <v>687</v>
      </c>
      <c r="J32" t="s">
        <v>688</v>
      </c>
      <c r="K32" t="s">
        <v>474</v>
      </c>
      <c r="L32" t="s">
        <v>40</v>
      </c>
      <c r="M32">
        <v>1</v>
      </c>
      <c r="N32">
        <v>64</v>
      </c>
      <c r="O32">
        <v>64</v>
      </c>
      <c r="P32" t="s">
        <v>41</v>
      </c>
      <c r="Q32">
        <v>279.7</v>
      </c>
      <c r="R32">
        <v>279.7</v>
      </c>
      <c r="S32">
        <v>895.04</v>
      </c>
      <c r="T32">
        <v>17900.8</v>
      </c>
      <c r="U32">
        <v>5</v>
      </c>
      <c r="V32" t="s">
        <v>42</v>
      </c>
      <c r="W32" t="s">
        <v>474</v>
      </c>
      <c r="X32" s="6" t="str">
        <f t="shared" si="0"/>
        <v>441814965</v>
      </c>
      <c r="Y32" s="7" t="str">
        <f t="shared" si="1"/>
        <v>DC</v>
      </c>
      <c r="Z32" s="7">
        <f t="shared" si="2"/>
        <v>64</v>
      </c>
      <c r="AA32" s="7">
        <f t="shared" si="3"/>
        <v>0</v>
      </c>
      <c r="AB32" s="7">
        <f t="shared" si="4"/>
        <v>0</v>
      </c>
      <c r="AC32" s="7">
        <f t="shared" si="5"/>
        <v>0</v>
      </c>
      <c r="AD32" s="7">
        <f t="shared" si="6"/>
        <v>0</v>
      </c>
      <c r="AE32" s="8" t="str" cm="1">
        <f t="array" ref="AE32">IFERROR(_xlfn.XLOOKUP(H32,Sheet1!$G:$G,Sheet1!$F:$F),IFERROR(_xlfn.XLOOKUP(1,(--($X$2:$X$1074=X32))*(--ISNUMBER(MATCH($H$2:$H$1074,Sheet1!$G:$G,0))),_xlfn.XLOOKUP($H$2:$H$1074,Sheet1!$G:$G,Sheet1!$F:$F,"")),"NOT FOUND"))</f>
        <v>GETKRTSFUT6418</v>
      </c>
      <c r="AF32" s="9" t="str">
        <f t="shared" si="7"/>
        <v>TEAL</v>
      </c>
      <c r="AG32" s="10" t="str">
        <f t="shared" si="8"/>
        <v>Bangalore</v>
      </c>
      <c r="AH32" s="8" t="str" cm="1">
        <f t="array" ref="AH32">IF(OR(J32="",AE32="",AE32="NOT FOUND"),"",IF(Y32="RP",_xlfn.LET(_xlpm.desc,_xlfn.XLOOKUP(1,(--(Sheet1!$F$2:$F$754=AE32))*(--ISNUMBER(FIND("-",Sheet1!$W$2:$W$754,FIND("-",Sheet1!$W$2:$W$754)+1))),Sheet1!$W$2:$W$754,""),IF(_xlpm.desc="","NOT FOUND",LEFT(_xlpm.desc,FIND("-",_xlpm.desc,FIND("-",_xlpm.desc)+1))&amp;AE32)),LEFT(J32,FIND("-",J32,FIND("-",J32)+1))&amp;AE32))</f>
        <v>KRTS-APWN26-GETKRTSFUT6418</v>
      </c>
    </row>
    <row r="33" spans="1:34" ht="15.75" customHeight="1" x14ac:dyDescent="0.2">
      <c r="A33" t="s">
        <v>30</v>
      </c>
      <c r="B33" t="s">
        <v>684</v>
      </c>
      <c r="C33" t="s">
        <v>1152</v>
      </c>
      <c r="D33" t="s">
        <v>1154</v>
      </c>
      <c r="E33" t="s">
        <v>34</v>
      </c>
      <c r="F33" t="s">
        <v>35</v>
      </c>
      <c r="G33" t="s">
        <v>43</v>
      </c>
      <c r="H33" t="s">
        <v>689</v>
      </c>
      <c r="I33" t="s">
        <v>690</v>
      </c>
      <c r="J33" t="s">
        <v>691</v>
      </c>
      <c r="K33" t="s">
        <v>474</v>
      </c>
      <c r="L33" t="s">
        <v>40</v>
      </c>
      <c r="M33">
        <v>1</v>
      </c>
      <c r="N33">
        <v>273</v>
      </c>
      <c r="O33">
        <v>273</v>
      </c>
      <c r="P33" t="s">
        <v>41</v>
      </c>
      <c r="Q33">
        <v>279.7</v>
      </c>
      <c r="R33">
        <v>279.7</v>
      </c>
      <c r="S33">
        <v>3817.91</v>
      </c>
      <c r="T33">
        <v>76358.100000000006</v>
      </c>
      <c r="U33">
        <v>5</v>
      </c>
      <c r="V33" t="s">
        <v>42</v>
      </c>
      <c r="W33" t="s">
        <v>474</v>
      </c>
      <c r="X33" s="6" t="str">
        <f t="shared" si="0"/>
        <v>441814965</v>
      </c>
      <c r="Y33" s="7" t="str">
        <f t="shared" si="1"/>
        <v>DC</v>
      </c>
      <c r="Z33" s="7">
        <f t="shared" si="2"/>
        <v>0</v>
      </c>
      <c r="AA33" s="7">
        <f t="shared" si="3"/>
        <v>273</v>
      </c>
      <c r="AB33" s="7">
        <f t="shared" si="4"/>
        <v>0</v>
      </c>
      <c r="AC33" s="7">
        <f t="shared" si="5"/>
        <v>0</v>
      </c>
      <c r="AD33" s="7">
        <f t="shared" si="6"/>
        <v>0</v>
      </c>
      <c r="AE33" s="8" t="str" cm="1">
        <f t="array" ref="AE33">IFERROR(_xlfn.XLOOKUP(H33,Sheet1!$G:$G,Sheet1!$F:$F),IFERROR(_xlfn.XLOOKUP(1,(--($X$2:$X$1074=X33))*(--ISNUMBER(MATCH($H$2:$H$1074,Sheet1!$G:$G,0))),_xlfn.XLOOKUP($H$2:$H$1074,Sheet1!$G:$G,Sheet1!$F:$F,"")),"NOT FOUND"))</f>
        <v>GETKRTSFUT6418</v>
      </c>
      <c r="AF33" s="9" t="str">
        <f t="shared" si="7"/>
        <v>TEAL</v>
      </c>
      <c r="AG33" s="10" t="str">
        <f t="shared" si="8"/>
        <v>Bangalore</v>
      </c>
      <c r="AH33" s="8" t="str" cm="1">
        <f t="array" ref="AH33">IF(OR(J33="",AE33="",AE33="NOT FOUND"),"",IF(Y33="RP",_xlfn.LET(_xlpm.desc,_xlfn.XLOOKUP(1,(--(Sheet1!$F$2:$F$754=AE33))*(--ISNUMBER(FIND("-",Sheet1!$W$2:$W$754,FIND("-",Sheet1!$W$2:$W$754)+1))),Sheet1!$W$2:$W$754,""),IF(_xlpm.desc="","NOT FOUND",LEFT(_xlpm.desc,FIND("-",_xlpm.desc,FIND("-",_xlpm.desc)+1))&amp;AE33)),LEFT(J33,FIND("-",J33,FIND("-",J33)+1))&amp;AE33))</f>
        <v>KRTS-APWN26-GETKRTSFUT6418</v>
      </c>
    </row>
    <row r="34" spans="1:34" ht="15.75" customHeight="1" x14ac:dyDescent="0.2">
      <c r="A34" t="s">
        <v>30</v>
      </c>
      <c r="B34" t="s">
        <v>684</v>
      </c>
      <c r="C34" t="s">
        <v>1152</v>
      </c>
      <c r="D34" t="s">
        <v>1154</v>
      </c>
      <c r="E34" t="s">
        <v>34</v>
      </c>
      <c r="F34" t="s">
        <v>35</v>
      </c>
      <c r="G34" t="s">
        <v>47</v>
      </c>
      <c r="H34" t="s">
        <v>692</v>
      </c>
      <c r="I34" t="s">
        <v>693</v>
      </c>
      <c r="J34" t="s">
        <v>694</v>
      </c>
      <c r="K34" t="s">
        <v>474</v>
      </c>
      <c r="L34" t="s">
        <v>40</v>
      </c>
      <c r="M34">
        <v>1</v>
      </c>
      <c r="N34">
        <v>257</v>
      </c>
      <c r="O34">
        <v>257</v>
      </c>
      <c r="P34" t="s">
        <v>41</v>
      </c>
      <c r="Q34">
        <v>279.7</v>
      </c>
      <c r="R34">
        <v>279.7</v>
      </c>
      <c r="S34">
        <v>3594.15</v>
      </c>
      <c r="T34">
        <v>71882.899999999994</v>
      </c>
      <c r="U34">
        <v>5</v>
      </c>
      <c r="V34" t="s">
        <v>42</v>
      </c>
      <c r="W34" t="s">
        <v>474</v>
      </c>
      <c r="X34" s="6" t="str">
        <f t="shared" si="0"/>
        <v>441814965</v>
      </c>
      <c r="Y34" s="7" t="str">
        <f t="shared" si="1"/>
        <v>DC</v>
      </c>
      <c r="Z34" s="7">
        <f t="shared" si="2"/>
        <v>0</v>
      </c>
      <c r="AA34" s="7">
        <f t="shared" si="3"/>
        <v>0</v>
      </c>
      <c r="AB34" s="7">
        <f t="shared" si="4"/>
        <v>257</v>
      </c>
      <c r="AC34" s="7">
        <f t="shared" si="5"/>
        <v>0</v>
      </c>
      <c r="AD34" s="7">
        <f t="shared" si="6"/>
        <v>0</v>
      </c>
      <c r="AE34" s="8" t="str" cm="1">
        <f t="array" ref="AE34">IFERROR(_xlfn.XLOOKUP(H34,Sheet1!$G:$G,Sheet1!$F:$F),IFERROR(_xlfn.XLOOKUP(1,(--($X$2:$X$1074=X34))*(--ISNUMBER(MATCH($H$2:$H$1074,Sheet1!$G:$G,0))),_xlfn.XLOOKUP($H$2:$H$1074,Sheet1!$G:$G,Sheet1!$F:$F,"")),"NOT FOUND"))</f>
        <v>GETKRTSFUT6418</v>
      </c>
      <c r="AF34" s="9" t="str">
        <f t="shared" si="7"/>
        <v>TEAL</v>
      </c>
      <c r="AG34" s="10" t="str">
        <f t="shared" si="8"/>
        <v>Bangalore</v>
      </c>
      <c r="AH34" s="8" t="str" cm="1">
        <f t="array" ref="AH34">IF(OR(J34="",AE34="",AE34="NOT FOUND"),"",IF(Y34="RP",_xlfn.LET(_xlpm.desc,_xlfn.XLOOKUP(1,(--(Sheet1!$F$2:$F$754=AE34))*(--ISNUMBER(FIND("-",Sheet1!$W$2:$W$754,FIND("-",Sheet1!$W$2:$W$754)+1))),Sheet1!$W$2:$W$754,""),IF(_xlpm.desc="","NOT FOUND",LEFT(_xlpm.desc,FIND("-",_xlpm.desc,FIND("-",_xlpm.desc)+1))&amp;AE34)),LEFT(J34,FIND("-",J34,FIND("-",J34)+1))&amp;AE34))</f>
        <v>KRTS-APWN26-GETKRTSFUT6418</v>
      </c>
    </row>
    <row r="35" spans="1:34" ht="15.75" customHeight="1" x14ac:dyDescent="0.2">
      <c r="A35" t="s">
        <v>30</v>
      </c>
      <c r="B35" t="s">
        <v>684</v>
      </c>
      <c r="C35" t="s">
        <v>1152</v>
      </c>
      <c r="D35" t="s">
        <v>1154</v>
      </c>
      <c r="E35" t="s">
        <v>34</v>
      </c>
      <c r="F35" t="s">
        <v>35</v>
      </c>
      <c r="G35" t="s">
        <v>51</v>
      </c>
      <c r="H35" t="s">
        <v>695</v>
      </c>
      <c r="I35" t="s">
        <v>696</v>
      </c>
      <c r="J35" t="s">
        <v>697</v>
      </c>
      <c r="K35" t="s">
        <v>474</v>
      </c>
      <c r="L35" t="s">
        <v>40</v>
      </c>
      <c r="M35">
        <v>1</v>
      </c>
      <c r="N35">
        <v>273</v>
      </c>
      <c r="O35">
        <v>273</v>
      </c>
      <c r="P35" t="s">
        <v>41</v>
      </c>
      <c r="Q35">
        <v>279.7</v>
      </c>
      <c r="R35">
        <v>279.7</v>
      </c>
      <c r="S35">
        <v>3817.91</v>
      </c>
      <c r="T35">
        <v>76358.100000000006</v>
      </c>
      <c r="U35">
        <v>5</v>
      </c>
      <c r="V35" t="s">
        <v>42</v>
      </c>
      <c r="W35" t="s">
        <v>474</v>
      </c>
      <c r="X35" s="6" t="str">
        <f t="shared" si="0"/>
        <v>441814965</v>
      </c>
      <c r="Y35" s="7" t="str">
        <f t="shared" si="1"/>
        <v>DC</v>
      </c>
      <c r="Z35" s="7">
        <f t="shared" si="2"/>
        <v>0</v>
      </c>
      <c r="AA35" s="7">
        <f t="shared" si="3"/>
        <v>0</v>
      </c>
      <c r="AB35" s="7">
        <f t="shared" si="4"/>
        <v>0</v>
      </c>
      <c r="AC35" s="7">
        <f t="shared" si="5"/>
        <v>273</v>
      </c>
      <c r="AD35" s="7">
        <f t="shared" si="6"/>
        <v>0</v>
      </c>
      <c r="AE35" s="8" t="str" cm="1">
        <f t="array" ref="AE35">IFERROR(_xlfn.XLOOKUP(H35,Sheet1!$G:$G,Sheet1!$F:$F),IFERROR(_xlfn.XLOOKUP(1,(--($X$2:$X$1074=X35))*(--ISNUMBER(MATCH($H$2:$H$1074,Sheet1!$G:$G,0))),_xlfn.XLOOKUP($H$2:$H$1074,Sheet1!$G:$G,Sheet1!$F:$F,"")),"NOT FOUND"))</f>
        <v>GETKRTSFUT6418</v>
      </c>
      <c r="AF35" s="9" t="str">
        <f t="shared" si="7"/>
        <v>TEAL</v>
      </c>
      <c r="AG35" s="10" t="str">
        <f t="shared" si="8"/>
        <v>Bangalore</v>
      </c>
      <c r="AH35" s="8" t="str" cm="1">
        <f t="array" ref="AH35">IF(OR(J35="",AE35="",AE35="NOT FOUND"),"",IF(Y35="RP",_xlfn.LET(_xlpm.desc,_xlfn.XLOOKUP(1,(--(Sheet1!$F$2:$F$754=AE35))*(--ISNUMBER(FIND("-",Sheet1!$W$2:$W$754,FIND("-",Sheet1!$W$2:$W$754)+1))),Sheet1!$W$2:$W$754,""),IF(_xlpm.desc="","NOT FOUND",LEFT(_xlpm.desc,FIND("-",_xlpm.desc,FIND("-",_xlpm.desc)+1))&amp;AE35)),LEFT(J35,FIND("-",J35,FIND("-",J35)+1))&amp;AE35))</f>
        <v>KRTS-APWN26-GETKRTSFUT6418</v>
      </c>
    </row>
    <row r="36" spans="1:34" ht="15.75" customHeight="1" x14ac:dyDescent="0.2">
      <c r="A36" t="s">
        <v>30</v>
      </c>
      <c r="B36" t="s">
        <v>684</v>
      </c>
      <c r="C36" t="s">
        <v>1152</v>
      </c>
      <c r="D36" t="s">
        <v>1154</v>
      </c>
      <c r="E36" t="s">
        <v>34</v>
      </c>
      <c r="F36" t="s">
        <v>35</v>
      </c>
      <c r="G36" t="s">
        <v>55</v>
      </c>
      <c r="H36" t="s">
        <v>698</v>
      </c>
      <c r="I36" t="s">
        <v>699</v>
      </c>
      <c r="J36" t="s">
        <v>700</v>
      </c>
      <c r="K36" t="s">
        <v>474</v>
      </c>
      <c r="L36" t="s">
        <v>40</v>
      </c>
      <c r="M36">
        <v>1</v>
      </c>
      <c r="N36">
        <v>96</v>
      </c>
      <c r="O36">
        <v>96</v>
      </c>
      <c r="P36" t="s">
        <v>41</v>
      </c>
      <c r="Q36">
        <v>279.7</v>
      </c>
      <c r="R36">
        <v>279.7</v>
      </c>
      <c r="S36">
        <v>1342.56</v>
      </c>
      <c r="T36">
        <v>26851.200000000001</v>
      </c>
      <c r="U36">
        <v>5</v>
      </c>
      <c r="V36" t="s">
        <v>42</v>
      </c>
      <c r="W36" t="s">
        <v>474</v>
      </c>
      <c r="X36" s="6" t="str">
        <f t="shared" si="0"/>
        <v>441814965</v>
      </c>
      <c r="Y36" s="7" t="str">
        <f t="shared" si="1"/>
        <v>DC</v>
      </c>
      <c r="Z36" s="7">
        <f t="shared" si="2"/>
        <v>0</v>
      </c>
      <c r="AA36" s="7">
        <f t="shared" si="3"/>
        <v>0</v>
      </c>
      <c r="AB36" s="7">
        <f t="shared" si="4"/>
        <v>0</v>
      </c>
      <c r="AC36" s="7">
        <f t="shared" si="5"/>
        <v>0</v>
      </c>
      <c r="AD36" s="7">
        <f t="shared" si="6"/>
        <v>96</v>
      </c>
      <c r="AE36" s="8" t="str" cm="1">
        <f t="array" ref="AE36">IFERROR(_xlfn.XLOOKUP(H36,Sheet1!$G:$G,Sheet1!$F:$F),IFERROR(_xlfn.XLOOKUP(1,(--($X$2:$X$1074=X36))*(--ISNUMBER(MATCH($H$2:$H$1074,Sheet1!$G:$G,0))),_xlfn.XLOOKUP($H$2:$H$1074,Sheet1!$G:$G,Sheet1!$F:$F,"")),"NOT FOUND"))</f>
        <v>GETKRTSFUT6418</v>
      </c>
      <c r="AF36" s="9" t="str">
        <f t="shared" si="7"/>
        <v>TEAL</v>
      </c>
      <c r="AG36" s="10" t="str">
        <f t="shared" si="8"/>
        <v>Bangalore</v>
      </c>
      <c r="AH36" s="8" t="str" cm="1">
        <f t="array" ref="AH36">IF(OR(J36="",AE36="",AE36="NOT FOUND"),"",IF(Y36="RP",_xlfn.LET(_xlpm.desc,_xlfn.XLOOKUP(1,(--(Sheet1!$F$2:$F$754=AE36))*(--ISNUMBER(FIND("-",Sheet1!$W$2:$W$754,FIND("-",Sheet1!$W$2:$W$754)+1))),Sheet1!$W$2:$W$754,""),IF(_xlpm.desc="","NOT FOUND",LEFT(_xlpm.desc,FIND("-",_xlpm.desc,FIND("-",_xlpm.desc)+1))&amp;AE36)),LEFT(J36,FIND("-",J36,FIND("-",J36)+1))&amp;AE36))</f>
        <v>KRTS-APWN26-GETKRTSFUT6418</v>
      </c>
    </row>
    <row r="37" spans="1:34" ht="15.75" customHeight="1" x14ac:dyDescent="0.2">
      <c r="A37" t="s">
        <v>59</v>
      </c>
      <c r="B37" t="s">
        <v>701</v>
      </c>
      <c r="C37" t="s">
        <v>1152</v>
      </c>
      <c r="D37" t="s">
        <v>1154</v>
      </c>
      <c r="E37" t="s">
        <v>34</v>
      </c>
      <c r="F37" t="s">
        <v>35</v>
      </c>
      <c r="G37" t="s">
        <v>36</v>
      </c>
      <c r="H37" t="s">
        <v>617</v>
      </c>
      <c r="I37" t="s">
        <v>618</v>
      </c>
      <c r="J37" t="s">
        <v>619</v>
      </c>
      <c r="K37" t="s">
        <v>474</v>
      </c>
      <c r="L37" t="s">
        <v>40</v>
      </c>
      <c r="M37">
        <v>1</v>
      </c>
      <c r="N37">
        <v>42</v>
      </c>
      <c r="O37">
        <v>42</v>
      </c>
      <c r="P37" t="s">
        <v>41</v>
      </c>
      <c r="Q37">
        <v>279.7</v>
      </c>
      <c r="R37">
        <v>279.7</v>
      </c>
      <c r="S37">
        <v>587.37</v>
      </c>
      <c r="T37">
        <v>11747.4</v>
      </c>
      <c r="U37">
        <v>5</v>
      </c>
      <c r="V37" t="s">
        <v>42</v>
      </c>
      <c r="W37" t="s">
        <v>474</v>
      </c>
      <c r="X37" s="6" t="str">
        <f t="shared" si="0"/>
        <v>441814969</v>
      </c>
      <c r="Y37" s="7" t="str">
        <f t="shared" si="1"/>
        <v>DC</v>
      </c>
      <c r="Z37" s="7">
        <f t="shared" si="2"/>
        <v>42</v>
      </c>
      <c r="AA37" s="7">
        <f t="shared" si="3"/>
        <v>0</v>
      </c>
      <c r="AB37" s="7">
        <f t="shared" si="4"/>
        <v>0</v>
      </c>
      <c r="AC37" s="7">
        <f t="shared" si="5"/>
        <v>0</v>
      </c>
      <c r="AD37" s="7">
        <f t="shared" si="6"/>
        <v>0</v>
      </c>
      <c r="AE37" s="8" t="str" cm="1">
        <f t="array" ref="AE37">IFERROR(_xlfn.XLOOKUP(H37,Sheet1!$G:$G,Sheet1!$F:$F),IFERROR(_xlfn.XLOOKUP(1,(--($X$2:$X$1074=X37))*(--ISNUMBER(MATCH($H$2:$H$1074,Sheet1!$G:$G,0))),_xlfn.XLOOKUP($H$2:$H$1074,Sheet1!$G:$G,Sheet1!$F:$F,"")),"NOT FOUND"))</f>
        <v>GETKRTSFUT6422</v>
      </c>
      <c r="AF37" s="9" t="str">
        <f t="shared" si="7"/>
        <v>DARK GREY</v>
      </c>
      <c r="AG37" s="10" t="str">
        <f t="shared" si="8"/>
        <v>JHAJJAR</v>
      </c>
      <c r="AH37" s="8" t="str" cm="1">
        <f t="array" ref="AH37">IF(OR(J37="",AE37="",AE37="NOT FOUND"),"",IF(Y37="RP",_xlfn.LET(_xlpm.desc,_xlfn.XLOOKUP(1,(--(Sheet1!$F$2:$F$754=AE37))*(--ISNUMBER(FIND("-",Sheet1!$W$2:$W$754,FIND("-",Sheet1!$W$2:$W$754)+1))),Sheet1!$W$2:$W$754,""),IF(_xlpm.desc="","NOT FOUND",LEFT(_xlpm.desc,FIND("-",_xlpm.desc,FIND("-",_xlpm.desc)+1))&amp;AE37)),LEFT(J37,FIND("-",J37,FIND("-",J37)+1))&amp;AE37))</f>
        <v>KRTS-APWN26-GETKRTSFUT6422</v>
      </c>
    </row>
    <row r="38" spans="1:34" ht="15.75" customHeight="1" x14ac:dyDescent="0.2">
      <c r="A38" t="s">
        <v>59</v>
      </c>
      <c r="B38" t="s">
        <v>701</v>
      </c>
      <c r="C38" t="s">
        <v>1152</v>
      </c>
      <c r="D38" t="s">
        <v>1154</v>
      </c>
      <c r="E38" t="s">
        <v>34</v>
      </c>
      <c r="F38" t="s">
        <v>35</v>
      </c>
      <c r="G38" t="s">
        <v>43</v>
      </c>
      <c r="H38" t="s">
        <v>620</v>
      </c>
      <c r="I38" t="s">
        <v>621</v>
      </c>
      <c r="J38" t="s">
        <v>622</v>
      </c>
      <c r="K38" t="s">
        <v>474</v>
      </c>
      <c r="L38" t="s">
        <v>40</v>
      </c>
      <c r="M38">
        <v>1</v>
      </c>
      <c r="N38">
        <v>178</v>
      </c>
      <c r="O38">
        <v>178</v>
      </c>
      <c r="P38" t="s">
        <v>41</v>
      </c>
      <c r="Q38">
        <v>279.7</v>
      </c>
      <c r="R38">
        <v>279.7</v>
      </c>
      <c r="S38">
        <v>2489.33</v>
      </c>
      <c r="T38">
        <v>49786.6</v>
      </c>
      <c r="U38">
        <v>5</v>
      </c>
      <c r="V38" t="s">
        <v>42</v>
      </c>
      <c r="W38" t="s">
        <v>474</v>
      </c>
      <c r="X38" s="6" t="str">
        <f t="shared" si="0"/>
        <v>441814969</v>
      </c>
      <c r="Y38" s="7" t="str">
        <f t="shared" si="1"/>
        <v>DC</v>
      </c>
      <c r="Z38" s="7">
        <f t="shared" si="2"/>
        <v>0</v>
      </c>
      <c r="AA38" s="7">
        <f t="shared" si="3"/>
        <v>178</v>
      </c>
      <c r="AB38" s="7">
        <f t="shared" si="4"/>
        <v>0</v>
      </c>
      <c r="AC38" s="7">
        <f t="shared" si="5"/>
        <v>0</v>
      </c>
      <c r="AD38" s="7">
        <f t="shared" si="6"/>
        <v>0</v>
      </c>
      <c r="AE38" s="8" t="str" cm="1">
        <f t="array" ref="AE38">IFERROR(_xlfn.XLOOKUP(H38,Sheet1!$G:$G,Sheet1!$F:$F),IFERROR(_xlfn.XLOOKUP(1,(--($X$2:$X$1074=X38))*(--ISNUMBER(MATCH($H$2:$H$1074,Sheet1!$G:$G,0))),_xlfn.XLOOKUP($H$2:$H$1074,Sheet1!$G:$G,Sheet1!$F:$F,"")),"NOT FOUND"))</f>
        <v>GETKRTSFUT6422</v>
      </c>
      <c r="AF38" s="9" t="str">
        <f t="shared" si="7"/>
        <v>DARK GREY</v>
      </c>
      <c r="AG38" s="10" t="str">
        <f t="shared" si="8"/>
        <v>JHAJJAR</v>
      </c>
      <c r="AH38" s="8" t="str" cm="1">
        <f t="array" ref="AH38">IF(OR(J38="",AE38="",AE38="NOT FOUND"),"",IF(Y38="RP",_xlfn.LET(_xlpm.desc,_xlfn.XLOOKUP(1,(--(Sheet1!$F$2:$F$754=AE38))*(--ISNUMBER(FIND("-",Sheet1!$W$2:$W$754,FIND("-",Sheet1!$W$2:$W$754)+1))),Sheet1!$W$2:$W$754,""),IF(_xlpm.desc="","NOT FOUND",LEFT(_xlpm.desc,FIND("-",_xlpm.desc,FIND("-",_xlpm.desc)+1))&amp;AE38)),LEFT(J38,FIND("-",J38,FIND("-",J38)+1))&amp;AE38))</f>
        <v>KRTS-APWN26-GETKRTSFUT6422</v>
      </c>
    </row>
    <row r="39" spans="1:34" ht="15.75" customHeight="1" x14ac:dyDescent="0.2">
      <c r="A39" t="s">
        <v>59</v>
      </c>
      <c r="B39" t="s">
        <v>701</v>
      </c>
      <c r="C39" t="s">
        <v>1152</v>
      </c>
      <c r="D39" t="s">
        <v>1154</v>
      </c>
      <c r="E39" t="s">
        <v>34</v>
      </c>
      <c r="F39" t="s">
        <v>35</v>
      </c>
      <c r="G39" t="s">
        <v>47</v>
      </c>
      <c r="H39" t="s">
        <v>623</v>
      </c>
      <c r="I39" t="s">
        <v>624</v>
      </c>
      <c r="J39" t="s">
        <v>625</v>
      </c>
      <c r="K39" t="s">
        <v>474</v>
      </c>
      <c r="L39" t="s">
        <v>40</v>
      </c>
      <c r="M39">
        <v>1</v>
      </c>
      <c r="N39">
        <v>167</v>
      </c>
      <c r="O39">
        <v>167</v>
      </c>
      <c r="P39" t="s">
        <v>41</v>
      </c>
      <c r="Q39">
        <v>279.7</v>
      </c>
      <c r="R39">
        <v>279.7</v>
      </c>
      <c r="S39">
        <v>2335.5</v>
      </c>
      <c r="T39">
        <v>46709.9</v>
      </c>
      <c r="U39">
        <v>5</v>
      </c>
      <c r="V39" t="s">
        <v>42</v>
      </c>
      <c r="W39" t="s">
        <v>474</v>
      </c>
      <c r="X39" s="6" t="str">
        <f t="shared" si="0"/>
        <v>441814969</v>
      </c>
      <c r="Y39" s="7" t="str">
        <f t="shared" si="1"/>
        <v>DC</v>
      </c>
      <c r="Z39" s="7">
        <f t="shared" si="2"/>
        <v>0</v>
      </c>
      <c r="AA39" s="7">
        <f t="shared" si="3"/>
        <v>0</v>
      </c>
      <c r="AB39" s="7">
        <f t="shared" si="4"/>
        <v>167</v>
      </c>
      <c r="AC39" s="7">
        <f t="shared" si="5"/>
        <v>0</v>
      </c>
      <c r="AD39" s="7">
        <f t="shared" si="6"/>
        <v>0</v>
      </c>
      <c r="AE39" s="8" t="str" cm="1">
        <f t="array" ref="AE39">IFERROR(_xlfn.XLOOKUP(H39,Sheet1!$G:$G,Sheet1!$F:$F),IFERROR(_xlfn.XLOOKUP(1,(--($X$2:$X$1074=X39))*(--ISNUMBER(MATCH($H$2:$H$1074,Sheet1!$G:$G,0))),_xlfn.XLOOKUP($H$2:$H$1074,Sheet1!$G:$G,Sheet1!$F:$F,"")),"NOT FOUND"))</f>
        <v>GETKRTSFUT6422</v>
      </c>
      <c r="AF39" s="9" t="str">
        <f t="shared" si="7"/>
        <v>DARK GREY</v>
      </c>
      <c r="AG39" s="10" t="str">
        <f t="shared" si="8"/>
        <v>JHAJJAR</v>
      </c>
      <c r="AH39" s="8" t="str" cm="1">
        <f t="array" ref="AH39">IF(OR(J39="",AE39="",AE39="NOT FOUND"),"",IF(Y39="RP",_xlfn.LET(_xlpm.desc,_xlfn.XLOOKUP(1,(--(Sheet1!$F$2:$F$754=AE39))*(--ISNUMBER(FIND("-",Sheet1!$W$2:$W$754,FIND("-",Sheet1!$W$2:$W$754)+1))),Sheet1!$W$2:$W$754,""),IF(_xlpm.desc="","NOT FOUND",LEFT(_xlpm.desc,FIND("-",_xlpm.desc,FIND("-",_xlpm.desc)+1))&amp;AE39)),LEFT(J39,FIND("-",J39,FIND("-",J39)+1))&amp;AE39))</f>
        <v>KRTS-APWN26-GETKRTSFUT6422</v>
      </c>
    </row>
    <row r="40" spans="1:34" ht="15.75" customHeight="1" x14ac:dyDescent="0.2">
      <c r="A40" t="s">
        <v>59</v>
      </c>
      <c r="B40" t="s">
        <v>701</v>
      </c>
      <c r="C40" t="s">
        <v>1152</v>
      </c>
      <c r="D40" t="s">
        <v>1154</v>
      </c>
      <c r="E40" t="s">
        <v>34</v>
      </c>
      <c r="F40" t="s">
        <v>35</v>
      </c>
      <c r="G40" t="s">
        <v>51</v>
      </c>
      <c r="H40" t="s">
        <v>626</v>
      </c>
      <c r="I40" t="s">
        <v>627</v>
      </c>
      <c r="J40" t="s">
        <v>628</v>
      </c>
      <c r="K40" t="s">
        <v>474</v>
      </c>
      <c r="L40" t="s">
        <v>40</v>
      </c>
      <c r="M40">
        <v>1</v>
      </c>
      <c r="N40">
        <v>178</v>
      </c>
      <c r="O40">
        <v>178</v>
      </c>
      <c r="P40" t="s">
        <v>41</v>
      </c>
      <c r="Q40">
        <v>279.7</v>
      </c>
      <c r="R40">
        <v>279.7</v>
      </c>
      <c r="S40">
        <v>2489.33</v>
      </c>
      <c r="T40">
        <v>49786.6</v>
      </c>
      <c r="U40">
        <v>5</v>
      </c>
      <c r="V40" t="s">
        <v>42</v>
      </c>
      <c r="W40" t="s">
        <v>474</v>
      </c>
      <c r="X40" s="6" t="str">
        <f t="shared" si="0"/>
        <v>441814969</v>
      </c>
      <c r="Y40" s="7" t="str">
        <f t="shared" si="1"/>
        <v>DC</v>
      </c>
      <c r="Z40" s="7">
        <f t="shared" si="2"/>
        <v>0</v>
      </c>
      <c r="AA40" s="7">
        <f t="shared" si="3"/>
        <v>0</v>
      </c>
      <c r="AB40" s="7">
        <f t="shared" si="4"/>
        <v>0</v>
      </c>
      <c r="AC40" s="7">
        <f t="shared" si="5"/>
        <v>178</v>
      </c>
      <c r="AD40" s="7">
        <f t="shared" si="6"/>
        <v>0</v>
      </c>
      <c r="AE40" s="8" t="str" cm="1">
        <f t="array" ref="AE40">IFERROR(_xlfn.XLOOKUP(H40,Sheet1!$G:$G,Sheet1!$F:$F),IFERROR(_xlfn.XLOOKUP(1,(--($X$2:$X$1074=X40))*(--ISNUMBER(MATCH($H$2:$H$1074,Sheet1!$G:$G,0))),_xlfn.XLOOKUP($H$2:$H$1074,Sheet1!$G:$G,Sheet1!$F:$F,"")),"NOT FOUND"))</f>
        <v>GETKRTSFUT6422</v>
      </c>
      <c r="AF40" s="9" t="str">
        <f t="shared" si="7"/>
        <v>DARK GREY</v>
      </c>
      <c r="AG40" s="10" t="str">
        <f t="shared" si="8"/>
        <v>JHAJJAR</v>
      </c>
      <c r="AH40" s="8" t="str" cm="1">
        <f t="array" ref="AH40">IF(OR(J40="",AE40="",AE40="NOT FOUND"),"",IF(Y40="RP",_xlfn.LET(_xlpm.desc,_xlfn.XLOOKUP(1,(--(Sheet1!$F$2:$F$754=AE40))*(--ISNUMBER(FIND("-",Sheet1!$W$2:$W$754,FIND("-",Sheet1!$W$2:$W$754)+1))),Sheet1!$W$2:$W$754,""),IF(_xlpm.desc="","NOT FOUND",LEFT(_xlpm.desc,FIND("-",_xlpm.desc,FIND("-",_xlpm.desc)+1))&amp;AE40)),LEFT(J40,FIND("-",J40,FIND("-",J40)+1))&amp;AE40))</f>
        <v>KRTS-APWN26-GETKRTSFUT6422</v>
      </c>
    </row>
    <row r="41" spans="1:34" ht="15.75" customHeight="1" x14ac:dyDescent="0.2">
      <c r="A41" t="s">
        <v>59</v>
      </c>
      <c r="B41" t="s">
        <v>701</v>
      </c>
      <c r="C41" t="s">
        <v>1152</v>
      </c>
      <c r="D41" t="s">
        <v>1154</v>
      </c>
      <c r="E41" t="s">
        <v>34</v>
      </c>
      <c r="F41" t="s">
        <v>35</v>
      </c>
      <c r="G41" t="s">
        <v>55</v>
      </c>
      <c r="H41" t="s">
        <v>629</v>
      </c>
      <c r="I41" t="s">
        <v>630</v>
      </c>
      <c r="J41" t="s">
        <v>631</v>
      </c>
      <c r="K41" t="s">
        <v>474</v>
      </c>
      <c r="L41" t="s">
        <v>40</v>
      </c>
      <c r="M41">
        <v>1</v>
      </c>
      <c r="N41">
        <v>63</v>
      </c>
      <c r="O41">
        <v>63</v>
      </c>
      <c r="P41" t="s">
        <v>41</v>
      </c>
      <c r="Q41">
        <v>279.7</v>
      </c>
      <c r="R41">
        <v>279.7</v>
      </c>
      <c r="S41">
        <v>881.06</v>
      </c>
      <c r="T41">
        <v>17621.099999999999</v>
      </c>
      <c r="U41">
        <v>5</v>
      </c>
      <c r="V41" t="s">
        <v>42</v>
      </c>
      <c r="W41" t="s">
        <v>474</v>
      </c>
      <c r="X41" s="6" t="str">
        <f t="shared" si="0"/>
        <v>441814969</v>
      </c>
      <c r="Y41" s="7" t="str">
        <f t="shared" si="1"/>
        <v>DC</v>
      </c>
      <c r="Z41" s="7">
        <f t="shared" si="2"/>
        <v>0</v>
      </c>
      <c r="AA41" s="7">
        <f t="shared" si="3"/>
        <v>0</v>
      </c>
      <c r="AB41" s="7">
        <f t="shared" si="4"/>
        <v>0</v>
      </c>
      <c r="AC41" s="7">
        <f t="shared" si="5"/>
        <v>0</v>
      </c>
      <c r="AD41" s="7">
        <f t="shared" si="6"/>
        <v>63</v>
      </c>
      <c r="AE41" s="8" t="str" cm="1">
        <f t="array" ref="AE41">IFERROR(_xlfn.XLOOKUP(H41,Sheet1!$G:$G,Sheet1!$F:$F),IFERROR(_xlfn.XLOOKUP(1,(--($X$2:$X$1074=X41))*(--ISNUMBER(MATCH($H$2:$H$1074,Sheet1!$G:$G,0))),_xlfn.XLOOKUP($H$2:$H$1074,Sheet1!$G:$G,Sheet1!$F:$F,"")),"NOT FOUND"))</f>
        <v>GETKRTSFUT6422</v>
      </c>
      <c r="AF41" s="9" t="str">
        <f t="shared" si="7"/>
        <v>DARK GREY</v>
      </c>
      <c r="AG41" s="10" t="str">
        <f t="shared" si="8"/>
        <v>JHAJJAR</v>
      </c>
      <c r="AH41" s="8" t="str" cm="1">
        <f t="array" ref="AH41">IF(OR(J41="",AE41="",AE41="NOT FOUND"),"",IF(Y41="RP",_xlfn.LET(_xlpm.desc,_xlfn.XLOOKUP(1,(--(Sheet1!$F$2:$F$754=AE41))*(--ISNUMBER(FIND("-",Sheet1!$W$2:$W$754,FIND("-",Sheet1!$W$2:$W$754)+1))),Sheet1!$W$2:$W$754,""),IF(_xlpm.desc="","NOT FOUND",LEFT(_xlpm.desc,FIND("-",_xlpm.desc,FIND("-",_xlpm.desc)+1))&amp;AE41)),LEFT(J41,FIND("-",J41,FIND("-",J41)+1))&amp;AE41))</f>
        <v>KRTS-APWN26-GETKRTSFUT6422</v>
      </c>
    </row>
    <row r="42" spans="1:34" ht="15.75" customHeight="1" x14ac:dyDescent="0.2">
      <c r="A42" t="s">
        <v>59</v>
      </c>
      <c r="B42" t="s">
        <v>702</v>
      </c>
      <c r="C42" t="s">
        <v>1152</v>
      </c>
      <c r="D42" t="s">
        <v>1154</v>
      </c>
      <c r="E42" t="s">
        <v>34</v>
      </c>
      <c r="F42" t="s">
        <v>35</v>
      </c>
      <c r="G42" t="s">
        <v>36</v>
      </c>
      <c r="H42" t="s">
        <v>634</v>
      </c>
      <c r="I42" t="s">
        <v>635</v>
      </c>
      <c r="J42" t="s">
        <v>636</v>
      </c>
      <c r="K42" t="s">
        <v>474</v>
      </c>
      <c r="L42" t="s">
        <v>40</v>
      </c>
      <c r="M42">
        <v>1</v>
      </c>
      <c r="N42">
        <v>42</v>
      </c>
      <c r="O42">
        <v>42</v>
      </c>
      <c r="P42" t="s">
        <v>41</v>
      </c>
      <c r="Q42">
        <v>276.7</v>
      </c>
      <c r="R42">
        <v>276.7</v>
      </c>
      <c r="S42">
        <v>581.07000000000005</v>
      </c>
      <c r="T42">
        <v>11621.4</v>
      </c>
      <c r="U42">
        <v>5</v>
      </c>
      <c r="V42" t="s">
        <v>42</v>
      </c>
      <c r="W42" t="s">
        <v>474</v>
      </c>
      <c r="X42" s="6" t="str">
        <f t="shared" si="0"/>
        <v>441814968</v>
      </c>
      <c r="Y42" s="7" t="str">
        <f t="shared" si="1"/>
        <v>DC</v>
      </c>
      <c r="Z42" s="7">
        <f t="shared" si="2"/>
        <v>42</v>
      </c>
      <c r="AA42" s="7">
        <f t="shared" si="3"/>
        <v>0</v>
      </c>
      <c r="AB42" s="7">
        <f t="shared" si="4"/>
        <v>0</v>
      </c>
      <c r="AC42" s="7">
        <f t="shared" si="5"/>
        <v>0</v>
      </c>
      <c r="AD42" s="7">
        <f t="shared" si="6"/>
        <v>0</v>
      </c>
      <c r="AE42" s="8" t="str" cm="1">
        <f t="array" ref="AE42">IFERROR(_xlfn.XLOOKUP(H42,Sheet1!$G:$G,Sheet1!$F:$F),IFERROR(_xlfn.XLOOKUP(1,(--($X$2:$X$1074=X42))*(--ISNUMBER(MATCH($H$2:$H$1074,Sheet1!$G:$G,0))),_xlfn.XLOOKUP($H$2:$H$1074,Sheet1!$G:$G,Sheet1!$F:$F,"")),"NOT FOUND"))</f>
        <v>GETKRTSFUT6421</v>
      </c>
      <c r="AF42" s="9" t="str">
        <f t="shared" si="7"/>
        <v>DARK GREY</v>
      </c>
      <c r="AG42" s="10" t="str">
        <f t="shared" si="8"/>
        <v>JHAJJAR</v>
      </c>
      <c r="AH42" s="8" t="str" cm="1">
        <f t="array" ref="AH42">IF(OR(J42="",AE42="",AE42="NOT FOUND"),"",IF(Y42="RP",_xlfn.LET(_xlpm.desc,_xlfn.XLOOKUP(1,(--(Sheet1!$F$2:$F$754=AE42))*(--ISNUMBER(FIND("-",Sheet1!$W$2:$W$754,FIND("-",Sheet1!$W$2:$W$754)+1))),Sheet1!$W$2:$W$754,""),IF(_xlpm.desc="","NOT FOUND",LEFT(_xlpm.desc,FIND("-",_xlpm.desc,FIND("-",_xlpm.desc)+1))&amp;AE42)),LEFT(J42,FIND("-",J42,FIND("-",J42)+1))&amp;AE42))</f>
        <v>KRTS-APWN26-GETKRTSFUT6421</v>
      </c>
    </row>
    <row r="43" spans="1:34" ht="15.75" customHeight="1" x14ac:dyDescent="0.2">
      <c r="A43" t="s">
        <v>59</v>
      </c>
      <c r="B43" t="s">
        <v>702</v>
      </c>
      <c r="C43" t="s">
        <v>1152</v>
      </c>
      <c r="D43" t="s">
        <v>1154</v>
      </c>
      <c r="E43" t="s">
        <v>34</v>
      </c>
      <c r="F43" t="s">
        <v>35</v>
      </c>
      <c r="G43" t="s">
        <v>43</v>
      </c>
      <c r="H43" t="s">
        <v>637</v>
      </c>
      <c r="I43" t="s">
        <v>638</v>
      </c>
      <c r="J43" t="s">
        <v>639</v>
      </c>
      <c r="K43" t="s">
        <v>474</v>
      </c>
      <c r="L43" t="s">
        <v>40</v>
      </c>
      <c r="M43">
        <v>1</v>
      </c>
      <c r="N43">
        <v>178</v>
      </c>
      <c r="O43">
        <v>178</v>
      </c>
      <c r="P43" t="s">
        <v>41</v>
      </c>
      <c r="Q43">
        <v>276.7</v>
      </c>
      <c r="R43">
        <v>276.7</v>
      </c>
      <c r="S43">
        <v>2462.63</v>
      </c>
      <c r="T43">
        <v>49252.6</v>
      </c>
      <c r="U43">
        <v>5</v>
      </c>
      <c r="V43" t="s">
        <v>42</v>
      </c>
      <c r="W43" t="s">
        <v>474</v>
      </c>
      <c r="X43" s="6" t="str">
        <f t="shared" si="0"/>
        <v>441814968</v>
      </c>
      <c r="Y43" s="7" t="str">
        <f t="shared" si="1"/>
        <v>DC</v>
      </c>
      <c r="Z43" s="7">
        <f t="shared" si="2"/>
        <v>0</v>
      </c>
      <c r="AA43" s="7">
        <f t="shared" si="3"/>
        <v>178</v>
      </c>
      <c r="AB43" s="7">
        <f t="shared" si="4"/>
        <v>0</v>
      </c>
      <c r="AC43" s="7">
        <f t="shared" si="5"/>
        <v>0</v>
      </c>
      <c r="AD43" s="7">
        <f t="shared" si="6"/>
        <v>0</v>
      </c>
      <c r="AE43" s="8" t="str" cm="1">
        <f t="array" ref="AE43">IFERROR(_xlfn.XLOOKUP(H43,Sheet1!$G:$G,Sheet1!$F:$F),IFERROR(_xlfn.XLOOKUP(1,(--($X$2:$X$1074=X43))*(--ISNUMBER(MATCH($H$2:$H$1074,Sheet1!$G:$G,0))),_xlfn.XLOOKUP($H$2:$H$1074,Sheet1!$G:$G,Sheet1!$F:$F,"")),"NOT FOUND"))</f>
        <v>GETKRTSFUT6421</v>
      </c>
      <c r="AF43" s="9" t="str">
        <f t="shared" si="7"/>
        <v>DARK GREY</v>
      </c>
      <c r="AG43" s="10" t="str">
        <f t="shared" si="8"/>
        <v>JHAJJAR</v>
      </c>
      <c r="AH43" s="8" t="str" cm="1">
        <f t="array" ref="AH43">IF(OR(J43="",AE43="",AE43="NOT FOUND"),"",IF(Y43="RP",_xlfn.LET(_xlpm.desc,_xlfn.XLOOKUP(1,(--(Sheet1!$F$2:$F$754=AE43))*(--ISNUMBER(FIND("-",Sheet1!$W$2:$W$754,FIND("-",Sheet1!$W$2:$W$754)+1))),Sheet1!$W$2:$W$754,""),IF(_xlpm.desc="","NOT FOUND",LEFT(_xlpm.desc,FIND("-",_xlpm.desc,FIND("-",_xlpm.desc)+1))&amp;AE43)),LEFT(J43,FIND("-",J43,FIND("-",J43)+1))&amp;AE43))</f>
        <v>KRTS-APWN26-GETKRTSFUT6421</v>
      </c>
    </row>
    <row r="44" spans="1:34" ht="15.75" customHeight="1" x14ac:dyDescent="0.2">
      <c r="A44" t="s">
        <v>59</v>
      </c>
      <c r="B44" t="s">
        <v>702</v>
      </c>
      <c r="C44" t="s">
        <v>1152</v>
      </c>
      <c r="D44" t="s">
        <v>1154</v>
      </c>
      <c r="E44" t="s">
        <v>34</v>
      </c>
      <c r="F44" t="s">
        <v>35</v>
      </c>
      <c r="G44" t="s">
        <v>47</v>
      </c>
      <c r="H44" t="s">
        <v>640</v>
      </c>
      <c r="I44" t="s">
        <v>641</v>
      </c>
      <c r="J44" t="s">
        <v>642</v>
      </c>
      <c r="K44" t="s">
        <v>474</v>
      </c>
      <c r="L44" t="s">
        <v>40</v>
      </c>
      <c r="M44">
        <v>1</v>
      </c>
      <c r="N44">
        <v>167</v>
      </c>
      <c r="O44">
        <v>167</v>
      </c>
      <c r="P44" t="s">
        <v>41</v>
      </c>
      <c r="Q44">
        <v>276.7</v>
      </c>
      <c r="R44">
        <v>276.7</v>
      </c>
      <c r="S44">
        <v>2310.4499999999998</v>
      </c>
      <c r="T44">
        <v>46208.9</v>
      </c>
      <c r="U44">
        <v>5</v>
      </c>
      <c r="V44" t="s">
        <v>42</v>
      </c>
      <c r="W44" t="s">
        <v>474</v>
      </c>
      <c r="X44" s="6" t="str">
        <f t="shared" si="0"/>
        <v>441814968</v>
      </c>
      <c r="Y44" s="7" t="str">
        <f t="shared" si="1"/>
        <v>DC</v>
      </c>
      <c r="Z44" s="7">
        <f t="shared" si="2"/>
        <v>0</v>
      </c>
      <c r="AA44" s="7">
        <f t="shared" si="3"/>
        <v>0</v>
      </c>
      <c r="AB44" s="7">
        <f t="shared" si="4"/>
        <v>167</v>
      </c>
      <c r="AC44" s="7">
        <f t="shared" si="5"/>
        <v>0</v>
      </c>
      <c r="AD44" s="7">
        <f t="shared" si="6"/>
        <v>0</v>
      </c>
      <c r="AE44" s="8" t="str" cm="1">
        <f t="array" ref="AE44">IFERROR(_xlfn.XLOOKUP(H44,Sheet1!$G:$G,Sheet1!$F:$F),IFERROR(_xlfn.XLOOKUP(1,(--($X$2:$X$1074=X44))*(--ISNUMBER(MATCH($H$2:$H$1074,Sheet1!$G:$G,0))),_xlfn.XLOOKUP($H$2:$H$1074,Sheet1!$G:$G,Sheet1!$F:$F,"")),"NOT FOUND"))</f>
        <v>GETKRTSFUT6421</v>
      </c>
      <c r="AF44" s="9" t="str">
        <f t="shared" si="7"/>
        <v>DARK GREY</v>
      </c>
      <c r="AG44" s="10" t="str">
        <f t="shared" si="8"/>
        <v>JHAJJAR</v>
      </c>
      <c r="AH44" s="8" t="str" cm="1">
        <f t="array" ref="AH44">IF(OR(J44="",AE44="",AE44="NOT FOUND"),"",IF(Y44="RP",_xlfn.LET(_xlpm.desc,_xlfn.XLOOKUP(1,(--(Sheet1!$F$2:$F$754=AE44))*(--ISNUMBER(FIND("-",Sheet1!$W$2:$W$754,FIND("-",Sheet1!$W$2:$W$754)+1))),Sheet1!$W$2:$W$754,""),IF(_xlpm.desc="","NOT FOUND",LEFT(_xlpm.desc,FIND("-",_xlpm.desc,FIND("-",_xlpm.desc)+1))&amp;AE44)),LEFT(J44,FIND("-",J44,FIND("-",J44)+1))&amp;AE44))</f>
        <v>KRTS-APWN26-GETKRTSFUT6421</v>
      </c>
    </row>
    <row r="45" spans="1:34" ht="15.75" customHeight="1" x14ac:dyDescent="0.2">
      <c r="A45" t="s">
        <v>59</v>
      </c>
      <c r="B45" t="s">
        <v>702</v>
      </c>
      <c r="C45" t="s">
        <v>1152</v>
      </c>
      <c r="D45" t="s">
        <v>1154</v>
      </c>
      <c r="E45" t="s">
        <v>34</v>
      </c>
      <c r="F45" t="s">
        <v>35</v>
      </c>
      <c r="G45" t="s">
        <v>51</v>
      </c>
      <c r="H45" t="s">
        <v>643</v>
      </c>
      <c r="I45" t="s">
        <v>644</v>
      </c>
      <c r="J45" t="s">
        <v>628</v>
      </c>
      <c r="K45" t="s">
        <v>474</v>
      </c>
      <c r="L45" t="s">
        <v>40</v>
      </c>
      <c r="M45">
        <v>1</v>
      </c>
      <c r="N45">
        <v>178</v>
      </c>
      <c r="O45">
        <v>178</v>
      </c>
      <c r="P45" t="s">
        <v>41</v>
      </c>
      <c r="Q45">
        <v>276.7</v>
      </c>
      <c r="R45">
        <v>276.7</v>
      </c>
      <c r="S45">
        <v>2462.63</v>
      </c>
      <c r="T45">
        <v>49252.6</v>
      </c>
      <c r="U45">
        <v>5</v>
      </c>
      <c r="V45" t="s">
        <v>42</v>
      </c>
      <c r="W45" t="s">
        <v>474</v>
      </c>
      <c r="X45" s="6" t="str">
        <f t="shared" si="0"/>
        <v>441814968</v>
      </c>
      <c r="Y45" s="7" t="str">
        <f t="shared" si="1"/>
        <v>DC</v>
      </c>
      <c r="Z45" s="7">
        <f t="shared" si="2"/>
        <v>0</v>
      </c>
      <c r="AA45" s="7">
        <f t="shared" si="3"/>
        <v>0</v>
      </c>
      <c r="AB45" s="7">
        <f t="shared" si="4"/>
        <v>0</v>
      </c>
      <c r="AC45" s="7">
        <f t="shared" si="5"/>
        <v>178</v>
      </c>
      <c r="AD45" s="7">
        <f t="shared" si="6"/>
        <v>0</v>
      </c>
      <c r="AE45" s="8" t="str" cm="1">
        <f t="array" ref="AE45">IFERROR(_xlfn.XLOOKUP(H45,Sheet1!$G:$G,Sheet1!$F:$F),IFERROR(_xlfn.XLOOKUP(1,(--($X$2:$X$1074=X45))*(--ISNUMBER(MATCH($H$2:$H$1074,Sheet1!$G:$G,0))),_xlfn.XLOOKUP($H$2:$H$1074,Sheet1!$G:$G,Sheet1!$F:$F,"")),"NOT FOUND"))</f>
        <v>GETKRTSFUT6421</v>
      </c>
      <c r="AF45" s="9" t="str">
        <f t="shared" si="7"/>
        <v>DARK GREY</v>
      </c>
      <c r="AG45" s="10" t="str">
        <f t="shared" si="8"/>
        <v>JHAJJAR</v>
      </c>
      <c r="AH45" s="8" t="str" cm="1">
        <f t="array" ref="AH45">IF(OR(J45="",AE45="",AE45="NOT FOUND"),"",IF(Y45="RP",_xlfn.LET(_xlpm.desc,_xlfn.XLOOKUP(1,(--(Sheet1!$F$2:$F$754=AE45))*(--ISNUMBER(FIND("-",Sheet1!$W$2:$W$754,FIND("-",Sheet1!$W$2:$W$754)+1))),Sheet1!$W$2:$W$754,""),IF(_xlpm.desc="","NOT FOUND",LEFT(_xlpm.desc,FIND("-",_xlpm.desc,FIND("-",_xlpm.desc)+1))&amp;AE45)),LEFT(J45,FIND("-",J45,FIND("-",J45)+1))&amp;AE45))</f>
        <v>KRTS-APWN26-GETKRTSFUT6421</v>
      </c>
    </row>
    <row r="46" spans="1:34" ht="15.75" customHeight="1" x14ac:dyDescent="0.2">
      <c r="A46" t="s">
        <v>59</v>
      </c>
      <c r="B46" t="s">
        <v>702</v>
      </c>
      <c r="C46" t="s">
        <v>1152</v>
      </c>
      <c r="D46" t="s">
        <v>1154</v>
      </c>
      <c r="E46" t="s">
        <v>34</v>
      </c>
      <c r="F46" t="s">
        <v>35</v>
      </c>
      <c r="G46" t="s">
        <v>55</v>
      </c>
      <c r="H46" t="s">
        <v>645</v>
      </c>
      <c r="I46" t="s">
        <v>646</v>
      </c>
      <c r="J46" t="s">
        <v>631</v>
      </c>
      <c r="K46" t="s">
        <v>474</v>
      </c>
      <c r="L46" t="s">
        <v>40</v>
      </c>
      <c r="M46">
        <v>1</v>
      </c>
      <c r="N46">
        <v>63</v>
      </c>
      <c r="O46">
        <v>63</v>
      </c>
      <c r="P46" t="s">
        <v>41</v>
      </c>
      <c r="Q46">
        <v>276.7</v>
      </c>
      <c r="R46">
        <v>276.7</v>
      </c>
      <c r="S46">
        <v>871.61</v>
      </c>
      <c r="T46">
        <v>17432.099999999999</v>
      </c>
      <c r="U46">
        <v>5</v>
      </c>
      <c r="V46" t="s">
        <v>42</v>
      </c>
      <c r="W46" t="s">
        <v>474</v>
      </c>
      <c r="X46" s="6" t="str">
        <f t="shared" si="0"/>
        <v>441814968</v>
      </c>
      <c r="Y46" s="7" t="str">
        <f t="shared" si="1"/>
        <v>DC</v>
      </c>
      <c r="Z46" s="7">
        <f t="shared" si="2"/>
        <v>0</v>
      </c>
      <c r="AA46" s="7">
        <f t="shared" si="3"/>
        <v>0</v>
      </c>
      <c r="AB46" s="7">
        <f t="shared" si="4"/>
        <v>0</v>
      </c>
      <c r="AC46" s="7">
        <f t="shared" si="5"/>
        <v>0</v>
      </c>
      <c r="AD46" s="7">
        <f t="shared" si="6"/>
        <v>63</v>
      </c>
      <c r="AE46" s="8" t="str" cm="1">
        <f t="array" ref="AE46">IFERROR(_xlfn.XLOOKUP(H46,Sheet1!$G:$G,Sheet1!$F:$F),IFERROR(_xlfn.XLOOKUP(1,(--($X$2:$X$1074=X46))*(--ISNUMBER(MATCH($H$2:$H$1074,Sheet1!$G:$G,0))),_xlfn.XLOOKUP($H$2:$H$1074,Sheet1!$G:$G,Sheet1!$F:$F,"")),"NOT FOUND"))</f>
        <v>GETKRTSFUT6421</v>
      </c>
      <c r="AF46" s="9" t="str">
        <f t="shared" si="7"/>
        <v>DARK GREY</v>
      </c>
      <c r="AG46" s="10" t="str">
        <f t="shared" si="8"/>
        <v>JHAJJAR</v>
      </c>
      <c r="AH46" s="8" t="str" cm="1">
        <f t="array" ref="AH46">IF(OR(J46="",AE46="",AE46="NOT FOUND"),"",IF(Y46="RP",_xlfn.LET(_xlpm.desc,_xlfn.XLOOKUP(1,(--(Sheet1!$F$2:$F$754=AE46))*(--ISNUMBER(FIND("-",Sheet1!$W$2:$W$754,FIND("-",Sheet1!$W$2:$W$754)+1))),Sheet1!$W$2:$W$754,""),IF(_xlpm.desc="","NOT FOUND",LEFT(_xlpm.desc,FIND("-",_xlpm.desc,FIND("-",_xlpm.desc)+1))&amp;AE46)),LEFT(J46,FIND("-",J46,FIND("-",J46)+1))&amp;AE46))</f>
        <v>KRTS-APWN26-GETKRTSFUT6421</v>
      </c>
    </row>
    <row r="47" spans="1:34" ht="15.75" customHeight="1" x14ac:dyDescent="0.2">
      <c r="A47" t="s">
        <v>59</v>
      </c>
      <c r="B47" t="s">
        <v>703</v>
      </c>
      <c r="C47" t="s">
        <v>1152</v>
      </c>
      <c r="D47" t="s">
        <v>1154</v>
      </c>
      <c r="E47" t="s">
        <v>34</v>
      </c>
      <c r="F47" t="s">
        <v>35</v>
      </c>
      <c r="G47" t="s">
        <v>36</v>
      </c>
      <c r="H47" t="s">
        <v>649</v>
      </c>
      <c r="I47" t="s">
        <v>650</v>
      </c>
      <c r="J47" t="s">
        <v>651</v>
      </c>
      <c r="K47" t="s">
        <v>474</v>
      </c>
      <c r="L47" t="s">
        <v>40</v>
      </c>
      <c r="M47">
        <v>1</v>
      </c>
      <c r="N47">
        <v>42</v>
      </c>
      <c r="O47">
        <v>42</v>
      </c>
      <c r="P47" t="s">
        <v>41</v>
      </c>
      <c r="Q47">
        <v>279.7</v>
      </c>
      <c r="R47">
        <v>279.7</v>
      </c>
      <c r="S47">
        <v>587.37</v>
      </c>
      <c r="T47">
        <v>11747.4</v>
      </c>
      <c r="U47">
        <v>5</v>
      </c>
      <c r="V47" t="s">
        <v>42</v>
      </c>
      <c r="W47" t="s">
        <v>474</v>
      </c>
      <c r="X47" s="6" t="str">
        <f t="shared" si="0"/>
        <v>441814967</v>
      </c>
      <c r="Y47" s="7" t="str">
        <f t="shared" si="1"/>
        <v>DC</v>
      </c>
      <c r="Z47" s="7">
        <f t="shared" si="2"/>
        <v>42</v>
      </c>
      <c r="AA47" s="7">
        <f t="shared" si="3"/>
        <v>0</v>
      </c>
      <c r="AB47" s="7">
        <f t="shared" si="4"/>
        <v>0</v>
      </c>
      <c r="AC47" s="7">
        <f t="shared" si="5"/>
        <v>0</v>
      </c>
      <c r="AD47" s="7">
        <f t="shared" si="6"/>
        <v>0</v>
      </c>
      <c r="AE47" s="8" t="str" cm="1">
        <f t="array" ref="AE47">IFERROR(_xlfn.XLOOKUP(H47,Sheet1!$G:$G,Sheet1!$F:$F),IFERROR(_xlfn.XLOOKUP(1,(--($X$2:$X$1074=X47))*(--ISNUMBER(MATCH($H$2:$H$1074,Sheet1!$G:$G,0))),_xlfn.XLOOKUP($H$2:$H$1074,Sheet1!$G:$G,Sheet1!$F:$F,"")),"NOT FOUND"))</f>
        <v>GETKRTSFUT6420</v>
      </c>
      <c r="AF47" s="9" t="str">
        <f t="shared" si="7"/>
        <v>MINT</v>
      </c>
      <c r="AG47" s="10" t="str">
        <f t="shared" si="8"/>
        <v>JHAJJAR</v>
      </c>
      <c r="AH47" s="8" t="str" cm="1">
        <f t="array" ref="AH47">IF(OR(J47="",AE47="",AE47="NOT FOUND"),"",IF(Y47="RP",_xlfn.LET(_xlpm.desc,_xlfn.XLOOKUP(1,(--(Sheet1!$F$2:$F$754=AE47))*(--ISNUMBER(FIND("-",Sheet1!$W$2:$W$754,FIND("-",Sheet1!$W$2:$W$754)+1))),Sheet1!$W$2:$W$754,""),IF(_xlpm.desc="","NOT FOUND",LEFT(_xlpm.desc,FIND("-",_xlpm.desc,FIND("-",_xlpm.desc)+1))&amp;AE47)),LEFT(J47,FIND("-",J47,FIND("-",J47)+1))&amp;AE47))</f>
        <v>KRTS-APWN26-GETKRTSFUT6420</v>
      </c>
    </row>
    <row r="48" spans="1:34" ht="15.75" customHeight="1" x14ac:dyDescent="0.2">
      <c r="A48" t="s">
        <v>59</v>
      </c>
      <c r="B48" t="s">
        <v>703</v>
      </c>
      <c r="C48" t="s">
        <v>1152</v>
      </c>
      <c r="D48" t="s">
        <v>1154</v>
      </c>
      <c r="E48" t="s">
        <v>34</v>
      </c>
      <c r="F48" t="s">
        <v>35</v>
      </c>
      <c r="G48" t="s">
        <v>43</v>
      </c>
      <c r="H48" t="s">
        <v>652</v>
      </c>
      <c r="I48" t="s">
        <v>653</v>
      </c>
      <c r="J48" t="s">
        <v>654</v>
      </c>
      <c r="K48" t="s">
        <v>474</v>
      </c>
      <c r="L48" t="s">
        <v>40</v>
      </c>
      <c r="M48">
        <v>1</v>
      </c>
      <c r="N48">
        <v>178</v>
      </c>
      <c r="O48">
        <v>178</v>
      </c>
      <c r="P48" t="s">
        <v>41</v>
      </c>
      <c r="Q48">
        <v>279.7</v>
      </c>
      <c r="R48">
        <v>279.7</v>
      </c>
      <c r="S48">
        <v>2489.33</v>
      </c>
      <c r="T48">
        <v>49786.6</v>
      </c>
      <c r="U48">
        <v>5</v>
      </c>
      <c r="V48" t="s">
        <v>42</v>
      </c>
      <c r="W48" t="s">
        <v>474</v>
      </c>
      <c r="X48" s="6" t="str">
        <f t="shared" si="0"/>
        <v>441814967</v>
      </c>
      <c r="Y48" s="7" t="str">
        <f t="shared" si="1"/>
        <v>DC</v>
      </c>
      <c r="Z48" s="7">
        <f t="shared" si="2"/>
        <v>0</v>
      </c>
      <c r="AA48" s="7">
        <f t="shared" si="3"/>
        <v>178</v>
      </c>
      <c r="AB48" s="7">
        <f t="shared" si="4"/>
        <v>0</v>
      </c>
      <c r="AC48" s="7">
        <f t="shared" si="5"/>
        <v>0</v>
      </c>
      <c r="AD48" s="7">
        <f t="shared" si="6"/>
        <v>0</v>
      </c>
      <c r="AE48" s="8" t="str" cm="1">
        <f t="array" ref="AE48">IFERROR(_xlfn.XLOOKUP(H48,Sheet1!$G:$G,Sheet1!$F:$F),IFERROR(_xlfn.XLOOKUP(1,(--($X$2:$X$1074=X48))*(--ISNUMBER(MATCH($H$2:$H$1074,Sheet1!$G:$G,0))),_xlfn.XLOOKUP($H$2:$H$1074,Sheet1!$G:$G,Sheet1!$F:$F,"")),"NOT FOUND"))</f>
        <v>GETKRTSFUT6420</v>
      </c>
      <c r="AF48" s="9" t="str">
        <f t="shared" si="7"/>
        <v>MINT</v>
      </c>
      <c r="AG48" s="10" t="str">
        <f t="shared" si="8"/>
        <v>JHAJJAR</v>
      </c>
      <c r="AH48" s="8" t="str" cm="1">
        <f t="array" ref="AH48">IF(OR(J48="",AE48="",AE48="NOT FOUND"),"",IF(Y48="RP",_xlfn.LET(_xlpm.desc,_xlfn.XLOOKUP(1,(--(Sheet1!$F$2:$F$754=AE48))*(--ISNUMBER(FIND("-",Sheet1!$W$2:$W$754,FIND("-",Sheet1!$W$2:$W$754)+1))),Sheet1!$W$2:$W$754,""),IF(_xlpm.desc="","NOT FOUND",LEFT(_xlpm.desc,FIND("-",_xlpm.desc,FIND("-",_xlpm.desc)+1))&amp;AE48)),LEFT(J48,FIND("-",J48,FIND("-",J48)+1))&amp;AE48))</f>
        <v>KRTS-APWN26-GETKRTSFUT6420</v>
      </c>
    </row>
    <row r="49" spans="1:34" ht="15.75" customHeight="1" x14ac:dyDescent="0.2">
      <c r="A49" t="s">
        <v>59</v>
      </c>
      <c r="B49" t="s">
        <v>703</v>
      </c>
      <c r="C49" t="s">
        <v>1152</v>
      </c>
      <c r="D49" t="s">
        <v>1154</v>
      </c>
      <c r="E49" t="s">
        <v>34</v>
      </c>
      <c r="F49" t="s">
        <v>35</v>
      </c>
      <c r="G49" t="s">
        <v>47</v>
      </c>
      <c r="H49" t="s">
        <v>655</v>
      </c>
      <c r="I49" t="s">
        <v>656</v>
      </c>
      <c r="J49" t="s">
        <v>657</v>
      </c>
      <c r="K49" t="s">
        <v>474</v>
      </c>
      <c r="L49" t="s">
        <v>40</v>
      </c>
      <c r="M49">
        <v>1</v>
      </c>
      <c r="N49">
        <v>167</v>
      </c>
      <c r="O49">
        <v>167</v>
      </c>
      <c r="P49" t="s">
        <v>41</v>
      </c>
      <c r="Q49">
        <v>279.7</v>
      </c>
      <c r="R49">
        <v>279.7</v>
      </c>
      <c r="S49">
        <v>2335.5</v>
      </c>
      <c r="T49">
        <v>46709.9</v>
      </c>
      <c r="U49">
        <v>5</v>
      </c>
      <c r="V49" t="s">
        <v>42</v>
      </c>
      <c r="W49" t="s">
        <v>474</v>
      </c>
      <c r="X49" s="6" t="str">
        <f t="shared" si="0"/>
        <v>441814967</v>
      </c>
      <c r="Y49" s="7" t="str">
        <f t="shared" si="1"/>
        <v>DC</v>
      </c>
      <c r="Z49" s="7">
        <f t="shared" si="2"/>
        <v>0</v>
      </c>
      <c r="AA49" s="7">
        <f t="shared" si="3"/>
        <v>0</v>
      </c>
      <c r="AB49" s="7">
        <f t="shared" si="4"/>
        <v>167</v>
      </c>
      <c r="AC49" s="7">
        <f t="shared" si="5"/>
        <v>0</v>
      </c>
      <c r="AD49" s="7">
        <f t="shared" si="6"/>
        <v>0</v>
      </c>
      <c r="AE49" s="8" t="str" cm="1">
        <f t="array" ref="AE49">IFERROR(_xlfn.XLOOKUP(H49,Sheet1!$G:$G,Sheet1!$F:$F),IFERROR(_xlfn.XLOOKUP(1,(--($X$2:$X$1074=X49))*(--ISNUMBER(MATCH($H$2:$H$1074,Sheet1!$G:$G,0))),_xlfn.XLOOKUP($H$2:$H$1074,Sheet1!$G:$G,Sheet1!$F:$F,"")),"NOT FOUND"))</f>
        <v>GETKRTSFUT6420</v>
      </c>
      <c r="AF49" s="9" t="str">
        <f t="shared" si="7"/>
        <v>MINT</v>
      </c>
      <c r="AG49" s="10" t="str">
        <f t="shared" si="8"/>
        <v>JHAJJAR</v>
      </c>
      <c r="AH49" s="8" t="str" cm="1">
        <f t="array" ref="AH49">IF(OR(J49="",AE49="",AE49="NOT FOUND"),"",IF(Y49="RP",_xlfn.LET(_xlpm.desc,_xlfn.XLOOKUP(1,(--(Sheet1!$F$2:$F$754=AE49))*(--ISNUMBER(FIND("-",Sheet1!$W$2:$W$754,FIND("-",Sheet1!$W$2:$W$754)+1))),Sheet1!$W$2:$W$754,""),IF(_xlpm.desc="","NOT FOUND",LEFT(_xlpm.desc,FIND("-",_xlpm.desc,FIND("-",_xlpm.desc)+1))&amp;AE49)),LEFT(J49,FIND("-",J49,FIND("-",J49)+1))&amp;AE49))</f>
        <v>KRTS-APWN26-GETKRTSFUT6420</v>
      </c>
    </row>
    <row r="50" spans="1:34" ht="15.75" customHeight="1" x14ac:dyDescent="0.2">
      <c r="A50" t="s">
        <v>59</v>
      </c>
      <c r="B50" t="s">
        <v>703</v>
      </c>
      <c r="C50" t="s">
        <v>1152</v>
      </c>
      <c r="D50" t="s">
        <v>1154</v>
      </c>
      <c r="E50" t="s">
        <v>34</v>
      </c>
      <c r="F50" t="s">
        <v>35</v>
      </c>
      <c r="G50" t="s">
        <v>51</v>
      </c>
      <c r="H50" t="s">
        <v>658</v>
      </c>
      <c r="I50" t="s">
        <v>659</v>
      </c>
      <c r="J50" t="s">
        <v>660</v>
      </c>
      <c r="K50" t="s">
        <v>474</v>
      </c>
      <c r="L50" t="s">
        <v>40</v>
      </c>
      <c r="M50">
        <v>1</v>
      </c>
      <c r="N50">
        <v>178</v>
      </c>
      <c r="O50">
        <v>178</v>
      </c>
      <c r="P50" t="s">
        <v>41</v>
      </c>
      <c r="Q50">
        <v>279.7</v>
      </c>
      <c r="R50">
        <v>279.7</v>
      </c>
      <c r="S50">
        <v>2489.33</v>
      </c>
      <c r="T50">
        <v>49786.6</v>
      </c>
      <c r="U50">
        <v>5</v>
      </c>
      <c r="V50" t="s">
        <v>42</v>
      </c>
      <c r="W50" t="s">
        <v>474</v>
      </c>
      <c r="X50" s="6" t="str">
        <f t="shared" si="0"/>
        <v>441814967</v>
      </c>
      <c r="Y50" s="7" t="str">
        <f t="shared" si="1"/>
        <v>DC</v>
      </c>
      <c r="Z50" s="7">
        <f t="shared" si="2"/>
        <v>0</v>
      </c>
      <c r="AA50" s="7">
        <f t="shared" si="3"/>
        <v>0</v>
      </c>
      <c r="AB50" s="7">
        <f t="shared" si="4"/>
        <v>0</v>
      </c>
      <c r="AC50" s="7">
        <f t="shared" si="5"/>
        <v>178</v>
      </c>
      <c r="AD50" s="7">
        <f t="shared" si="6"/>
        <v>0</v>
      </c>
      <c r="AE50" s="8" t="str" cm="1">
        <f t="array" ref="AE50">IFERROR(_xlfn.XLOOKUP(H50,Sheet1!$G:$G,Sheet1!$F:$F),IFERROR(_xlfn.XLOOKUP(1,(--($X$2:$X$1074=X50))*(--ISNUMBER(MATCH($H$2:$H$1074,Sheet1!$G:$G,0))),_xlfn.XLOOKUP($H$2:$H$1074,Sheet1!$G:$G,Sheet1!$F:$F,"")),"NOT FOUND"))</f>
        <v>GETKRTSFUT6420</v>
      </c>
      <c r="AF50" s="9" t="str">
        <f t="shared" si="7"/>
        <v>MINT</v>
      </c>
      <c r="AG50" s="10" t="str">
        <f t="shared" si="8"/>
        <v>JHAJJAR</v>
      </c>
      <c r="AH50" s="8" t="str" cm="1">
        <f t="array" ref="AH50">IF(OR(J50="",AE50="",AE50="NOT FOUND"),"",IF(Y50="RP",_xlfn.LET(_xlpm.desc,_xlfn.XLOOKUP(1,(--(Sheet1!$F$2:$F$754=AE50))*(--ISNUMBER(FIND("-",Sheet1!$W$2:$W$754,FIND("-",Sheet1!$W$2:$W$754)+1))),Sheet1!$W$2:$W$754,""),IF(_xlpm.desc="","NOT FOUND",LEFT(_xlpm.desc,FIND("-",_xlpm.desc,FIND("-",_xlpm.desc)+1))&amp;AE50)),LEFT(J50,FIND("-",J50,FIND("-",J50)+1))&amp;AE50))</f>
        <v>KRTS-APWN26-GETKRTSFUT6420</v>
      </c>
    </row>
    <row r="51" spans="1:34" ht="15.75" customHeight="1" x14ac:dyDescent="0.2">
      <c r="A51" t="s">
        <v>59</v>
      </c>
      <c r="B51" t="s">
        <v>703</v>
      </c>
      <c r="C51" t="s">
        <v>1152</v>
      </c>
      <c r="D51" t="s">
        <v>1154</v>
      </c>
      <c r="E51" t="s">
        <v>34</v>
      </c>
      <c r="F51" t="s">
        <v>35</v>
      </c>
      <c r="G51" t="s">
        <v>55</v>
      </c>
      <c r="H51" t="s">
        <v>661</v>
      </c>
      <c r="I51" t="s">
        <v>662</v>
      </c>
      <c r="J51" t="s">
        <v>663</v>
      </c>
      <c r="K51" t="s">
        <v>474</v>
      </c>
      <c r="L51" t="s">
        <v>40</v>
      </c>
      <c r="M51">
        <v>1</v>
      </c>
      <c r="N51">
        <v>63</v>
      </c>
      <c r="O51">
        <v>63</v>
      </c>
      <c r="P51" t="s">
        <v>41</v>
      </c>
      <c r="Q51">
        <v>279.7</v>
      </c>
      <c r="R51">
        <v>279.7</v>
      </c>
      <c r="S51">
        <v>881.06</v>
      </c>
      <c r="T51">
        <v>17621.099999999999</v>
      </c>
      <c r="U51">
        <v>5</v>
      </c>
      <c r="V51" t="s">
        <v>42</v>
      </c>
      <c r="W51" t="s">
        <v>474</v>
      </c>
      <c r="X51" s="6" t="str">
        <f t="shared" si="0"/>
        <v>441814967</v>
      </c>
      <c r="Y51" s="7" t="str">
        <f t="shared" si="1"/>
        <v>DC</v>
      </c>
      <c r="Z51" s="7">
        <f t="shared" si="2"/>
        <v>0</v>
      </c>
      <c r="AA51" s="7">
        <f t="shared" si="3"/>
        <v>0</v>
      </c>
      <c r="AB51" s="7">
        <f t="shared" si="4"/>
        <v>0</v>
      </c>
      <c r="AC51" s="7">
        <f t="shared" si="5"/>
        <v>0</v>
      </c>
      <c r="AD51" s="7">
        <f t="shared" si="6"/>
        <v>63</v>
      </c>
      <c r="AE51" s="8" t="str" cm="1">
        <f t="array" ref="AE51">IFERROR(_xlfn.XLOOKUP(H51,Sheet1!$G:$G,Sheet1!$F:$F),IFERROR(_xlfn.XLOOKUP(1,(--($X$2:$X$1074=X51))*(--ISNUMBER(MATCH($H$2:$H$1074,Sheet1!$G:$G,0))),_xlfn.XLOOKUP($H$2:$H$1074,Sheet1!$G:$G,Sheet1!$F:$F,"")),"NOT FOUND"))</f>
        <v>GETKRTSFUT6420</v>
      </c>
      <c r="AF51" s="9" t="str">
        <f t="shared" si="7"/>
        <v>MINT</v>
      </c>
      <c r="AG51" s="10" t="str">
        <f t="shared" si="8"/>
        <v>JHAJJAR</v>
      </c>
      <c r="AH51" s="8" t="str" cm="1">
        <f t="array" ref="AH51">IF(OR(J51="",AE51="",AE51="NOT FOUND"),"",IF(Y51="RP",_xlfn.LET(_xlpm.desc,_xlfn.XLOOKUP(1,(--(Sheet1!$F$2:$F$754=AE51))*(--ISNUMBER(FIND("-",Sheet1!$W$2:$W$754,FIND("-",Sheet1!$W$2:$W$754)+1))),Sheet1!$W$2:$W$754,""),IF(_xlpm.desc="","NOT FOUND",LEFT(_xlpm.desc,FIND("-",_xlpm.desc,FIND("-",_xlpm.desc)+1))&amp;AE51)),LEFT(J51,FIND("-",J51,FIND("-",J51)+1))&amp;AE51))</f>
        <v>KRTS-APWN26-GETKRTSFUT6420</v>
      </c>
    </row>
    <row r="52" spans="1:34" ht="15.75" customHeight="1" x14ac:dyDescent="0.2">
      <c r="A52" t="s">
        <v>61</v>
      </c>
      <c r="B52" t="s">
        <v>704</v>
      </c>
      <c r="C52" t="s">
        <v>1152</v>
      </c>
      <c r="D52" t="s">
        <v>1153</v>
      </c>
      <c r="E52" t="s">
        <v>34</v>
      </c>
      <c r="F52" t="s">
        <v>35</v>
      </c>
      <c r="G52" t="s">
        <v>36</v>
      </c>
      <c r="H52" t="s">
        <v>598</v>
      </c>
      <c r="I52" t="s">
        <v>599</v>
      </c>
      <c r="J52" t="s">
        <v>601</v>
      </c>
      <c r="K52" t="s">
        <v>474</v>
      </c>
      <c r="L52" t="s">
        <v>40</v>
      </c>
      <c r="M52">
        <v>1</v>
      </c>
      <c r="N52">
        <v>30</v>
      </c>
      <c r="O52">
        <v>30</v>
      </c>
      <c r="P52" t="s">
        <v>41</v>
      </c>
      <c r="Q52">
        <v>276.7</v>
      </c>
      <c r="R52">
        <v>276.7</v>
      </c>
      <c r="S52">
        <v>415.05</v>
      </c>
      <c r="T52">
        <v>8301</v>
      </c>
      <c r="U52">
        <v>5</v>
      </c>
      <c r="V52" t="s">
        <v>42</v>
      </c>
      <c r="W52" t="s">
        <v>474</v>
      </c>
      <c r="X52" s="6" t="str">
        <f t="shared" si="0"/>
        <v>441814970</v>
      </c>
      <c r="Y52" s="7" t="str">
        <f t="shared" si="1"/>
        <v>DC</v>
      </c>
      <c r="Z52" s="7">
        <f t="shared" si="2"/>
        <v>30</v>
      </c>
      <c r="AA52" s="7">
        <f t="shared" si="3"/>
        <v>0</v>
      </c>
      <c r="AB52" s="7">
        <f t="shared" si="4"/>
        <v>0</v>
      </c>
      <c r="AC52" s="7">
        <f t="shared" si="5"/>
        <v>0</v>
      </c>
      <c r="AD52" s="7">
        <f t="shared" si="6"/>
        <v>0</v>
      </c>
      <c r="AE52" s="8" t="str" cm="1">
        <f t="array" ref="AE52">IFERROR(_xlfn.XLOOKUP(H52,Sheet1!$G:$G,Sheet1!$F:$F),IFERROR(_xlfn.XLOOKUP(1,(--($X$2:$X$1074=X52))*(--ISNUMBER(MATCH($H$2:$H$1074,Sheet1!$G:$G,0))),_xlfn.XLOOKUP($H$2:$H$1074,Sheet1!$G:$G,Sheet1!$F:$F,"")),"NOT FOUND"))</f>
        <v>GETKRTSFUT6451</v>
      </c>
      <c r="AF52" s="9" t="str">
        <f t="shared" si="7"/>
        <v>LIME GREEN</v>
      </c>
      <c r="AG52" s="10" t="str">
        <f t="shared" si="8"/>
        <v>HARIPAL</v>
      </c>
      <c r="AH52" s="8" t="str" cm="1">
        <f t="array" ref="AH52">IF(OR(J52="",AE52="",AE52="NOT FOUND"),"",IF(Y52="RP",_xlfn.LET(_xlpm.desc,_xlfn.XLOOKUP(1,(--(Sheet1!$F$2:$F$754=AE52))*(--ISNUMBER(FIND("-",Sheet1!$W$2:$W$754,FIND("-",Sheet1!$W$2:$W$754)+1))),Sheet1!$W$2:$W$754,""),IF(_xlpm.desc="","NOT FOUND",LEFT(_xlpm.desc,FIND("-",_xlpm.desc,FIND("-",_xlpm.desc)+1))&amp;AE52)),LEFT(J52,FIND("-",J52,FIND("-",J52)+1))&amp;AE52))</f>
        <v>KRTS-APWN26-GETKRTSFUT6451</v>
      </c>
    </row>
    <row r="53" spans="1:34" ht="15.75" customHeight="1" x14ac:dyDescent="0.2">
      <c r="A53" t="s">
        <v>61</v>
      </c>
      <c r="B53" t="s">
        <v>704</v>
      </c>
      <c r="C53" t="s">
        <v>1152</v>
      </c>
      <c r="D53" t="s">
        <v>1153</v>
      </c>
      <c r="E53" t="s">
        <v>34</v>
      </c>
      <c r="F53" t="s">
        <v>35</v>
      </c>
      <c r="G53" t="s">
        <v>43</v>
      </c>
      <c r="H53" t="s">
        <v>602</v>
      </c>
      <c r="I53" t="s">
        <v>603</v>
      </c>
      <c r="J53" t="s">
        <v>605</v>
      </c>
      <c r="K53" t="s">
        <v>474</v>
      </c>
      <c r="L53" t="s">
        <v>40</v>
      </c>
      <c r="M53">
        <v>1</v>
      </c>
      <c r="N53">
        <v>127</v>
      </c>
      <c r="O53">
        <v>127</v>
      </c>
      <c r="P53" t="s">
        <v>41</v>
      </c>
      <c r="Q53">
        <v>276.7</v>
      </c>
      <c r="R53">
        <v>276.7</v>
      </c>
      <c r="S53">
        <v>1757.05</v>
      </c>
      <c r="T53">
        <v>35140.9</v>
      </c>
      <c r="U53">
        <v>5</v>
      </c>
      <c r="V53" t="s">
        <v>42</v>
      </c>
      <c r="W53" t="s">
        <v>474</v>
      </c>
      <c r="X53" s="6" t="str">
        <f t="shared" si="0"/>
        <v>441814970</v>
      </c>
      <c r="Y53" s="7" t="str">
        <f t="shared" si="1"/>
        <v>DC</v>
      </c>
      <c r="Z53" s="7">
        <f t="shared" si="2"/>
        <v>0</v>
      </c>
      <c r="AA53" s="7">
        <f t="shared" si="3"/>
        <v>127</v>
      </c>
      <c r="AB53" s="7">
        <f t="shared" si="4"/>
        <v>0</v>
      </c>
      <c r="AC53" s="7">
        <f t="shared" si="5"/>
        <v>0</v>
      </c>
      <c r="AD53" s="7">
        <f t="shared" si="6"/>
        <v>0</v>
      </c>
      <c r="AE53" s="8" t="str" cm="1">
        <f t="array" ref="AE53">IFERROR(_xlfn.XLOOKUP(H53,Sheet1!$G:$G,Sheet1!$F:$F),IFERROR(_xlfn.XLOOKUP(1,(--($X$2:$X$1074=X53))*(--ISNUMBER(MATCH($H$2:$H$1074,Sheet1!$G:$G,0))),_xlfn.XLOOKUP($H$2:$H$1074,Sheet1!$G:$G,Sheet1!$F:$F,"")),"NOT FOUND"))</f>
        <v>GETKRTSFUT6451</v>
      </c>
      <c r="AF53" s="9" t="str">
        <f t="shared" si="7"/>
        <v>LIME GREEN</v>
      </c>
      <c r="AG53" s="10" t="str">
        <f t="shared" si="8"/>
        <v>HARIPAL</v>
      </c>
      <c r="AH53" s="8" t="str" cm="1">
        <f t="array" ref="AH53">IF(OR(J53="",AE53="",AE53="NOT FOUND"),"",IF(Y53="RP",_xlfn.LET(_xlpm.desc,_xlfn.XLOOKUP(1,(--(Sheet1!$F$2:$F$754=AE53))*(--ISNUMBER(FIND("-",Sheet1!$W$2:$W$754,FIND("-",Sheet1!$W$2:$W$754)+1))),Sheet1!$W$2:$W$754,""),IF(_xlpm.desc="","NOT FOUND",LEFT(_xlpm.desc,FIND("-",_xlpm.desc,FIND("-",_xlpm.desc)+1))&amp;AE53)),LEFT(J53,FIND("-",J53,FIND("-",J53)+1))&amp;AE53))</f>
        <v>KRTS-APWN26-GETKRTSFUT6451</v>
      </c>
    </row>
    <row r="54" spans="1:34" ht="15.75" customHeight="1" x14ac:dyDescent="0.2">
      <c r="A54" t="s">
        <v>61</v>
      </c>
      <c r="B54" t="s">
        <v>704</v>
      </c>
      <c r="C54" t="s">
        <v>1152</v>
      </c>
      <c r="D54" t="s">
        <v>1153</v>
      </c>
      <c r="E54" t="s">
        <v>34</v>
      </c>
      <c r="F54" t="s">
        <v>35</v>
      </c>
      <c r="G54" t="s">
        <v>47</v>
      </c>
      <c r="H54" t="s">
        <v>606</v>
      </c>
      <c r="I54" t="s">
        <v>607</v>
      </c>
      <c r="J54" t="s">
        <v>608</v>
      </c>
      <c r="K54" t="s">
        <v>474</v>
      </c>
      <c r="L54" t="s">
        <v>40</v>
      </c>
      <c r="M54">
        <v>1</v>
      </c>
      <c r="N54">
        <v>120</v>
      </c>
      <c r="O54">
        <v>120</v>
      </c>
      <c r="P54" t="s">
        <v>41</v>
      </c>
      <c r="Q54">
        <v>276.7</v>
      </c>
      <c r="R54">
        <v>276.7</v>
      </c>
      <c r="S54">
        <v>1660.2</v>
      </c>
      <c r="T54">
        <v>33204</v>
      </c>
      <c r="U54">
        <v>5</v>
      </c>
      <c r="V54" t="s">
        <v>42</v>
      </c>
      <c r="W54" t="s">
        <v>474</v>
      </c>
      <c r="X54" s="6" t="str">
        <f t="shared" si="0"/>
        <v>441814970</v>
      </c>
      <c r="Y54" s="7" t="str">
        <f t="shared" si="1"/>
        <v>DC</v>
      </c>
      <c r="Z54" s="7">
        <f t="shared" si="2"/>
        <v>0</v>
      </c>
      <c r="AA54" s="7">
        <f t="shared" si="3"/>
        <v>0</v>
      </c>
      <c r="AB54" s="7">
        <f t="shared" si="4"/>
        <v>120</v>
      </c>
      <c r="AC54" s="7">
        <f t="shared" si="5"/>
        <v>0</v>
      </c>
      <c r="AD54" s="7">
        <f t="shared" si="6"/>
        <v>0</v>
      </c>
      <c r="AE54" s="8" t="str" cm="1">
        <f t="array" ref="AE54">IFERROR(_xlfn.XLOOKUP(H54,Sheet1!$G:$G,Sheet1!$F:$F),IFERROR(_xlfn.XLOOKUP(1,(--($X$2:$X$1074=X54))*(--ISNUMBER(MATCH($H$2:$H$1074,Sheet1!$G:$G,0))),_xlfn.XLOOKUP($H$2:$H$1074,Sheet1!$G:$G,Sheet1!$F:$F,"")),"NOT FOUND"))</f>
        <v>GETKRTSFUT6451</v>
      </c>
      <c r="AF54" s="9" t="str">
        <f t="shared" si="7"/>
        <v>LIME GREEN</v>
      </c>
      <c r="AG54" s="10" t="str">
        <f t="shared" si="8"/>
        <v>HARIPAL</v>
      </c>
      <c r="AH54" s="8" t="str" cm="1">
        <f t="array" ref="AH54">IF(OR(J54="",AE54="",AE54="NOT FOUND"),"",IF(Y54="RP",_xlfn.LET(_xlpm.desc,_xlfn.XLOOKUP(1,(--(Sheet1!$F$2:$F$754=AE54))*(--ISNUMBER(FIND("-",Sheet1!$W$2:$W$754,FIND("-",Sheet1!$W$2:$W$754)+1))),Sheet1!$W$2:$W$754,""),IF(_xlpm.desc="","NOT FOUND",LEFT(_xlpm.desc,FIND("-",_xlpm.desc,FIND("-",_xlpm.desc)+1))&amp;AE54)),LEFT(J54,FIND("-",J54,FIND("-",J54)+1))&amp;AE54))</f>
        <v>KRTS-APWN26-GETKRTSFUT6451</v>
      </c>
    </row>
    <row r="55" spans="1:34" ht="15.75" customHeight="1" x14ac:dyDescent="0.2">
      <c r="A55" t="s">
        <v>61</v>
      </c>
      <c r="B55" t="s">
        <v>704</v>
      </c>
      <c r="C55" t="s">
        <v>1152</v>
      </c>
      <c r="D55" t="s">
        <v>1153</v>
      </c>
      <c r="E55" t="s">
        <v>34</v>
      </c>
      <c r="F55" t="s">
        <v>35</v>
      </c>
      <c r="G55" t="s">
        <v>51</v>
      </c>
      <c r="H55" t="s">
        <v>609</v>
      </c>
      <c r="I55" t="s">
        <v>610</v>
      </c>
      <c r="J55" t="s">
        <v>611</v>
      </c>
      <c r="K55" t="s">
        <v>474</v>
      </c>
      <c r="L55" t="s">
        <v>40</v>
      </c>
      <c r="M55">
        <v>1</v>
      </c>
      <c r="N55">
        <v>127</v>
      </c>
      <c r="O55">
        <v>127</v>
      </c>
      <c r="P55" t="s">
        <v>41</v>
      </c>
      <c r="Q55">
        <v>276.7</v>
      </c>
      <c r="R55">
        <v>276.7</v>
      </c>
      <c r="S55">
        <v>1757.05</v>
      </c>
      <c r="T55">
        <v>35140.9</v>
      </c>
      <c r="U55">
        <v>5</v>
      </c>
      <c r="V55" t="s">
        <v>42</v>
      </c>
      <c r="W55" t="s">
        <v>474</v>
      </c>
      <c r="X55" s="6" t="str">
        <f t="shared" si="0"/>
        <v>441814970</v>
      </c>
      <c r="Y55" s="7" t="str">
        <f t="shared" si="1"/>
        <v>DC</v>
      </c>
      <c r="Z55" s="7">
        <f t="shared" si="2"/>
        <v>0</v>
      </c>
      <c r="AA55" s="7">
        <f t="shared" si="3"/>
        <v>0</v>
      </c>
      <c r="AB55" s="7">
        <f t="shared" si="4"/>
        <v>0</v>
      </c>
      <c r="AC55" s="7">
        <f t="shared" si="5"/>
        <v>127</v>
      </c>
      <c r="AD55" s="7">
        <f t="shared" si="6"/>
        <v>0</v>
      </c>
      <c r="AE55" s="8" t="str" cm="1">
        <f t="array" ref="AE55">IFERROR(_xlfn.XLOOKUP(H55,Sheet1!$G:$G,Sheet1!$F:$F),IFERROR(_xlfn.XLOOKUP(1,(--($X$2:$X$1074=X55))*(--ISNUMBER(MATCH($H$2:$H$1074,Sheet1!$G:$G,0))),_xlfn.XLOOKUP($H$2:$H$1074,Sheet1!$G:$G,Sheet1!$F:$F,"")),"NOT FOUND"))</f>
        <v>GETKRTSFUT6451</v>
      </c>
      <c r="AF55" s="9" t="str">
        <f t="shared" si="7"/>
        <v>LIME GREEN</v>
      </c>
      <c r="AG55" s="10" t="str">
        <f t="shared" si="8"/>
        <v>HARIPAL</v>
      </c>
      <c r="AH55" s="8" t="str" cm="1">
        <f t="array" ref="AH55">IF(OR(J55="",AE55="",AE55="NOT FOUND"),"",IF(Y55="RP",_xlfn.LET(_xlpm.desc,_xlfn.XLOOKUP(1,(--(Sheet1!$F$2:$F$754=AE55))*(--ISNUMBER(FIND("-",Sheet1!$W$2:$W$754,FIND("-",Sheet1!$W$2:$W$754)+1))),Sheet1!$W$2:$W$754,""),IF(_xlpm.desc="","NOT FOUND",LEFT(_xlpm.desc,FIND("-",_xlpm.desc,FIND("-",_xlpm.desc)+1))&amp;AE55)),LEFT(J55,FIND("-",J55,FIND("-",J55)+1))&amp;AE55))</f>
        <v>KRTS-APWN26-GETKRTSFUT6451</v>
      </c>
    </row>
    <row r="56" spans="1:34" ht="15.75" customHeight="1" x14ac:dyDescent="0.2">
      <c r="A56" t="s">
        <v>61</v>
      </c>
      <c r="B56" t="s">
        <v>704</v>
      </c>
      <c r="C56" t="s">
        <v>1152</v>
      </c>
      <c r="D56" t="s">
        <v>1153</v>
      </c>
      <c r="E56" t="s">
        <v>34</v>
      </c>
      <c r="F56" t="s">
        <v>35</v>
      </c>
      <c r="G56" t="s">
        <v>55</v>
      </c>
      <c r="H56" t="s">
        <v>612</v>
      </c>
      <c r="I56" t="s">
        <v>613</v>
      </c>
      <c r="J56" t="s">
        <v>176</v>
      </c>
      <c r="K56" t="s">
        <v>474</v>
      </c>
      <c r="L56" t="s">
        <v>40</v>
      </c>
      <c r="M56">
        <v>1</v>
      </c>
      <c r="N56">
        <v>45</v>
      </c>
      <c r="O56">
        <v>45</v>
      </c>
      <c r="P56" t="s">
        <v>41</v>
      </c>
      <c r="Q56">
        <v>276.7</v>
      </c>
      <c r="R56">
        <v>276.7</v>
      </c>
      <c r="S56">
        <v>622.58000000000004</v>
      </c>
      <c r="T56">
        <v>12451.5</v>
      </c>
      <c r="U56">
        <v>5</v>
      </c>
      <c r="V56" t="s">
        <v>42</v>
      </c>
      <c r="W56" t="s">
        <v>474</v>
      </c>
      <c r="X56" s="6" t="str">
        <f t="shared" si="0"/>
        <v>441814970</v>
      </c>
      <c r="Y56" s="7" t="str">
        <f t="shared" si="1"/>
        <v>DC</v>
      </c>
      <c r="Z56" s="7">
        <f t="shared" si="2"/>
        <v>0</v>
      </c>
      <c r="AA56" s="7">
        <f t="shared" si="3"/>
        <v>0</v>
      </c>
      <c r="AB56" s="7">
        <f t="shared" si="4"/>
        <v>0</v>
      </c>
      <c r="AC56" s="7">
        <f t="shared" si="5"/>
        <v>0</v>
      </c>
      <c r="AD56" s="7">
        <f t="shared" si="6"/>
        <v>45</v>
      </c>
      <c r="AE56" s="8" t="str" cm="1">
        <f t="array" ref="AE56">IFERROR(_xlfn.XLOOKUP(H56,Sheet1!$G:$G,Sheet1!$F:$F),IFERROR(_xlfn.XLOOKUP(1,(--($X$2:$X$1074=X56))*(--ISNUMBER(MATCH($H$2:$H$1074,Sheet1!$G:$G,0))),_xlfn.XLOOKUP($H$2:$H$1074,Sheet1!$G:$G,Sheet1!$F:$F,"")),"NOT FOUND"))</f>
        <v>GETKRTSFUT6451</v>
      </c>
      <c r="AF56" s="9" t="str">
        <f t="shared" si="7"/>
        <v>LIME GREEN</v>
      </c>
      <c r="AG56" s="10" t="str">
        <f t="shared" si="8"/>
        <v>HARIPAL</v>
      </c>
      <c r="AH56" s="8" t="str" cm="1">
        <f t="array" ref="AH56">IF(OR(J56="",AE56="",AE56="NOT FOUND"),"",IF(Y56="RP",_xlfn.LET(_xlpm.desc,_xlfn.XLOOKUP(1,(--(Sheet1!$F$2:$F$754=AE56))*(--ISNUMBER(FIND("-",Sheet1!$W$2:$W$754,FIND("-",Sheet1!$W$2:$W$754)+1))),Sheet1!$W$2:$W$754,""),IF(_xlpm.desc="","NOT FOUND",LEFT(_xlpm.desc,FIND("-",_xlpm.desc,FIND("-",_xlpm.desc)+1))&amp;AE56)),LEFT(J56,FIND("-",J56,FIND("-",J56)+1))&amp;AE56))</f>
        <v>KRTS-APWN26-GETKRTSFUT6451</v>
      </c>
    </row>
    <row r="57" spans="1:34" ht="15.75" customHeight="1" x14ac:dyDescent="0.2">
      <c r="A57" t="s">
        <v>59</v>
      </c>
      <c r="B57" t="s">
        <v>706</v>
      </c>
      <c r="C57" t="s">
        <v>1152</v>
      </c>
      <c r="D57" t="s">
        <v>1154</v>
      </c>
      <c r="E57" t="s">
        <v>34</v>
      </c>
      <c r="F57" t="s">
        <v>35</v>
      </c>
      <c r="G57" t="s">
        <v>36</v>
      </c>
      <c r="H57" t="s">
        <v>666</v>
      </c>
      <c r="I57" t="s">
        <v>667</v>
      </c>
      <c r="J57" t="s">
        <v>668</v>
      </c>
      <c r="K57" t="s">
        <v>474</v>
      </c>
      <c r="L57" t="s">
        <v>40</v>
      </c>
      <c r="M57">
        <v>1</v>
      </c>
      <c r="N57">
        <v>42</v>
      </c>
      <c r="O57">
        <v>42</v>
      </c>
      <c r="P57" t="s">
        <v>41</v>
      </c>
      <c r="Q57">
        <v>276.7</v>
      </c>
      <c r="R57">
        <v>276.7</v>
      </c>
      <c r="S57">
        <v>581.07000000000005</v>
      </c>
      <c r="T57">
        <v>11621.4</v>
      </c>
      <c r="U57">
        <v>5</v>
      </c>
      <c r="V57" t="s">
        <v>42</v>
      </c>
      <c r="W57" t="s">
        <v>474</v>
      </c>
      <c r="X57" s="6" t="str">
        <f t="shared" si="0"/>
        <v>441814966</v>
      </c>
      <c r="Y57" s="7" t="str">
        <f t="shared" si="1"/>
        <v>DC</v>
      </c>
      <c r="Z57" s="7">
        <f t="shared" si="2"/>
        <v>42</v>
      </c>
      <c r="AA57" s="7">
        <f t="shared" si="3"/>
        <v>0</v>
      </c>
      <c r="AB57" s="7">
        <f t="shared" si="4"/>
        <v>0</v>
      </c>
      <c r="AC57" s="7">
        <f t="shared" si="5"/>
        <v>0</v>
      </c>
      <c r="AD57" s="7">
        <f t="shared" si="6"/>
        <v>0</v>
      </c>
      <c r="AE57" s="8" t="str" cm="1">
        <f t="array" ref="AE57">IFERROR(_xlfn.XLOOKUP(H57,Sheet1!$G:$G,Sheet1!$F:$F),IFERROR(_xlfn.XLOOKUP(1,(--($X$2:$X$1074=X57))*(--ISNUMBER(MATCH($H$2:$H$1074,Sheet1!$G:$G,0))),_xlfn.XLOOKUP($H$2:$H$1074,Sheet1!$G:$G,Sheet1!$F:$F,"")),"NOT FOUND"))</f>
        <v>GETKRTSFUT6419</v>
      </c>
      <c r="AF57" s="9" t="str">
        <f t="shared" si="7"/>
        <v>LIGHT RED</v>
      </c>
      <c r="AG57" s="10" t="str">
        <f t="shared" si="8"/>
        <v>JHAJJAR</v>
      </c>
      <c r="AH57" s="8" t="str" cm="1">
        <f t="array" ref="AH57">IF(OR(J57="",AE57="",AE57="NOT FOUND"),"",IF(Y57="RP",_xlfn.LET(_xlpm.desc,_xlfn.XLOOKUP(1,(--(Sheet1!$F$2:$F$754=AE57))*(--ISNUMBER(FIND("-",Sheet1!$W$2:$W$754,FIND("-",Sheet1!$W$2:$W$754)+1))),Sheet1!$W$2:$W$754,""),IF(_xlpm.desc="","NOT FOUND",LEFT(_xlpm.desc,FIND("-",_xlpm.desc,FIND("-",_xlpm.desc)+1))&amp;AE57)),LEFT(J57,FIND("-",J57,FIND("-",J57)+1))&amp;AE57))</f>
        <v>KRTS-APWN26-GETKRTSFUT6419</v>
      </c>
    </row>
    <row r="58" spans="1:34" ht="15.75" customHeight="1" x14ac:dyDescent="0.2">
      <c r="A58" t="s">
        <v>59</v>
      </c>
      <c r="B58" t="s">
        <v>706</v>
      </c>
      <c r="C58" t="s">
        <v>1152</v>
      </c>
      <c r="D58" t="s">
        <v>1154</v>
      </c>
      <c r="E58" t="s">
        <v>34</v>
      </c>
      <c r="F58" t="s">
        <v>35</v>
      </c>
      <c r="G58" t="s">
        <v>43</v>
      </c>
      <c r="H58" t="s">
        <v>669</v>
      </c>
      <c r="I58" t="s">
        <v>670</v>
      </c>
      <c r="J58" t="s">
        <v>671</v>
      </c>
      <c r="K58" t="s">
        <v>474</v>
      </c>
      <c r="L58" t="s">
        <v>40</v>
      </c>
      <c r="M58">
        <v>1</v>
      </c>
      <c r="N58">
        <v>178</v>
      </c>
      <c r="O58">
        <v>178</v>
      </c>
      <c r="P58" t="s">
        <v>41</v>
      </c>
      <c r="Q58">
        <v>276.7</v>
      </c>
      <c r="R58">
        <v>276.7</v>
      </c>
      <c r="S58">
        <v>2462.63</v>
      </c>
      <c r="T58">
        <v>49252.6</v>
      </c>
      <c r="U58">
        <v>5</v>
      </c>
      <c r="V58" t="s">
        <v>42</v>
      </c>
      <c r="W58" t="s">
        <v>474</v>
      </c>
      <c r="X58" s="6" t="str">
        <f t="shared" si="0"/>
        <v>441814966</v>
      </c>
      <c r="Y58" s="7" t="str">
        <f t="shared" si="1"/>
        <v>DC</v>
      </c>
      <c r="Z58" s="7">
        <f t="shared" si="2"/>
        <v>0</v>
      </c>
      <c r="AA58" s="7">
        <f t="shared" si="3"/>
        <v>178</v>
      </c>
      <c r="AB58" s="7">
        <f t="shared" si="4"/>
        <v>0</v>
      </c>
      <c r="AC58" s="7">
        <f t="shared" si="5"/>
        <v>0</v>
      </c>
      <c r="AD58" s="7">
        <f t="shared" si="6"/>
        <v>0</v>
      </c>
      <c r="AE58" s="8" t="str" cm="1">
        <f t="array" ref="AE58">IFERROR(_xlfn.XLOOKUP(H58,Sheet1!$G:$G,Sheet1!$F:$F),IFERROR(_xlfn.XLOOKUP(1,(--($X$2:$X$1074=X58))*(--ISNUMBER(MATCH($H$2:$H$1074,Sheet1!$G:$G,0))),_xlfn.XLOOKUP($H$2:$H$1074,Sheet1!$G:$G,Sheet1!$F:$F,"")),"NOT FOUND"))</f>
        <v>GETKRTSFUT6419</v>
      </c>
      <c r="AF58" s="9" t="str">
        <f t="shared" si="7"/>
        <v>LIGHT RED</v>
      </c>
      <c r="AG58" s="10" t="str">
        <f t="shared" si="8"/>
        <v>JHAJJAR</v>
      </c>
      <c r="AH58" s="8" t="str" cm="1">
        <f t="array" ref="AH58">IF(OR(J58="",AE58="",AE58="NOT FOUND"),"",IF(Y58="RP",_xlfn.LET(_xlpm.desc,_xlfn.XLOOKUP(1,(--(Sheet1!$F$2:$F$754=AE58))*(--ISNUMBER(FIND("-",Sheet1!$W$2:$W$754,FIND("-",Sheet1!$W$2:$W$754)+1))),Sheet1!$W$2:$W$754,""),IF(_xlpm.desc="","NOT FOUND",LEFT(_xlpm.desc,FIND("-",_xlpm.desc,FIND("-",_xlpm.desc)+1))&amp;AE58)),LEFT(J58,FIND("-",J58,FIND("-",J58)+1))&amp;AE58))</f>
        <v>KRTS-APWN26-GETKRTSFUT6419</v>
      </c>
    </row>
    <row r="59" spans="1:34" ht="15.75" customHeight="1" x14ac:dyDescent="0.2">
      <c r="A59" t="s">
        <v>59</v>
      </c>
      <c r="B59" t="s">
        <v>706</v>
      </c>
      <c r="C59" t="s">
        <v>1152</v>
      </c>
      <c r="D59" t="s">
        <v>1154</v>
      </c>
      <c r="E59" t="s">
        <v>34</v>
      </c>
      <c r="F59" t="s">
        <v>35</v>
      </c>
      <c r="G59" t="s">
        <v>47</v>
      </c>
      <c r="H59" t="s">
        <v>672</v>
      </c>
      <c r="I59" t="s">
        <v>673</v>
      </c>
      <c r="J59" t="s">
        <v>674</v>
      </c>
      <c r="K59" t="s">
        <v>474</v>
      </c>
      <c r="L59" t="s">
        <v>40</v>
      </c>
      <c r="M59">
        <v>1</v>
      </c>
      <c r="N59">
        <v>167</v>
      </c>
      <c r="O59">
        <v>167</v>
      </c>
      <c r="P59" t="s">
        <v>41</v>
      </c>
      <c r="Q59">
        <v>276.7</v>
      </c>
      <c r="R59">
        <v>276.7</v>
      </c>
      <c r="S59">
        <v>2310.4499999999998</v>
      </c>
      <c r="T59">
        <v>46208.9</v>
      </c>
      <c r="U59">
        <v>5</v>
      </c>
      <c r="V59" t="s">
        <v>42</v>
      </c>
      <c r="W59" t="s">
        <v>474</v>
      </c>
      <c r="X59" s="6" t="str">
        <f t="shared" si="0"/>
        <v>441814966</v>
      </c>
      <c r="Y59" s="7" t="str">
        <f t="shared" si="1"/>
        <v>DC</v>
      </c>
      <c r="Z59" s="7">
        <f t="shared" si="2"/>
        <v>0</v>
      </c>
      <c r="AA59" s="7">
        <f t="shared" si="3"/>
        <v>0</v>
      </c>
      <c r="AB59" s="7">
        <f t="shared" si="4"/>
        <v>167</v>
      </c>
      <c r="AC59" s="7">
        <f t="shared" si="5"/>
        <v>0</v>
      </c>
      <c r="AD59" s="7">
        <f t="shared" si="6"/>
        <v>0</v>
      </c>
      <c r="AE59" s="8" t="str" cm="1">
        <f t="array" ref="AE59">IFERROR(_xlfn.XLOOKUP(H59,Sheet1!$G:$G,Sheet1!$F:$F),IFERROR(_xlfn.XLOOKUP(1,(--($X$2:$X$1074=X59))*(--ISNUMBER(MATCH($H$2:$H$1074,Sheet1!$G:$G,0))),_xlfn.XLOOKUP($H$2:$H$1074,Sheet1!$G:$G,Sheet1!$F:$F,"")),"NOT FOUND"))</f>
        <v>GETKRTSFUT6419</v>
      </c>
      <c r="AF59" s="9" t="str">
        <f t="shared" si="7"/>
        <v>LIGHT RED</v>
      </c>
      <c r="AG59" s="10" t="str">
        <f t="shared" si="8"/>
        <v>JHAJJAR</v>
      </c>
      <c r="AH59" s="8" t="str" cm="1">
        <f t="array" ref="AH59">IF(OR(J59="",AE59="",AE59="NOT FOUND"),"",IF(Y59="RP",_xlfn.LET(_xlpm.desc,_xlfn.XLOOKUP(1,(--(Sheet1!$F$2:$F$754=AE59))*(--ISNUMBER(FIND("-",Sheet1!$W$2:$W$754,FIND("-",Sheet1!$W$2:$W$754)+1))),Sheet1!$W$2:$W$754,""),IF(_xlpm.desc="","NOT FOUND",LEFT(_xlpm.desc,FIND("-",_xlpm.desc,FIND("-",_xlpm.desc)+1))&amp;AE59)),LEFT(J59,FIND("-",J59,FIND("-",J59)+1))&amp;AE59))</f>
        <v>KRTS-APWN26-GETKRTSFUT6419</v>
      </c>
    </row>
    <row r="60" spans="1:34" ht="15.75" customHeight="1" x14ac:dyDescent="0.2">
      <c r="A60" t="s">
        <v>59</v>
      </c>
      <c r="B60" t="s">
        <v>706</v>
      </c>
      <c r="C60" t="s">
        <v>1152</v>
      </c>
      <c r="D60" t="s">
        <v>1154</v>
      </c>
      <c r="E60" t="s">
        <v>34</v>
      </c>
      <c r="F60" t="s">
        <v>35</v>
      </c>
      <c r="G60" t="s">
        <v>51</v>
      </c>
      <c r="H60" t="s">
        <v>675</v>
      </c>
      <c r="I60" t="s">
        <v>676</v>
      </c>
      <c r="J60" t="s">
        <v>677</v>
      </c>
      <c r="K60" t="s">
        <v>474</v>
      </c>
      <c r="L60" t="s">
        <v>40</v>
      </c>
      <c r="M60">
        <v>1</v>
      </c>
      <c r="N60">
        <v>178</v>
      </c>
      <c r="O60">
        <v>178</v>
      </c>
      <c r="P60" t="s">
        <v>41</v>
      </c>
      <c r="Q60">
        <v>276.7</v>
      </c>
      <c r="R60">
        <v>276.7</v>
      </c>
      <c r="S60">
        <v>2462.63</v>
      </c>
      <c r="T60">
        <v>49252.6</v>
      </c>
      <c r="U60">
        <v>5</v>
      </c>
      <c r="V60" t="s">
        <v>42</v>
      </c>
      <c r="W60" t="s">
        <v>474</v>
      </c>
      <c r="X60" s="6" t="str">
        <f t="shared" si="0"/>
        <v>441814966</v>
      </c>
      <c r="Y60" s="7" t="str">
        <f t="shared" si="1"/>
        <v>DC</v>
      </c>
      <c r="Z60" s="7">
        <f t="shared" si="2"/>
        <v>0</v>
      </c>
      <c r="AA60" s="7">
        <f t="shared" si="3"/>
        <v>0</v>
      </c>
      <c r="AB60" s="7">
        <f t="shared" si="4"/>
        <v>0</v>
      </c>
      <c r="AC60" s="7">
        <f t="shared" si="5"/>
        <v>178</v>
      </c>
      <c r="AD60" s="7">
        <f t="shared" si="6"/>
        <v>0</v>
      </c>
      <c r="AE60" s="8" t="str" cm="1">
        <f t="array" ref="AE60">IFERROR(_xlfn.XLOOKUP(H60,Sheet1!$G:$G,Sheet1!$F:$F),IFERROR(_xlfn.XLOOKUP(1,(--($X$2:$X$1074=X60))*(--ISNUMBER(MATCH($H$2:$H$1074,Sheet1!$G:$G,0))),_xlfn.XLOOKUP($H$2:$H$1074,Sheet1!$G:$G,Sheet1!$F:$F,"")),"NOT FOUND"))</f>
        <v>GETKRTSFUT6419</v>
      </c>
      <c r="AF60" s="9" t="str">
        <f t="shared" si="7"/>
        <v>LIGHT RED</v>
      </c>
      <c r="AG60" s="10" t="str">
        <f t="shared" si="8"/>
        <v>JHAJJAR</v>
      </c>
      <c r="AH60" s="8" t="str" cm="1">
        <f t="array" ref="AH60">IF(OR(J60="",AE60="",AE60="NOT FOUND"),"",IF(Y60="RP",_xlfn.LET(_xlpm.desc,_xlfn.XLOOKUP(1,(--(Sheet1!$F$2:$F$754=AE60))*(--ISNUMBER(FIND("-",Sheet1!$W$2:$W$754,FIND("-",Sheet1!$W$2:$W$754)+1))),Sheet1!$W$2:$W$754,""),IF(_xlpm.desc="","NOT FOUND",LEFT(_xlpm.desc,FIND("-",_xlpm.desc,FIND("-",_xlpm.desc)+1))&amp;AE60)),LEFT(J60,FIND("-",J60,FIND("-",J60)+1))&amp;AE60))</f>
        <v>KRTS-APWN26-GETKRTSFUT6419</v>
      </c>
    </row>
    <row r="61" spans="1:34" ht="15.75" customHeight="1" x14ac:dyDescent="0.2">
      <c r="A61" t="s">
        <v>59</v>
      </c>
      <c r="B61" t="s">
        <v>706</v>
      </c>
      <c r="C61" t="s">
        <v>1152</v>
      </c>
      <c r="D61" t="s">
        <v>1154</v>
      </c>
      <c r="E61" t="s">
        <v>34</v>
      </c>
      <c r="F61" t="s">
        <v>35</v>
      </c>
      <c r="G61" t="s">
        <v>55</v>
      </c>
      <c r="H61" t="s">
        <v>678</v>
      </c>
      <c r="I61" t="s">
        <v>679</v>
      </c>
      <c r="J61" t="s">
        <v>680</v>
      </c>
      <c r="K61" t="s">
        <v>474</v>
      </c>
      <c r="L61" t="s">
        <v>40</v>
      </c>
      <c r="M61">
        <v>1</v>
      </c>
      <c r="N61">
        <v>63</v>
      </c>
      <c r="O61">
        <v>63</v>
      </c>
      <c r="P61" t="s">
        <v>41</v>
      </c>
      <c r="Q61">
        <v>276.7</v>
      </c>
      <c r="R61">
        <v>276.7</v>
      </c>
      <c r="S61">
        <v>871.61</v>
      </c>
      <c r="T61">
        <v>17432.099999999999</v>
      </c>
      <c r="U61">
        <v>5</v>
      </c>
      <c r="V61" t="s">
        <v>42</v>
      </c>
      <c r="W61" t="s">
        <v>474</v>
      </c>
      <c r="X61" s="6" t="str">
        <f t="shared" si="0"/>
        <v>441814966</v>
      </c>
      <c r="Y61" s="7" t="str">
        <f t="shared" si="1"/>
        <v>DC</v>
      </c>
      <c r="Z61" s="7">
        <f t="shared" si="2"/>
        <v>0</v>
      </c>
      <c r="AA61" s="7">
        <f t="shared" si="3"/>
        <v>0</v>
      </c>
      <c r="AB61" s="7">
        <f t="shared" si="4"/>
        <v>0</v>
      </c>
      <c r="AC61" s="7">
        <f t="shared" si="5"/>
        <v>0</v>
      </c>
      <c r="AD61" s="7">
        <f t="shared" si="6"/>
        <v>63</v>
      </c>
      <c r="AE61" s="8" t="str" cm="1">
        <f t="array" ref="AE61">IFERROR(_xlfn.XLOOKUP(H61,Sheet1!$G:$G,Sheet1!$F:$F),IFERROR(_xlfn.XLOOKUP(1,(--($X$2:$X$1074=X61))*(--ISNUMBER(MATCH($H$2:$H$1074,Sheet1!$G:$G,0))),_xlfn.XLOOKUP($H$2:$H$1074,Sheet1!$G:$G,Sheet1!$F:$F,"")),"NOT FOUND"))</f>
        <v>GETKRTSFUT6419</v>
      </c>
      <c r="AF61" s="9" t="str">
        <f t="shared" si="7"/>
        <v>LIGHT RED</v>
      </c>
      <c r="AG61" s="10" t="str">
        <f t="shared" si="8"/>
        <v>JHAJJAR</v>
      </c>
      <c r="AH61" s="8" t="str" cm="1">
        <f t="array" ref="AH61">IF(OR(J61="",AE61="",AE61="NOT FOUND"),"",IF(Y61="RP",_xlfn.LET(_xlpm.desc,_xlfn.XLOOKUP(1,(--(Sheet1!$F$2:$F$754=AE61))*(--ISNUMBER(FIND("-",Sheet1!$W$2:$W$754,FIND("-",Sheet1!$W$2:$W$754)+1))),Sheet1!$W$2:$W$754,""),IF(_xlpm.desc="","NOT FOUND",LEFT(_xlpm.desc,FIND("-",_xlpm.desc,FIND("-",_xlpm.desc)+1))&amp;AE61)),LEFT(J61,FIND("-",J61,FIND("-",J61)+1))&amp;AE61))</f>
        <v>KRTS-APWN26-GETKRTSFUT6419</v>
      </c>
    </row>
    <row r="62" spans="1:34" ht="15.75" customHeight="1" x14ac:dyDescent="0.2">
      <c r="A62" t="s">
        <v>59</v>
      </c>
      <c r="B62" t="s">
        <v>707</v>
      </c>
      <c r="C62" t="s">
        <v>1152</v>
      </c>
      <c r="D62" t="s">
        <v>1154</v>
      </c>
      <c r="E62" t="s">
        <v>34</v>
      </c>
      <c r="F62" t="s">
        <v>35</v>
      </c>
      <c r="G62" t="s">
        <v>36</v>
      </c>
      <c r="H62" t="s">
        <v>686</v>
      </c>
      <c r="I62" t="s">
        <v>687</v>
      </c>
      <c r="J62" t="s">
        <v>688</v>
      </c>
      <c r="K62" t="s">
        <v>474</v>
      </c>
      <c r="L62" t="s">
        <v>40</v>
      </c>
      <c r="M62">
        <v>1</v>
      </c>
      <c r="N62">
        <v>42</v>
      </c>
      <c r="O62">
        <v>42</v>
      </c>
      <c r="P62" t="s">
        <v>41</v>
      </c>
      <c r="Q62">
        <v>279.7</v>
      </c>
      <c r="R62">
        <v>279.7</v>
      </c>
      <c r="S62">
        <v>587.37</v>
      </c>
      <c r="T62">
        <v>11747.4</v>
      </c>
      <c r="U62">
        <v>5</v>
      </c>
      <c r="V62" t="s">
        <v>42</v>
      </c>
      <c r="W62" t="s">
        <v>474</v>
      </c>
      <c r="X62" s="6" t="str">
        <f t="shared" si="0"/>
        <v>441814965</v>
      </c>
      <c r="Y62" s="7" t="str">
        <f t="shared" si="1"/>
        <v>DC</v>
      </c>
      <c r="Z62" s="7">
        <f t="shared" si="2"/>
        <v>42</v>
      </c>
      <c r="AA62" s="7">
        <f t="shared" si="3"/>
        <v>0</v>
      </c>
      <c r="AB62" s="7">
        <f t="shared" si="4"/>
        <v>0</v>
      </c>
      <c r="AC62" s="7">
        <f t="shared" si="5"/>
        <v>0</v>
      </c>
      <c r="AD62" s="7">
        <f t="shared" si="6"/>
        <v>0</v>
      </c>
      <c r="AE62" s="8" t="str" cm="1">
        <f t="array" ref="AE62">IFERROR(_xlfn.XLOOKUP(H62,Sheet1!$G:$G,Sheet1!$F:$F),IFERROR(_xlfn.XLOOKUP(1,(--($X$2:$X$1074=X62))*(--ISNUMBER(MATCH($H$2:$H$1074,Sheet1!$G:$G,0))),_xlfn.XLOOKUP($H$2:$H$1074,Sheet1!$G:$G,Sheet1!$F:$F,"")),"NOT FOUND"))</f>
        <v>GETKRTSFUT6418</v>
      </c>
      <c r="AF62" s="9" t="str">
        <f t="shared" si="7"/>
        <v>TEAL</v>
      </c>
      <c r="AG62" s="10" t="str">
        <f t="shared" si="8"/>
        <v>JHAJJAR</v>
      </c>
      <c r="AH62" s="8" t="str" cm="1">
        <f t="array" ref="AH62">IF(OR(J62="",AE62="",AE62="NOT FOUND"),"",IF(Y62="RP",_xlfn.LET(_xlpm.desc,_xlfn.XLOOKUP(1,(--(Sheet1!$F$2:$F$754=AE62))*(--ISNUMBER(FIND("-",Sheet1!$W$2:$W$754,FIND("-",Sheet1!$W$2:$W$754)+1))),Sheet1!$W$2:$W$754,""),IF(_xlpm.desc="","NOT FOUND",LEFT(_xlpm.desc,FIND("-",_xlpm.desc,FIND("-",_xlpm.desc)+1))&amp;AE62)),LEFT(J62,FIND("-",J62,FIND("-",J62)+1))&amp;AE62))</f>
        <v>KRTS-APWN26-GETKRTSFUT6418</v>
      </c>
    </row>
    <row r="63" spans="1:34" ht="15.75" customHeight="1" x14ac:dyDescent="0.2">
      <c r="A63" t="s">
        <v>59</v>
      </c>
      <c r="B63" t="s">
        <v>707</v>
      </c>
      <c r="C63" t="s">
        <v>1152</v>
      </c>
      <c r="D63" t="s">
        <v>1154</v>
      </c>
      <c r="E63" t="s">
        <v>34</v>
      </c>
      <c r="F63" t="s">
        <v>35</v>
      </c>
      <c r="G63" t="s">
        <v>43</v>
      </c>
      <c r="H63" t="s">
        <v>689</v>
      </c>
      <c r="I63" t="s">
        <v>690</v>
      </c>
      <c r="J63" t="s">
        <v>691</v>
      </c>
      <c r="K63" t="s">
        <v>474</v>
      </c>
      <c r="L63" t="s">
        <v>40</v>
      </c>
      <c r="M63">
        <v>1</v>
      </c>
      <c r="N63">
        <v>178</v>
      </c>
      <c r="O63">
        <v>178</v>
      </c>
      <c r="P63" t="s">
        <v>41</v>
      </c>
      <c r="Q63">
        <v>279.7</v>
      </c>
      <c r="R63">
        <v>279.7</v>
      </c>
      <c r="S63">
        <v>2489.33</v>
      </c>
      <c r="T63">
        <v>49786.6</v>
      </c>
      <c r="U63">
        <v>5</v>
      </c>
      <c r="V63" t="s">
        <v>42</v>
      </c>
      <c r="W63" t="s">
        <v>474</v>
      </c>
      <c r="X63" s="6" t="str">
        <f t="shared" si="0"/>
        <v>441814965</v>
      </c>
      <c r="Y63" s="7" t="str">
        <f t="shared" si="1"/>
        <v>DC</v>
      </c>
      <c r="Z63" s="7">
        <f t="shared" si="2"/>
        <v>0</v>
      </c>
      <c r="AA63" s="7">
        <f t="shared" si="3"/>
        <v>178</v>
      </c>
      <c r="AB63" s="7">
        <f t="shared" si="4"/>
        <v>0</v>
      </c>
      <c r="AC63" s="7">
        <f t="shared" si="5"/>
        <v>0</v>
      </c>
      <c r="AD63" s="7">
        <f t="shared" si="6"/>
        <v>0</v>
      </c>
      <c r="AE63" s="8" t="str" cm="1">
        <f t="array" ref="AE63">IFERROR(_xlfn.XLOOKUP(H63,Sheet1!$G:$G,Sheet1!$F:$F),IFERROR(_xlfn.XLOOKUP(1,(--($X$2:$X$1074=X63))*(--ISNUMBER(MATCH($H$2:$H$1074,Sheet1!$G:$G,0))),_xlfn.XLOOKUP($H$2:$H$1074,Sheet1!$G:$G,Sheet1!$F:$F,"")),"NOT FOUND"))</f>
        <v>GETKRTSFUT6418</v>
      </c>
      <c r="AF63" s="9" t="str">
        <f t="shared" si="7"/>
        <v>TEAL</v>
      </c>
      <c r="AG63" s="10" t="str">
        <f t="shared" si="8"/>
        <v>JHAJJAR</v>
      </c>
      <c r="AH63" s="8" t="str" cm="1">
        <f t="array" ref="AH63">IF(OR(J63="",AE63="",AE63="NOT FOUND"),"",IF(Y63="RP",_xlfn.LET(_xlpm.desc,_xlfn.XLOOKUP(1,(--(Sheet1!$F$2:$F$754=AE63))*(--ISNUMBER(FIND("-",Sheet1!$W$2:$W$754,FIND("-",Sheet1!$W$2:$W$754)+1))),Sheet1!$W$2:$W$754,""),IF(_xlpm.desc="","NOT FOUND",LEFT(_xlpm.desc,FIND("-",_xlpm.desc,FIND("-",_xlpm.desc)+1))&amp;AE63)),LEFT(J63,FIND("-",J63,FIND("-",J63)+1))&amp;AE63))</f>
        <v>KRTS-APWN26-GETKRTSFUT6418</v>
      </c>
    </row>
    <row r="64" spans="1:34" ht="15.75" customHeight="1" x14ac:dyDescent="0.2">
      <c r="A64" t="s">
        <v>59</v>
      </c>
      <c r="B64" t="s">
        <v>707</v>
      </c>
      <c r="C64" t="s">
        <v>1152</v>
      </c>
      <c r="D64" t="s">
        <v>1154</v>
      </c>
      <c r="E64" t="s">
        <v>34</v>
      </c>
      <c r="F64" t="s">
        <v>35</v>
      </c>
      <c r="G64" t="s">
        <v>47</v>
      </c>
      <c r="H64" t="s">
        <v>692</v>
      </c>
      <c r="I64" t="s">
        <v>693</v>
      </c>
      <c r="J64" t="s">
        <v>694</v>
      </c>
      <c r="K64" t="s">
        <v>474</v>
      </c>
      <c r="L64" t="s">
        <v>40</v>
      </c>
      <c r="M64">
        <v>1</v>
      </c>
      <c r="N64">
        <v>167</v>
      </c>
      <c r="O64">
        <v>167</v>
      </c>
      <c r="P64" t="s">
        <v>41</v>
      </c>
      <c r="Q64">
        <v>279.7</v>
      </c>
      <c r="R64">
        <v>279.7</v>
      </c>
      <c r="S64">
        <v>2335.5</v>
      </c>
      <c r="T64">
        <v>46709.9</v>
      </c>
      <c r="U64">
        <v>5</v>
      </c>
      <c r="V64" t="s">
        <v>42</v>
      </c>
      <c r="W64" t="s">
        <v>474</v>
      </c>
      <c r="X64" s="6" t="str">
        <f t="shared" si="0"/>
        <v>441814965</v>
      </c>
      <c r="Y64" s="7" t="str">
        <f t="shared" si="1"/>
        <v>DC</v>
      </c>
      <c r="Z64" s="7">
        <f t="shared" si="2"/>
        <v>0</v>
      </c>
      <c r="AA64" s="7">
        <f t="shared" si="3"/>
        <v>0</v>
      </c>
      <c r="AB64" s="7">
        <f t="shared" si="4"/>
        <v>167</v>
      </c>
      <c r="AC64" s="7">
        <f t="shared" si="5"/>
        <v>0</v>
      </c>
      <c r="AD64" s="7">
        <f t="shared" si="6"/>
        <v>0</v>
      </c>
      <c r="AE64" s="8" t="str" cm="1">
        <f t="array" ref="AE64">IFERROR(_xlfn.XLOOKUP(H64,Sheet1!$G:$G,Sheet1!$F:$F),IFERROR(_xlfn.XLOOKUP(1,(--($X$2:$X$1074=X64))*(--ISNUMBER(MATCH($H$2:$H$1074,Sheet1!$G:$G,0))),_xlfn.XLOOKUP($H$2:$H$1074,Sheet1!$G:$G,Sheet1!$F:$F,"")),"NOT FOUND"))</f>
        <v>GETKRTSFUT6418</v>
      </c>
      <c r="AF64" s="9" t="str">
        <f t="shared" si="7"/>
        <v>TEAL</v>
      </c>
      <c r="AG64" s="10" t="str">
        <f t="shared" si="8"/>
        <v>JHAJJAR</v>
      </c>
      <c r="AH64" s="8" t="str" cm="1">
        <f t="array" ref="AH64">IF(OR(J64="",AE64="",AE64="NOT FOUND"),"",IF(Y64="RP",_xlfn.LET(_xlpm.desc,_xlfn.XLOOKUP(1,(--(Sheet1!$F$2:$F$754=AE64))*(--ISNUMBER(FIND("-",Sheet1!$W$2:$W$754,FIND("-",Sheet1!$W$2:$W$754)+1))),Sheet1!$W$2:$W$754,""),IF(_xlpm.desc="","NOT FOUND",LEFT(_xlpm.desc,FIND("-",_xlpm.desc,FIND("-",_xlpm.desc)+1))&amp;AE64)),LEFT(J64,FIND("-",J64,FIND("-",J64)+1))&amp;AE64))</f>
        <v>KRTS-APWN26-GETKRTSFUT6418</v>
      </c>
    </row>
    <row r="65" spans="1:34" ht="15.75" customHeight="1" x14ac:dyDescent="0.2">
      <c r="A65" t="s">
        <v>59</v>
      </c>
      <c r="B65" t="s">
        <v>707</v>
      </c>
      <c r="C65" t="s">
        <v>1152</v>
      </c>
      <c r="D65" t="s">
        <v>1154</v>
      </c>
      <c r="E65" t="s">
        <v>34</v>
      </c>
      <c r="F65" t="s">
        <v>35</v>
      </c>
      <c r="G65" t="s">
        <v>51</v>
      </c>
      <c r="H65" t="s">
        <v>695</v>
      </c>
      <c r="I65" t="s">
        <v>696</v>
      </c>
      <c r="J65" t="s">
        <v>697</v>
      </c>
      <c r="K65" t="s">
        <v>474</v>
      </c>
      <c r="L65" t="s">
        <v>40</v>
      </c>
      <c r="M65">
        <v>1</v>
      </c>
      <c r="N65">
        <v>178</v>
      </c>
      <c r="O65">
        <v>178</v>
      </c>
      <c r="P65" t="s">
        <v>41</v>
      </c>
      <c r="Q65">
        <v>279.7</v>
      </c>
      <c r="R65">
        <v>279.7</v>
      </c>
      <c r="S65">
        <v>2489.33</v>
      </c>
      <c r="T65">
        <v>49786.6</v>
      </c>
      <c r="U65">
        <v>5</v>
      </c>
      <c r="V65" t="s">
        <v>42</v>
      </c>
      <c r="W65" t="s">
        <v>474</v>
      </c>
      <c r="X65" s="6" t="str">
        <f t="shared" si="0"/>
        <v>441814965</v>
      </c>
      <c r="Y65" s="7" t="str">
        <f t="shared" si="1"/>
        <v>DC</v>
      </c>
      <c r="Z65" s="7">
        <f t="shared" si="2"/>
        <v>0</v>
      </c>
      <c r="AA65" s="7">
        <f t="shared" si="3"/>
        <v>0</v>
      </c>
      <c r="AB65" s="7">
        <f t="shared" si="4"/>
        <v>0</v>
      </c>
      <c r="AC65" s="7">
        <f t="shared" si="5"/>
        <v>178</v>
      </c>
      <c r="AD65" s="7">
        <f t="shared" si="6"/>
        <v>0</v>
      </c>
      <c r="AE65" s="8" t="str" cm="1">
        <f t="array" ref="AE65">IFERROR(_xlfn.XLOOKUP(H65,Sheet1!$G:$G,Sheet1!$F:$F),IFERROR(_xlfn.XLOOKUP(1,(--($X$2:$X$1074=X65))*(--ISNUMBER(MATCH($H$2:$H$1074,Sheet1!$G:$G,0))),_xlfn.XLOOKUP($H$2:$H$1074,Sheet1!$G:$G,Sheet1!$F:$F,"")),"NOT FOUND"))</f>
        <v>GETKRTSFUT6418</v>
      </c>
      <c r="AF65" s="9" t="str">
        <f t="shared" si="7"/>
        <v>TEAL</v>
      </c>
      <c r="AG65" s="10" t="str">
        <f t="shared" si="8"/>
        <v>JHAJJAR</v>
      </c>
      <c r="AH65" s="8" t="str" cm="1">
        <f t="array" ref="AH65">IF(OR(J65="",AE65="",AE65="NOT FOUND"),"",IF(Y65="RP",_xlfn.LET(_xlpm.desc,_xlfn.XLOOKUP(1,(--(Sheet1!$F$2:$F$754=AE65))*(--ISNUMBER(FIND("-",Sheet1!$W$2:$W$754,FIND("-",Sheet1!$W$2:$W$754)+1))),Sheet1!$W$2:$W$754,""),IF(_xlpm.desc="","NOT FOUND",LEFT(_xlpm.desc,FIND("-",_xlpm.desc,FIND("-",_xlpm.desc)+1))&amp;AE65)),LEFT(J65,FIND("-",J65,FIND("-",J65)+1))&amp;AE65))</f>
        <v>KRTS-APWN26-GETKRTSFUT6418</v>
      </c>
    </row>
    <row r="66" spans="1:34" ht="15.75" customHeight="1" x14ac:dyDescent="0.2">
      <c r="A66" t="s">
        <v>59</v>
      </c>
      <c r="B66" t="s">
        <v>707</v>
      </c>
      <c r="C66" t="s">
        <v>1152</v>
      </c>
      <c r="D66" t="s">
        <v>1154</v>
      </c>
      <c r="E66" t="s">
        <v>34</v>
      </c>
      <c r="F66" t="s">
        <v>35</v>
      </c>
      <c r="G66" t="s">
        <v>55</v>
      </c>
      <c r="H66" t="s">
        <v>698</v>
      </c>
      <c r="I66" t="s">
        <v>699</v>
      </c>
      <c r="J66" t="s">
        <v>700</v>
      </c>
      <c r="K66" t="s">
        <v>474</v>
      </c>
      <c r="L66" t="s">
        <v>40</v>
      </c>
      <c r="M66">
        <v>1</v>
      </c>
      <c r="N66">
        <v>63</v>
      </c>
      <c r="O66">
        <v>63</v>
      </c>
      <c r="P66" t="s">
        <v>41</v>
      </c>
      <c r="Q66">
        <v>279.7</v>
      </c>
      <c r="R66">
        <v>279.7</v>
      </c>
      <c r="S66">
        <v>881.06</v>
      </c>
      <c r="T66">
        <v>17621.099999999999</v>
      </c>
      <c r="U66">
        <v>5</v>
      </c>
      <c r="V66" t="s">
        <v>42</v>
      </c>
      <c r="W66" t="s">
        <v>474</v>
      </c>
      <c r="X66" s="6" t="str">
        <f t="shared" si="0"/>
        <v>441814965</v>
      </c>
      <c r="Y66" s="7" t="str">
        <f t="shared" si="1"/>
        <v>DC</v>
      </c>
      <c r="Z66" s="7">
        <f t="shared" si="2"/>
        <v>0</v>
      </c>
      <c r="AA66" s="7">
        <f t="shared" si="3"/>
        <v>0</v>
      </c>
      <c r="AB66" s="7">
        <f t="shared" si="4"/>
        <v>0</v>
      </c>
      <c r="AC66" s="7">
        <f t="shared" si="5"/>
        <v>0</v>
      </c>
      <c r="AD66" s="7">
        <f t="shared" si="6"/>
        <v>63</v>
      </c>
      <c r="AE66" s="8" t="str" cm="1">
        <f t="array" ref="AE66">IFERROR(_xlfn.XLOOKUP(H66,Sheet1!$G:$G,Sheet1!$F:$F),IFERROR(_xlfn.XLOOKUP(1,(--($X$2:$X$1074=X66))*(--ISNUMBER(MATCH($H$2:$H$1074,Sheet1!$G:$G,0))),_xlfn.XLOOKUP($H$2:$H$1074,Sheet1!$G:$G,Sheet1!$F:$F,"")),"NOT FOUND"))</f>
        <v>GETKRTSFUT6418</v>
      </c>
      <c r="AF66" s="9" t="str">
        <f t="shared" si="7"/>
        <v>TEAL</v>
      </c>
      <c r="AG66" s="10" t="str">
        <f t="shared" si="8"/>
        <v>JHAJJAR</v>
      </c>
      <c r="AH66" s="8" t="str" cm="1">
        <f t="array" ref="AH66">IF(OR(J66="",AE66="",AE66="NOT FOUND"),"",IF(Y66="RP",_xlfn.LET(_xlpm.desc,_xlfn.XLOOKUP(1,(--(Sheet1!$F$2:$F$754=AE66))*(--ISNUMBER(FIND("-",Sheet1!$W$2:$W$754,FIND("-",Sheet1!$W$2:$W$754)+1))),Sheet1!$W$2:$W$754,""),IF(_xlpm.desc="","NOT FOUND",LEFT(_xlpm.desc,FIND("-",_xlpm.desc,FIND("-",_xlpm.desc)+1))&amp;AE66)),LEFT(J66,FIND("-",J66,FIND("-",J66)+1))&amp;AE66))</f>
        <v>KRTS-APWN26-GETKRTSFUT6418</v>
      </c>
    </row>
    <row r="67" spans="1:34" ht="15.75" customHeight="1" x14ac:dyDescent="0.2">
      <c r="A67" t="s">
        <v>61</v>
      </c>
      <c r="B67" t="s">
        <v>708</v>
      </c>
      <c r="C67" t="s">
        <v>1152</v>
      </c>
      <c r="D67" t="s">
        <v>1154</v>
      </c>
      <c r="E67" t="s">
        <v>34</v>
      </c>
      <c r="F67" t="s">
        <v>35</v>
      </c>
      <c r="G67" t="s">
        <v>36</v>
      </c>
      <c r="H67" t="s">
        <v>617</v>
      </c>
      <c r="I67" t="s">
        <v>618</v>
      </c>
      <c r="J67" t="s">
        <v>619</v>
      </c>
      <c r="K67" t="s">
        <v>474</v>
      </c>
      <c r="L67" t="s">
        <v>40</v>
      </c>
      <c r="M67">
        <v>1</v>
      </c>
      <c r="N67">
        <v>30</v>
      </c>
      <c r="O67">
        <v>30</v>
      </c>
      <c r="P67" t="s">
        <v>41</v>
      </c>
      <c r="Q67">
        <v>279.7</v>
      </c>
      <c r="R67">
        <v>279.7</v>
      </c>
      <c r="S67">
        <v>419.55</v>
      </c>
      <c r="T67">
        <v>8391</v>
      </c>
      <c r="U67">
        <v>5</v>
      </c>
      <c r="V67" t="s">
        <v>42</v>
      </c>
      <c r="W67" t="s">
        <v>474</v>
      </c>
      <c r="X67" s="6" t="str">
        <f t="shared" si="0"/>
        <v>441814969</v>
      </c>
      <c r="Y67" s="7" t="str">
        <f t="shared" si="1"/>
        <v>DC</v>
      </c>
      <c r="Z67" s="7">
        <f t="shared" si="2"/>
        <v>30</v>
      </c>
      <c r="AA67" s="7">
        <f t="shared" si="3"/>
        <v>0</v>
      </c>
      <c r="AB67" s="7">
        <f t="shared" si="4"/>
        <v>0</v>
      </c>
      <c r="AC67" s="7">
        <f t="shared" si="5"/>
        <v>0</v>
      </c>
      <c r="AD67" s="7">
        <f t="shared" si="6"/>
        <v>0</v>
      </c>
      <c r="AE67" s="8" t="str" cm="1">
        <f t="array" ref="AE67">IFERROR(_xlfn.XLOOKUP(H67,Sheet1!$G:$G,Sheet1!$F:$F),IFERROR(_xlfn.XLOOKUP(1,(--($X$2:$X$1074=X67))*(--ISNUMBER(MATCH($H$2:$H$1074,Sheet1!$G:$G,0))),_xlfn.XLOOKUP($H$2:$H$1074,Sheet1!$G:$G,Sheet1!$F:$F,"")),"NOT FOUND"))</f>
        <v>GETKRTSFUT6422</v>
      </c>
      <c r="AF67" s="9" t="str">
        <f t="shared" ref="AF67:AF130" si="9">IFERROR(IF(ISNUMBER(SEARCH("(RP)",J67)),TRIM(SUBSTITUTE(MID(J67,10,LEN(J67)),"(RP)","")),TRIM(MID(J67,FIND(",",J67)+1,FIND(",",J67,FIND(",",J67)+1)-FIND(",",J67)-1))),"")</f>
        <v>DARK GREY</v>
      </c>
      <c r="AG67" s="10" t="str">
        <f t="shared" ref="AG67:AG130" si="10">IF(A67="SZAF","Bangalore",IF(A67="SAEX","JHAJJAR",IF(A67="S0EU","HARIPAL","")))</f>
        <v>HARIPAL</v>
      </c>
      <c r="AH67" s="8" t="str" cm="1">
        <f t="array" ref="AH67">IF(OR(J67="",AE67="",AE67="NOT FOUND"),"",IF(Y67="RP",_xlfn.LET(_xlpm.desc,_xlfn.XLOOKUP(1,(--(Sheet1!$F$2:$F$754=AE67))*(--ISNUMBER(FIND("-",Sheet1!$W$2:$W$754,FIND("-",Sheet1!$W$2:$W$754)+1))),Sheet1!$W$2:$W$754,""),IF(_xlpm.desc="","NOT FOUND",LEFT(_xlpm.desc,FIND("-",_xlpm.desc,FIND("-",_xlpm.desc)+1))&amp;AE67)),LEFT(J67,FIND("-",J67,FIND("-",J67)+1))&amp;AE67))</f>
        <v>KRTS-APWN26-GETKRTSFUT6422</v>
      </c>
    </row>
    <row r="68" spans="1:34" ht="15.75" customHeight="1" x14ac:dyDescent="0.2">
      <c r="A68" t="s">
        <v>61</v>
      </c>
      <c r="B68" t="s">
        <v>708</v>
      </c>
      <c r="C68" t="s">
        <v>1152</v>
      </c>
      <c r="D68" t="s">
        <v>1154</v>
      </c>
      <c r="E68" t="s">
        <v>34</v>
      </c>
      <c r="F68" t="s">
        <v>35</v>
      </c>
      <c r="G68" t="s">
        <v>43</v>
      </c>
      <c r="H68" t="s">
        <v>620</v>
      </c>
      <c r="I68" t="s">
        <v>621</v>
      </c>
      <c r="J68" t="s">
        <v>622</v>
      </c>
      <c r="K68" t="s">
        <v>474</v>
      </c>
      <c r="L68" t="s">
        <v>40</v>
      </c>
      <c r="M68">
        <v>1</v>
      </c>
      <c r="N68">
        <v>127</v>
      </c>
      <c r="O68">
        <v>127</v>
      </c>
      <c r="P68" t="s">
        <v>41</v>
      </c>
      <c r="Q68">
        <v>279.7</v>
      </c>
      <c r="R68">
        <v>279.7</v>
      </c>
      <c r="S68">
        <v>1776.1</v>
      </c>
      <c r="T68">
        <v>35521.9</v>
      </c>
      <c r="U68">
        <v>5</v>
      </c>
      <c r="V68" t="s">
        <v>42</v>
      </c>
      <c r="W68" t="s">
        <v>474</v>
      </c>
      <c r="X68" s="6" t="str">
        <f t="shared" si="0"/>
        <v>441814969</v>
      </c>
      <c r="Y68" s="7" t="str">
        <f t="shared" si="1"/>
        <v>DC</v>
      </c>
      <c r="Z68" s="7">
        <f t="shared" si="2"/>
        <v>0</v>
      </c>
      <c r="AA68" s="7">
        <f t="shared" si="3"/>
        <v>127</v>
      </c>
      <c r="AB68" s="7">
        <f t="shared" si="4"/>
        <v>0</v>
      </c>
      <c r="AC68" s="7">
        <f t="shared" si="5"/>
        <v>0</v>
      </c>
      <c r="AD68" s="7">
        <f t="shared" si="6"/>
        <v>0</v>
      </c>
      <c r="AE68" s="8" t="str" cm="1">
        <f t="array" ref="AE68">IFERROR(_xlfn.XLOOKUP(H68,Sheet1!$G:$G,Sheet1!$F:$F),IFERROR(_xlfn.XLOOKUP(1,(--($X$2:$X$1074=X68))*(--ISNUMBER(MATCH($H$2:$H$1074,Sheet1!$G:$G,0))),_xlfn.XLOOKUP($H$2:$H$1074,Sheet1!$G:$G,Sheet1!$F:$F,"")),"NOT FOUND"))</f>
        <v>GETKRTSFUT6422</v>
      </c>
      <c r="AF68" s="9" t="str">
        <f t="shared" si="9"/>
        <v>DARK GREY</v>
      </c>
      <c r="AG68" s="10" t="str">
        <f t="shared" si="10"/>
        <v>HARIPAL</v>
      </c>
      <c r="AH68" s="8" t="str" cm="1">
        <f t="array" ref="AH68">IF(OR(J68="",AE68="",AE68="NOT FOUND"),"",IF(Y68="RP",_xlfn.LET(_xlpm.desc,_xlfn.XLOOKUP(1,(--(Sheet1!$F$2:$F$754=AE68))*(--ISNUMBER(FIND("-",Sheet1!$W$2:$W$754,FIND("-",Sheet1!$W$2:$W$754)+1))),Sheet1!$W$2:$W$754,""),IF(_xlpm.desc="","NOT FOUND",LEFT(_xlpm.desc,FIND("-",_xlpm.desc,FIND("-",_xlpm.desc)+1))&amp;AE68)),LEFT(J68,FIND("-",J68,FIND("-",J68)+1))&amp;AE68))</f>
        <v>KRTS-APWN26-GETKRTSFUT6422</v>
      </c>
    </row>
    <row r="69" spans="1:34" ht="15.75" customHeight="1" x14ac:dyDescent="0.2">
      <c r="A69" t="s">
        <v>61</v>
      </c>
      <c r="B69" t="s">
        <v>708</v>
      </c>
      <c r="C69" t="s">
        <v>1152</v>
      </c>
      <c r="D69" t="s">
        <v>1154</v>
      </c>
      <c r="E69" t="s">
        <v>34</v>
      </c>
      <c r="F69" t="s">
        <v>35</v>
      </c>
      <c r="G69" t="s">
        <v>47</v>
      </c>
      <c r="H69" t="s">
        <v>623</v>
      </c>
      <c r="I69" t="s">
        <v>624</v>
      </c>
      <c r="J69" t="s">
        <v>625</v>
      </c>
      <c r="K69" t="s">
        <v>474</v>
      </c>
      <c r="L69" t="s">
        <v>40</v>
      </c>
      <c r="M69">
        <v>1</v>
      </c>
      <c r="N69">
        <v>120</v>
      </c>
      <c r="O69">
        <v>120</v>
      </c>
      <c r="P69" t="s">
        <v>41</v>
      </c>
      <c r="Q69">
        <v>279.7</v>
      </c>
      <c r="R69">
        <v>279.7</v>
      </c>
      <c r="S69">
        <v>1678.2</v>
      </c>
      <c r="T69">
        <v>33564</v>
      </c>
      <c r="U69">
        <v>5</v>
      </c>
      <c r="V69" t="s">
        <v>42</v>
      </c>
      <c r="W69" t="s">
        <v>474</v>
      </c>
      <c r="X69" s="6" t="str">
        <f t="shared" si="0"/>
        <v>441814969</v>
      </c>
      <c r="Y69" s="7" t="str">
        <f t="shared" si="1"/>
        <v>DC</v>
      </c>
      <c r="Z69" s="7">
        <f t="shared" si="2"/>
        <v>0</v>
      </c>
      <c r="AA69" s="7">
        <f t="shared" si="3"/>
        <v>0</v>
      </c>
      <c r="AB69" s="7">
        <f t="shared" si="4"/>
        <v>120</v>
      </c>
      <c r="AC69" s="7">
        <f t="shared" si="5"/>
        <v>0</v>
      </c>
      <c r="AD69" s="7">
        <f t="shared" si="6"/>
        <v>0</v>
      </c>
      <c r="AE69" s="8" t="str" cm="1">
        <f t="array" ref="AE69">IFERROR(_xlfn.XLOOKUP(H69,Sheet1!$G:$G,Sheet1!$F:$F),IFERROR(_xlfn.XLOOKUP(1,(--($X$2:$X$1074=X69))*(--ISNUMBER(MATCH($H$2:$H$1074,Sheet1!$G:$G,0))),_xlfn.XLOOKUP($H$2:$H$1074,Sheet1!$G:$G,Sheet1!$F:$F,"")),"NOT FOUND"))</f>
        <v>GETKRTSFUT6422</v>
      </c>
      <c r="AF69" s="9" t="str">
        <f t="shared" si="9"/>
        <v>DARK GREY</v>
      </c>
      <c r="AG69" s="10" t="str">
        <f t="shared" si="10"/>
        <v>HARIPAL</v>
      </c>
      <c r="AH69" s="8" t="str" cm="1">
        <f t="array" ref="AH69">IF(OR(J69="",AE69="",AE69="NOT FOUND"),"",IF(Y69="RP",_xlfn.LET(_xlpm.desc,_xlfn.XLOOKUP(1,(--(Sheet1!$F$2:$F$754=AE69))*(--ISNUMBER(FIND("-",Sheet1!$W$2:$W$754,FIND("-",Sheet1!$W$2:$W$754)+1))),Sheet1!$W$2:$W$754,""),IF(_xlpm.desc="","NOT FOUND",LEFT(_xlpm.desc,FIND("-",_xlpm.desc,FIND("-",_xlpm.desc)+1))&amp;AE69)),LEFT(J69,FIND("-",J69,FIND("-",J69)+1))&amp;AE69))</f>
        <v>KRTS-APWN26-GETKRTSFUT6422</v>
      </c>
    </row>
    <row r="70" spans="1:34" ht="15.75" customHeight="1" x14ac:dyDescent="0.2">
      <c r="A70" t="s">
        <v>61</v>
      </c>
      <c r="B70" t="s">
        <v>708</v>
      </c>
      <c r="C70" t="s">
        <v>1152</v>
      </c>
      <c r="D70" t="s">
        <v>1154</v>
      </c>
      <c r="E70" t="s">
        <v>34</v>
      </c>
      <c r="F70" t="s">
        <v>35</v>
      </c>
      <c r="G70" t="s">
        <v>51</v>
      </c>
      <c r="H70" t="s">
        <v>626</v>
      </c>
      <c r="I70" t="s">
        <v>627</v>
      </c>
      <c r="J70" t="s">
        <v>628</v>
      </c>
      <c r="K70" t="s">
        <v>474</v>
      </c>
      <c r="L70" t="s">
        <v>40</v>
      </c>
      <c r="M70">
        <v>1</v>
      </c>
      <c r="N70">
        <v>127</v>
      </c>
      <c r="O70">
        <v>127</v>
      </c>
      <c r="P70" t="s">
        <v>41</v>
      </c>
      <c r="Q70">
        <v>279.7</v>
      </c>
      <c r="R70">
        <v>279.7</v>
      </c>
      <c r="S70">
        <v>1776.1</v>
      </c>
      <c r="T70">
        <v>35521.9</v>
      </c>
      <c r="U70">
        <v>5</v>
      </c>
      <c r="V70" t="s">
        <v>42</v>
      </c>
      <c r="W70" t="s">
        <v>474</v>
      </c>
      <c r="X70" s="6" t="str">
        <f t="shared" si="0"/>
        <v>441814969</v>
      </c>
      <c r="Y70" s="7" t="str">
        <f t="shared" si="1"/>
        <v>DC</v>
      </c>
      <c r="Z70" s="7">
        <f t="shared" si="2"/>
        <v>0</v>
      </c>
      <c r="AA70" s="7">
        <f t="shared" si="3"/>
        <v>0</v>
      </c>
      <c r="AB70" s="7">
        <f t="shared" si="4"/>
        <v>0</v>
      </c>
      <c r="AC70" s="7">
        <f t="shared" si="5"/>
        <v>127</v>
      </c>
      <c r="AD70" s="7">
        <f t="shared" si="6"/>
        <v>0</v>
      </c>
      <c r="AE70" s="8" t="str" cm="1">
        <f t="array" ref="AE70">IFERROR(_xlfn.XLOOKUP(H70,Sheet1!$G:$G,Sheet1!$F:$F),IFERROR(_xlfn.XLOOKUP(1,(--($X$2:$X$1074=X70))*(--ISNUMBER(MATCH($H$2:$H$1074,Sheet1!$G:$G,0))),_xlfn.XLOOKUP($H$2:$H$1074,Sheet1!$G:$G,Sheet1!$F:$F,"")),"NOT FOUND"))</f>
        <v>GETKRTSFUT6422</v>
      </c>
      <c r="AF70" s="9" t="str">
        <f t="shared" si="9"/>
        <v>DARK GREY</v>
      </c>
      <c r="AG70" s="10" t="str">
        <f t="shared" si="10"/>
        <v>HARIPAL</v>
      </c>
      <c r="AH70" s="8" t="str" cm="1">
        <f t="array" ref="AH70">IF(OR(J70="",AE70="",AE70="NOT FOUND"),"",IF(Y70="RP",_xlfn.LET(_xlpm.desc,_xlfn.XLOOKUP(1,(--(Sheet1!$F$2:$F$754=AE70))*(--ISNUMBER(FIND("-",Sheet1!$W$2:$W$754,FIND("-",Sheet1!$W$2:$W$754)+1))),Sheet1!$W$2:$W$754,""),IF(_xlpm.desc="","NOT FOUND",LEFT(_xlpm.desc,FIND("-",_xlpm.desc,FIND("-",_xlpm.desc)+1))&amp;AE70)),LEFT(J70,FIND("-",J70,FIND("-",J70)+1))&amp;AE70))</f>
        <v>KRTS-APWN26-GETKRTSFUT6422</v>
      </c>
    </row>
    <row r="71" spans="1:34" ht="15.75" customHeight="1" x14ac:dyDescent="0.2">
      <c r="A71" t="s">
        <v>61</v>
      </c>
      <c r="B71" t="s">
        <v>708</v>
      </c>
      <c r="C71" t="s">
        <v>1152</v>
      </c>
      <c r="D71" t="s">
        <v>1154</v>
      </c>
      <c r="E71" t="s">
        <v>34</v>
      </c>
      <c r="F71" t="s">
        <v>35</v>
      </c>
      <c r="G71" t="s">
        <v>55</v>
      </c>
      <c r="H71" t="s">
        <v>629</v>
      </c>
      <c r="I71" t="s">
        <v>630</v>
      </c>
      <c r="J71" t="s">
        <v>631</v>
      </c>
      <c r="K71" t="s">
        <v>474</v>
      </c>
      <c r="L71" t="s">
        <v>40</v>
      </c>
      <c r="M71">
        <v>1</v>
      </c>
      <c r="N71">
        <v>45</v>
      </c>
      <c r="O71">
        <v>45</v>
      </c>
      <c r="P71" t="s">
        <v>41</v>
      </c>
      <c r="Q71">
        <v>279.7</v>
      </c>
      <c r="R71">
        <v>279.7</v>
      </c>
      <c r="S71">
        <v>629.33000000000004</v>
      </c>
      <c r="T71">
        <v>12586.5</v>
      </c>
      <c r="U71">
        <v>5</v>
      </c>
      <c r="V71" t="s">
        <v>42</v>
      </c>
      <c r="W71" t="s">
        <v>474</v>
      </c>
      <c r="X71" s="6" t="str">
        <f t="shared" si="0"/>
        <v>441814969</v>
      </c>
      <c r="Y71" s="7" t="str">
        <f t="shared" si="1"/>
        <v>DC</v>
      </c>
      <c r="Z71" s="7">
        <f t="shared" si="2"/>
        <v>0</v>
      </c>
      <c r="AA71" s="7">
        <f t="shared" si="3"/>
        <v>0</v>
      </c>
      <c r="AB71" s="7">
        <f t="shared" si="4"/>
        <v>0</v>
      </c>
      <c r="AC71" s="7">
        <f t="shared" si="5"/>
        <v>0</v>
      </c>
      <c r="AD71" s="7">
        <f t="shared" si="6"/>
        <v>45</v>
      </c>
      <c r="AE71" s="8" t="str" cm="1">
        <f t="array" ref="AE71">IFERROR(_xlfn.XLOOKUP(H71,Sheet1!$G:$G,Sheet1!$F:$F),IFERROR(_xlfn.XLOOKUP(1,(--($X$2:$X$1074=X71))*(--ISNUMBER(MATCH($H$2:$H$1074,Sheet1!$G:$G,0))),_xlfn.XLOOKUP($H$2:$H$1074,Sheet1!$G:$G,Sheet1!$F:$F,"")),"NOT FOUND"))</f>
        <v>GETKRTSFUT6422</v>
      </c>
      <c r="AF71" s="9" t="str">
        <f t="shared" si="9"/>
        <v>DARK GREY</v>
      </c>
      <c r="AG71" s="10" t="str">
        <f t="shared" si="10"/>
        <v>HARIPAL</v>
      </c>
      <c r="AH71" s="8" t="str" cm="1">
        <f t="array" ref="AH71">IF(OR(J71="",AE71="",AE71="NOT FOUND"),"",IF(Y71="RP",_xlfn.LET(_xlpm.desc,_xlfn.XLOOKUP(1,(--(Sheet1!$F$2:$F$754=AE71))*(--ISNUMBER(FIND("-",Sheet1!$W$2:$W$754,FIND("-",Sheet1!$W$2:$W$754)+1))),Sheet1!$W$2:$W$754,""),IF(_xlpm.desc="","NOT FOUND",LEFT(_xlpm.desc,FIND("-",_xlpm.desc,FIND("-",_xlpm.desc)+1))&amp;AE71)),LEFT(J71,FIND("-",J71,FIND("-",J71)+1))&amp;AE71))</f>
        <v>KRTS-APWN26-GETKRTSFUT6422</v>
      </c>
    </row>
    <row r="72" spans="1:34" ht="15.75" customHeight="1" x14ac:dyDescent="0.2">
      <c r="A72" t="s">
        <v>61</v>
      </c>
      <c r="B72" t="s">
        <v>709</v>
      </c>
      <c r="C72" t="s">
        <v>1152</v>
      </c>
      <c r="D72" t="s">
        <v>1154</v>
      </c>
      <c r="E72" t="s">
        <v>34</v>
      </c>
      <c r="F72" t="s">
        <v>35</v>
      </c>
      <c r="G72" t="s">
        <v>36</v>
      </c>
      <c r="H72" t="s">
        <v>634</v>
      </c>
      <c r="I72" t="s">
        <v>635</v>
      </c>
      <c r="J72" t="s">
        <v>636</v>
      </c>
      <c r="K72" t="s">
        <v>474</v>
      </c>
      <c r="L72" t="s">
        <v>40</v>
      </c>
      <c r="M72">
        <v>1</v>
      </c>
      <c r="N72">
        <v>30</v>
      </c>
      <c r="O72">
        <v>30</v>
      </c>
      <c r="P72" t="s">
        <v>41</v>
      </c>
      <c r="Q72">
        <v>276.7</v>
      </c>
      <c r="R72">
        <v>276.7</v>
      </c>
      <c r="S72">
        <v>415.05</v>
      </c>
      <c r="T72">
        <v>8301</v>
      </c>
      <c r="U72">
        <v>5</v>
      </c>
      <c r="V72" t="s">
        <v>42</v>
      </c>
      <c r="W72" t="s">
        <v>474</v>
      </c>
      <c r="X72" s="6" t="str">
        <f t="shared" si="0"/>
        <v>441814968</v>
      </c>
      <c r="Y72" s="7" t="str">
        <f t="shared" si="1"/>
        <v>DC</v>
      </c>
      <c r="Z72" s="7">
        <f t="shared" si="2"/>
        <v>30</v>
      </c>
      <c r="AA72" s="7">
        <f t="shared" si="3"/>
        <v>0</v>
      </c>
      <c r="AB72" s="7">
        <f t="shared" si="4"/>
        <v>0</v>
      </c>
      <c r="AC72" s="7">
        <f t="shared" si="5"/>
        <v>0</v>
      </c>
      <c r="AD72" s="7">
        <f t="shared" si="6"/>
        <v>0</v>
      </c>
      <c r="AE72" s="8" t="str" cm="1">
        <f t="array" ref="AE72">IFERROR(_xlfn.XLOOKUP(H72,Sheet1!$G:$G,Sheet1!$F:$F),IFERROR(_xlfn.XLOOKUP(1,(--($X$2:$X$1074=X72))*(--ISNUMBER(MATCH($H$2:$H$1074,Sheet1!$G:$G,0))),_xlfn.XLOOKUP($H$2:$H$1074,Sheet1!$G:$G,Sheet1!$F:$F,"")),"NOT FOUND"))</f>
        <v>GETKRTSFUT6421</v>
      </c>
      <c r="AF72" s="9" t="str">
        <f t="shared" si="9"/>
        <v>DARK GREY</v>
      </c>
      <c r="AG72" s="10" t="str">
        <f t="shared" si="10"/>
        <v>HARIPAL</v>
      </c>
      <c r="AH72" s="8" t="str" cm="1">
        <f t="array" ref="AH72">IF(OR(J72="",AE72="",AE72="NOT FOUND"),"",IF(Y72="RP",_xlfn.LET(_xlpm.desc,_xlfn.XLOOKUP(1,(--(Sheet1!$F$2:$F$754=AE72))*(--ISNUMBER(FIND("-",Sheet1!$W$2:$W$754,FIND("-",Sheet1!$W$2:$W$754)+1))),Sheet1!$W$2:$W$754,""),IF(_xlpm.desc="","NOT FOUND",LEFT(_xlpm.desc,FIND("-",_xlpm.desc,FIND("-",_xlpm.desc)+1))&amp;AE72)),LEFT(J72,FIND("-",J72,FIND("-",J72)+1))&amp;AE72))</f>
        <v>KRTS-APWN26-GETKRTSFUT6421</v>
      </c>
    </row>
    <row r="73" spans="1:34" ht="15.75" customHeight="1" x14ac:dyDescent="0.2">
      <c r="A73" t="s">
        <v>61</v>
      </c>
      <c r="B73" t="s">
        <v>709</v>
      </c>
      <c r="C73" t="s">
        <v>1152</v>
      </c>
      <c r="D73" t="s">
        <v>1154</v>
      </c>
      <c r="E73" t="s">
        <v>34</v>
      </c>
      <c r="F73" t="s">
        <v>35</v>
      </c>
      <c r="G73" t="s">
        <v>43</v>
      </c>
      <c r="H73" t="s">
        <v>637</v>
      </c>
      <c r="I73" t="s">
        <v>638</v>
      </c>
      <c r="J73" t="s">
        <v>639</v>
      </c>
      <c r="K73" t="s">
        <v>474</v>
      </c>
      <c r="L73" t="s">
        <v>40</v>
      </c>
      <c r="M73">
        <v>1</v>
      </c>
      <c r="N73">
        <v>127</v>
      </c>
      <c r="O73">
        <v>127</v>
      </c>
      <c r="P73" t="s">
        <v>41</v>
      </c>
      <c r="Q73">
        <v>276.7</v>
      </c>
      <c r="R73">
        <v>276.7</v>
      </c>
      <c r="S73">
        <v>1757.05</v>
      </c>
      <c r="T73">
        <v>35140.9</v>
      </c>
      <c r="U73">
        <v>5</v>
      </c>
      <c r="V73" t="s">
        <v>42</v>
      </c>
      <c r="W73" t="s">
        <v>474</v>
      </c>
      <c r="X73" s="6" t="str">
        <f t="shared" si="0"/>
        <v>441814968</v>
      </c>
      <c r="Y73" s="7" t="str">
        <f t="shared" si="1"/>
        <v>DC</v>
      </c>
      <c r="Z73" s="7">
        <f t="shared" si="2"/>
        <v>0</v>
      </c>
      <c r="AA73" s="7">
        <f t="shared" si="3"/>
        <v>127</v>
      </c>
      <c r="AB73" s="7">
        <f t="shared" si="4"/>
        <v>0</v>
      </c>
      <c r="AC73" s="7">
        <f t="shared" si="5"/>
        <v>0</v>
      </c>
      <c r="AD73" s="7">
        <f t="shared" si="6"/>
        <v>0</v>
      </c>
      <c r="AE73" s="8" t="str" cm="1">
        <f t="array" ref="AE73">IFERROR(_xlfn.XLOOKUP(H73,Sheet1!$G:$G,Sheet1!$F:$F),IFERROR(_xlfn.XLOOKUP(1,(--($X$2:$X$1074=X73))*(--ISNUMBER(MATCH($H$2:$H$1074,Sheet1!$G:$G,0))),_xlfn.XLOOKUP($H$2:$H$1074,Sheet1!$G:$G,Sheet1!$F:$F,"")),"NOT FOUND"))</f>
        <v>GETKRTSFUT6421</v>
      </c>
      <c r="AF73" s="9" t="str">
        <f t="shared" si="9"/>
        <v>DARK GREY</v>
      </c>
      <c r="AG73" s="10" t="str">
        <f t="shared" si="10"/>
        <v>HARIPAL</v>
      </c>
      <c r="AH73" s="8" t="str" cm="1">
        <f t="array" ref="AH73">IF(OR(J73="",AE73="",AE73="NOT FOUND"),"",IF(Y73="RP",_xlfn.LET(_xlpm.desc,_xlfn.XLOOKUP(1,(--(Sheet1!$F$2:$F$754=AE73))*(--ISNUMBER(FIND("-",Sheet1!$W$2:$W$754,FIND("-",Sheet1!$W$2:$W$754)+1))),Sheet1!$W$2:$W$754,""),IF(_xlpm.desc="","NOT FOUND",LEFT(_xlpm.desc,FIND("-",_xlpm.desc,FIND("-",_xlpm.desc)+1))&amp;AE73)),LEFT(J73,FIND("-",J73,FIND("-",J73)+1))&amp;AE73))</f>
        <v>KRTS-APWN26-GETKRTSFUT6421</v>
      </c>
    </row>
    <row r="74" spans="1:34" ht="15.75" customHeight="1" x14ac:dyDescent="0.2">
      <c r="A74" t="s">
        <v>61</v>
      </c>
      <c r="B74" t="s">
        <v>709</v>
      </c>
      <c r="C74" t="s">
        <v>1152</v>
      </c>
      <c r="D74" t="s">
        <v>1154</v>
      </c>
      <c r="E74" t="s">
        <v>34</v>
      </c>
      <c r="F74" t="s">
        <v>35</v>
      </c>
      <c r="G74" t="s">
        <v>47</v>
      </c>
      <c r="H74" t="s">
        <v>640</v>
      </c>
      <c r="I74" t="s">
        <v>641</v>
      </c>
      <c r="J74" t="s">
        <v>642</v>
      </c>
      <c r="K74" t="s">
        <v>474</v>
      </c>
      <c r="L74" t="s">
        <v>40</v>
      </c>
      <c r="M74">
        <v>1</v>
      </c>
      <c r="N74">
        <v>120</v>
      </c>
      <c r="O74">
        <v>120</v>
      </c>
      <c r="P74" t="s">
        <v>41</v>
      </c>
      <c r="Q74">
        <v>276.7</v>
      </c>
      <c r="R74">
        <v>276.7</v>
      </c>
      <c r="S74">
        <v>1660.2</v>
      </c>
      <c r="T74">
        <v>33204</v>
      </c>
      <c r="U74">
        <v>5</v>
      </c>
      <c r="V74" t="s">
        <v>42</v>
      </c>
      <c r="W74" t="s">
        <v>474</v>
      </c>
      <c r="X74" s="6" t="str">
        <f t="shared" si="0"/>
        <v>441814968</v>
      </c>
      <c r="Y74" s="7" t="str">
        <f t="shared" si="1"/>
        <v>DC</v>
      </c>
      <c r="Z74" s="7">
        <f t="shared" si="2"/>
        <v>0</v>
      </c>
      <c r="AA74" s="7">
        <f t="shared" si="3"/>
        <v>0</v>
      </c>
      <c r="AB74" s="7">
        <f t="shared" si="4"/>
        <v>120</v>
      </c>
      <c r="AC74" s="7">
        <f t="shared" si="5"/>
        <v>0</v>
      </c>
      <c r="AD74" s="7">
        <f t="shared" si="6"/>
        <v>0</v>
      </c>
      <c r="AE74" s="8" t="str" cm="1">
        <f t="array" ref="AE74">IFERROR(_xlfn.XLOOKUP(H74,Sheet1!$G:$G,Sheet1!$F:$F),IFERROR(_xlfn.XLOOKUP(1,(--($X$2:$X$1074=X74))*(--ISNUMBER(MATCH($H$2:$H$1074,Sheet1!$G:$G,0))),_xlfn.XLOOKUP($H$2:$H$1074,Sheet1!$G:$G,Sheet1!$F:$F,"")),"NOT FOUND"))</f>
        <v>GETKRTSFUT6421</v>
      </c>
      <c r="AF74" s="9" t="str">
        <f t="shared" si="9"/>
        <v>DARK GREY</v>
      </c>
      <c r="AG74" s="10" t="str">
        <f t="shared" si="10"/>
        <v>HARIPAL</v>
      </c>
      <c r="AH74" s="8" t="str" cm="1">
        <f t="array" ref="AH74">IF(OR(J74="",AE74="",AE74="NOT FOUND"),"",IF(Y74="RP",_xlfn.LET(_xlpm.desc,_xlfn.XLOOKUP(1,(--(Sheet1!$F$2:$F$754=AE74))*(--ISNUMBER(FIND("-",Sheet1!$W$2:$W$754,FIND("-",Sheet1!$W$2:$W$754)+1))),Sheet1!$W$2:$W$754,""),IF(_xlpm.desc="","NOT FOUND",LEFT(_xlpm.desc,FIND("-",_xlpm.desc,FIND("-",_xlpm.desc)+1))&amp;AE74)),LEFT(J74,FIND("-",J74,FIND("-",J74)+1))&amp;AE74))</f>
        <v>KRTS-APWN26-GETKRTSFUT6421</v>
      </c>
    </row>
    <row r="75" spans="1:34" ht="15.75" customHeight="1" x14ac:dyDescent="0.2">
      <c r="A75" t="s">
        <v>61</v>
      </c>
      <c r="B75" t="s">
        <v>709</v>
      </c>
      <c r="C75" t="s">
        <v>1152</v>
      </c>
      <c r="D75" t="s">
        <v>1154</v>
      </c>
      <c r="E75" t="s">
        <v>34</v>
      </c>
      <c r="F75" t="s">
        <v>35</v>
      </c>
      <c r="G75" t="s">
        <v>51</v>
      </c>
      <c r="H75" t="s">
        <v>643</v>
      </c>
      <c r="I75" t="s">
        <v>644</v>
      </c>
      <c r="J75" t="s">
        <v>628</v>
      </c>
      <c r="K75" t="s">
        <v>474</v>
      </c>
      <c r="L75" t="s">
        <v>40</v>
      </c>
      <c r="M75">
        <v>1</v>
      </c>
      <c r="N75">
        <v>127</v>
      </c>
      <c r="O75">
        <v>127</v>
      </c>
      <c r="P75" t="s">
        <v>41</v>
      </c>
      <c r="Q75">
        <v>276.7</v>
      </c>
      <c r="R75">
        <v>276.7</v>
      </c>
      <c r="S75">
        <v>1757.05</v>
      </c>
      <c r="T75">
        <v>35140.9</v>
      </c>
      <c r="U75">
        <v>5</v>
      </c>
      <c r="V75" t="s">
        <v>42</v>
      </c>
      <c r="W75" t="s">
        <v>474</v>
      </c>
      <c r="X75" s="6" t="str">
        <f t="shared" si="0"/>
        <v>441814968</v>
      </c>
      <c r="Y75" s="7" t="str">
        <f t="shared" si="1"/>
        <v>DC</v>
      </c>
      <c r="Z75" s="7">
        <f t="shared" si="2"/>
        <v>0</v>
      </c>
      <c r="AA75" s="7">
        <f t="shared" si="3"/>
        <v>0</v>
      </c>
      <c r="AB75" s="7">
        <f t="shared" si="4"/>
        <v>0</v>
      </c>
      <c r="AC75" s="7">
        <f t="shared" si="5"/>
        <v>127</v>
      </c>
      <c r="AD75" s="7">
        <f t="shared" si="6"/>
        <v>0</v>
      </c>
      <c r="AE75" s="8" t="str" cm="1">
        <f t="array" ref="AE75">IFERROR(_xlfn.XLOOKUP(H75,Sheet1!$G:$G,Sheet1!$F:$F),IFERROR(_xlfn.XLOOKUP(1,(--($X$2:$X$1074=X75))*(--ISNUMBER(MATCH($H$2:$H$1074,Sheet1!$G:$G,0))),_xlfn.XLOOKUP($H$2:$H$1074,Sheet1!$G:$G,Sheet1!$F:$F,"")),"NOT FOUND"))</f>
        <v>GETKRTSFUT6421</v>
      </c>
      <c r="AF75" s="9" t="str">
        <f t="shared" si="9"/>
        <v>DARK GREY</v>
      </c>
      <c r="AG75" s="10" t="str">
        <f t="shared" si="10"/>
        <v>HARIPAL</v>
      </c>
      <c r="AH75" s="8" t="str" cm="1">
        <f t="array" ref="AH75">IF(OR(J75="",AE75="",AE75="NOT FOUND"),"",IF(Y75="RP",_xlfn.LET(_xlpm.desc,_xlfn.XLOOKUP(1,(--(Sheet1!$F$2:$F$754=AE75))*(--ISNUMBER(FIND("-",Sheet1!$W$2:$W$754,FIND("-",Sheet1!$W$2:$W$754)+1))),Sheet1!$W$2:$W$754,""),IF(_xlpm.desc="","NOT FOUND",LEFT(_xlpm.desc,FIND("-",_xlpm.desc,FIND("-",_xlpm.desc)+1))&amp;AE75)),LEFT(J75,FIND("-",J75,FIND("-",J75)+1))&amp;AE75))</f>
        <v>KRTS-APWN26-GETKRTSFUT6421</v>
      </c>
    </row>
    <row r="76" spans="1:34" ht="15.75" customHeight="1" x14ac:dyDescent="0.2">
      <c r="A76" t="s">
        <v>61</v>
      </c>
      <c r="B76" t="s">
        <v>709</v>
      </c>
      <c r="C76" t="s">
        <v>1152</v>
      </c>
      <c r="D76" t="s">
        <v>1154</v>
      </c>
      <c r="E76" t="s">
        <v>34</v>
      </c>
      <c r="F76" t="s">
        <v>35</v>
      </c>
      <c r="G76" t="s">
        <v>55</v>
      </c>
      <c r="H76" t="s">
        <v>645</v>
      </c>
      <c r="I76" t="s">
        <v>646</v>
      </c>
      <c r="J76" t="s">
        <v>631</v>
      </c>
      <c r="K76" t="s">
        <v>474</v>
      </c>
      <c r="L76" t="s">
        <v>40</v>
      </c>
      <c r="M76">
        <v>1</v>
      </c>
      <c r="N76">
        <v>45</v>
      </c>
      <c r="O76">
        <v>45</v>
      </c>
      <c r="P76" t="s">
        <v>41</v>
      </c>
      <c r="Q76">
        <v>276.7</v>
      </c>
      <c r="R76">
        <v>276.7</v>
      </c>
      <c r="S76">
        <v>622.58000000000004</v>
      </c>
      <c r="T76">
        <v>12451.5</v>
      </c>
      <c r="U76">
        <v>5</v>
      </c>
      <c r="V76" t="s">
        <v>42</v>
      </c>
      <c r="W76" t="s">
        <v>474</v>
      </c>
      <c r="X76" s="6" t="str">
        <f t="shared" si="0"/>
        <v>441814968</v>
      </c>
      <c r="Y76" s="7" t="str">
        <f t="shared" si="1"/>
        <v>DC</v>
      </c>
      <c r="Z76" s="7">
        <f t="shared" si="2"/>
        <v>0</v>
      </c>
      <c r="AA76" s="7">
        <f t="shared" si="3"/>
        <v>0</v>
      </c>
      <c r="AB76" s="7">
        <f t="shared" si="4"/>
        <v>0</v>
      </c>
      <c r="AC76" s="7">
        <f t="shared" si="5"/>
        <v>0</v>
      </c>
      <c r="AD76" s="7">
        <f t="shared" si="6"/>
        <v>45</v>
      </c>
      <c r="AE76" s="8" t="str" cm="1">
        <f t="array" ref="AE76">IFERROR(_xlfn.XLOOKUP(H76,Sheet1!$G:$G,Sheet1!$F:$F),IFERROR(_xlfn.XLOOKUP(1,(--($X$2:$X$1074=X76))*(--ISNUMBER(MATCH($H$2:$H$1074,Sheet1!$G:$G,0))),_xlfn.XLOOKUP($H$2:$H$1074,Sheet1!$G:$G,Sheet1!$F:$F,"")),"NOT FOUND"))</f>
        <v>GETKRTSFUT6421</v>
      </c>
      <c r="AF76" s="9" t="str">
        <f t="shared" si="9"/>
        <v>DARK GREY</v>
      </c>
      <c r="AG76" s="10" t="str">
        <f t="shared" si="10"/>
        <v>HARIPAL</v>
      </c>
      <c r="AH76" s="8" t="str" cm="1">
        <f t="array" ref="AH76">IF(OR(J76="",AE76="",AE76="NOT FOUND"),"",IF(Y76="RP",_xlfn.LET(_xlpm.desc,_xlfn.XLOOKUP(1,(--(Sheet1!$F$2:$F$754=AE76))*(--ISNUMBER(FIND("-",Sheet1!$W$2:$W$754,FIND("-",Sheet1!$W$2:$W$754)+1))),Sheet1!$W$2:$W$754,""),IF(_xlpm.desc="","NOT FOUND",LEFT(_xlpm.desc,FIND("-",_xlpm.desc,FIND("-",_xlpm.desc)+1))&amp;AE76)),LEFT(J76,FIND("-",J76,FIND("-",J76)+1))&amp;AE76))</f>
        <v>KRTS-APWN26-GETKRTSFUT6421</v>
      </c>
    </row>
    <row r="77" spans="1:34" ht="15.75" customHeight="1" x14ac:dyDescent="0.2">
      <c r="A77" t="s">
        <v>61</v>
      </c>
      <c r="B77" t="s">
        <v>710</v>
      </c>
      <c r="C77" t="s">
        <v>1152</v>
      </c>
      <c r="D77" t="s">
        <v>1154</v>
      </c>
      <c r="E77" t="s">
        <v>34</v>
      </c>
      <c r="F77" t="s">
        <v>35</v>
      </c>
      <c r="G77" t="s">
        <v>36</v>
      </c>
      <c r="H77" t="s">
        <v>649</v>
      </c>
      <c r="I77" t="s">
        <v>650</v>
      </c>
      <c r="J77" t="s">
        <v>651</v>
      </c>
      <c r="K77" t="s">
        <v>474</v>
      </c>
      <c r="L77" t="s">
        <v>40</v>
      </c>
      <c r="M77">
        <v>1</v>
      </c>
      <c r="N77">
        <v>30</v>
      </c>
      <c r="O77">
        <v>30</v>
      </c>
      <c r="P77" t="s">
        <v>41</v>
      </c>
      <c r="Q77">
        <v>279.7</v>
      </c>
      <c r="R77">
        <v>279.7</v>
      </c>
      <c r="S77">
        <v>419.55</v>
      </c>
      <c r="T77">
        <v>8391</v>
      </c>
      <c r="U77">
        <v>5</v>
      </c>
      <c r="V77" t="s">
        <v>42</v>
      </c>
      <c r="W77" t="s">
        <v>474</v>
      </c>
      <c r="X77" s="6" t="str">
        <f t="shared" si="0"/>
        <v>441814967</v>
      </c>
      <c r="Y77" s="7" t="str">
        <f t="shared" si="1"/>
        <v>DC</v>
      </c>
      <c r="Z77" s="7">
        <f t="shared" si="2"/>
        <v>30</v>
      </c>
      <c r="AA77" s="7">
        <f t="shared" si="3"/>
        <v>0</v>
      </c>
      <c r="AB77" s="7">
        <f t="shared" si="4"/>
        <v>0</v>
      </c>
      <c r="AC77" s="7">
        <f t="shared" si="5"/>
        <v>0</v>
      </c>
      <c r="AD77" s="7">
        <f t="shared" si="6"/>
        <v>0</v>
      </c>
      <c r="AE77" s="8" t="str" cm="1">
        <f t="array" ref="AE77">IFERROR(_xlfn.XLOOKUP(H77,Sheet1!$G:$G,Sheet1!$F:$F),IFERROR(_xlfn.XLOOKUP(1,(--($X$2:$X$1074=X77))*(--ISNUMBER(MATCH($H$2:$H$1074,Sheet1!$G:$G,0))),_xlfn.XLOOKUP($H$2:$H$1074,Sheet1!$G:$G,Sheet1!$F:$F,"")),"NOT FOUND"))</f>
        <v>GETKRTSFUT6420</v>
      </c>
      <c r="AF77" s="9" t="str">
        <f t="shared" si="9"/>
        <v>MINT</v>
      </c>
      <c r="AG77" s="10" t="str">
        <f t="shared" si="10"/>
        <v>HARIPAL</v>
      </c>
      <c r="AH77" s="8" t="str" cm="1">
        <f t="array" ref="AH77">IF(OR(J77="",AE77="",AE77="NOT FOUND"),"",IF(Y77="RP",_xlfn.LET(_xlpm.desc,_xlfn.XLOOKUP(1,(--(Sheet1!$F$2:$F$754=AE77))*(--ISNUMBER(FIND("-",Sheet1!$W$2:$W$754,FIND("-",Sheet1!$W$2:$W$754)+1))),Sheet1!$W$2:$W$754,""),IF(_xlpm.desc="","NOT FOUND",LEFT(_xlpm.desc,FIND("-",_xlpm.desc,FIND("-",_xlpm.desc)+1))&amp;AE77)),LEFT(J77,FIND("-",J77,FIND("-",J77)+1))&amp;AE77))</f>
        <v>KRTS-APWN26-GETKRTSFUT6420</v>
      </c>
    </row>
    <row r="78" spans="1:34" ht="15.75" customHeight="1" x14ac:dyDescent="0.2">
      <c r="A78" t="s">
        <v>61</v>
      </c>
      <c r="B78" t="s">
        <v>710</v>
      </c>
      <c r="C78" t="s">
        <v>1152</v>
      </c>
      <c r="D78" t="s">
        <v>1154</v>
      </c>
      <c r="E78" t="s">
        <v>34</v>
      </c>
      <c r="F78" t="s">
        <v>35</v>
      </c>
      <c r="G78" t="s">
        <v>43</v>
      </c>
      <c r="H78" t="s">
        <v>652</v>
      </c>
      <c r="I78" t="s">
        <v>653</v>
      </c>
      <c r="J78" t="s">
        <v>654</v>
      </c>
      <c r="K78" t="s">
        <v>474</v>
      </c>
      <c r="L78" t="s">
        <v>40</v>
      </c>
      <c r="M78">
        <v>1</v>
      </c>
      <c r="N78">
        <v>127</v>
      </c>
      <c r="O78">
        <v>127</v>
      </c>
      <c r="P78" t="s">
        <v>41</v>
      </c>
      <c r="Q78">
        <v>279.7</v>
      </c>
      <c r="R78">
        <v>279.7</v>
      </c>
      <c r="S78">
        <v>1776.1</v>
      </c>
      <c r="T78">
        <v>35521.9</v>
      </c>
      <c r="U78">
        <v>5</v>
      </c>
      <c r="V78" t="s">
        <v>42</v>
      </c>
      <c r="W78" t="s">
        <v>474</v>
      </c>
      <c r="X78" s="6" t="str">
        <f t="shared" si="0"/>
        <v>441814967</v>
      </c>
      <c r="Y78" s="7" t="str">
        <f t="shared" si="1"/>
        <v>DC</v>
      </c>
      <c r="Z78" s="7">
        <f t="shared" si="2"/>
        <v>0</v>
      </c>
      <c r="AA78" s="7">
        <f t="shared" si="3"/>
        <v>127</v>
      </c>
      <c r="AB78" s="7">
        <f t="shared" si="4"/>
        <v>0</v>
      </c>
      <c r="AC78" s="7">
        <f t="shared" si="5"/>
        <v>0</v>
      </c>
      <c r="AD78" s="7">
        <f t="shared" si="6"/>
        <v>0</v>
      </c>
      <c r="AE78" s="8" t="str" cm="1">
        <f t="array" ref="AE78">IFERROR(_xlfn.XLOOKUP(H78,Sheet1!$G:$G,Sheet1!$F:$F),IFERROR(_xlfn.XLOOKUP(1,(--($X$2:$X$1074=X78))*(--ISNUMBER(MATCH($H$2:$H$1074,Sheet1!$G:$G,0))),_xlfn.XLOOKUP($H$2:$H$1074,Sheet1!$G:$G,Sheet1!$F:$F,"")),"NOT FOUND"))</f>
        <v>GETKRTSFUT6420</v>
      </c>
      <c r="AF78" s="9" t="str">
        <f t="shared" si="9"/>
        <v>MINT</v>
      </c>
      <c r="AG78" s="10" t="str">
        <f t="shared" si="10"/>
        <v>HARIPAL</v>
      </c>
      <c r="AH78" s="8" t="str" cm="1">
        <f t="array" ref="AH78">IF(OR(J78="",AE78="",AE78="NOT FOUND"),"",IF(Y78="RP",_xlfn.LET(_xlpm.desc,_xlfn.XLOOKUP(1,(--(Sheet1!$F$2:$F$754=AE78))*(--ISNUMBER(FIND("-",Sheet1!$W$2:$W$754,FIND("-",Sheet1!$W$2:$W$754)+1))),Sheet1!$W$2:$W$754,""),IF(_xlpm.desc="","NOT FOUND",LEFT(_xlpm.desc,FIND("-",_xlpm.desc,FIND("-",_xlpm.desc)+1))&amp;AE78)),LEFT(J78,FIND("-",J78,FIND("-",J78)+1))&amp;AE78))</f>
        <v>KRTS-APWN26-GETKRTSFUT6420</v>
      </c>
    </row>
    <row r="79" spans="1:34" ht="15.75" customHeight="1" x14ac:dyDescent="0.2">
      <c r="A79" t="s">
        <v>61</v>
      </c>
      <c r="B79" t="s">
        <v>710</v>
      </c>
      <c r="C79" t="s">
        <v>1152</v>
      </c>
      <c r="D79" t="s">
        <v>1154</v>
      </c>
      <c r="E79" t="s">
        <v>34</v>
      </c>
      <c r="F79" t="s">
        <v>35</v>
      </c>
      <c r="G79" t="s">
        <v>47</v>
      </c>
      <c r="H79" t="s">
        <v>655</v>
      </c>
      <c r="I79" t="s">
        <v>656</v>
      </c>
      <c r="J79" t="s">
        <v>657</v>
      </c>
      <c r="K79" t="s">
        <v>474</v>
      </c>
      <c r="L79" t="s">
        <v>40</v>
      </c>
      <c r="M79">
        <v>1</v>
      </c>
      <c r="N79">
        <v>120</v>
      </c>
      <c r="O79">
        <v>120</v>
      </c>
      <c r="P79" t="s">
        <v>41</v>
      </c>
      <c r="Q79">
        <v>279.7</v>
      </c>
      <c r="R79">
        <v>279.7</v>
      </c>
      <c r="S79">
        <v>1678.2</v>
      </c>
      <c r="T79">
        <v>33564</v>
      </c>
      <c r="U79">
        <v>5</v>
      </c>
      <c r="V79" t="s">
        <v>42</v>
      </c>
      <c r="W79" t="s">
        <v>474</v>
      </c>
      <c r="X79" s="6" t="str">
        <f t="shared" si="0"/>
        <v>441814967</v>
      </c>
      <c r="Y79" s="7" t="str">
        <f t="shared" si="1"/>
        <v>DC</v>
      </c>
      <c r="Z79" s="7">
        <f t="shared" si="2"/>
        <v>0</v>
      </c>
      <c r="AA79" s="7">
        <f t="shared" si="3"/>
        <v>0</v>
      </c>
      <c r="AB79" s="7">
        <f t="shared" si="4"/>
        <v>120</v>
      </c>
      <c r="AC79" s="7">
        <f t="shared" si="5"/>
        <v>0</v>
      </c>
      <c r="AD79" s="7">
        <f t="shared" si="6"/>
        <v>0</v>
      </c>
      <c r="AE79" s="8" t="str" cm="1">
        <f t="array" ref="AE79">IFERROR(_xlfn.XLOOKUP(H79,Sheet1!$G:$G,Sheet1!$F:$F),IFERROR(_xlfn.XLOOKUP(1,(--($X$2:$X$1074=X79))*(--ISNUMBER(MATCH($H$2:$H$1074,Sheet1!$G:$G,0))),_xlfn.XLOOKUP($H$2:$H$1074,Sheet1!$G:$G,Sheet1!$F:$F,"")),"NOT FOUND"))</f>
        <v>GETKRTSFUT6420</v>
      </c>
      <c r="AF79" s="9" t="str">
        <f t="shared" si="9"/>
        <v>MINT</v>
      </c>
      <c r="AG79" s="10" t="str">
        <f t="shared" si="10"/>
        <v>HARIPAL</v>
      </c>
      <c r="AH79" s="8" t="str" cm="1">
        <f t="array" ref="AH79">IF(OR(J79="",AE79="",AE79="NOT FOUND"),"",IF(Y79="RP",_xlfn.LET(_xlpm.desc,_xlfn.XLOOKUP(1,(--(Sheet1!$F$2:$F$754=AE79))*(--ISNUMBER(FIND("-",Sheet1!$W$2:$W$754,FIND("-",Sheet1!$W$2:$W$754)+1))),Sheet1!$W$2:$W$754,""),IF(_xlpm.desc="","NOT FOUND",LEFT(_xlpm.desc,FIND("-",_xlpm.desc,FIND("-",_xlpm.desc)+1))&amp;AE79)),LEFT(J79,FIND("-",J79,FIND("-",J79)+1))&amp;AE79))</f>
        <v>KRTS-APWN26-GETKRTSFUT6420</v>
      </c>
    </row>
    <row r="80" spans="1:34" ht="15.75" customHeight="1" x14ac:dyDescent="0.2">
      <c r="A80" t="s">
        <v>61</v>
      </c>
      <c r="B80" t="s">
        <v>710</v>
      </c>
      <c r="C80" t="s">
        <v>1152</v>
      </c>
      <c r="D80" t="s">
        <v>1154</v>
      </c>
      <c r="E80" t="s">
        <v>34</v>
      </c>
      <c r="F80" t="s">
        <v>35</v>
      </c>
      <c r="G80" t="s">
        <v>51</v>
      </c>
      <c r="H80" t="s">
        <v>658</v>
      </c>
      <c r="I80" t="s">
        <v>659</v>
      </c>
      <c r="J80" t="s">
        <v>660</v>
      </c>
      <c r="K80" t="s">
        <v>474</v>
      </c>
      <c r="L80" t="s">
        <v>40</v>
      </c>
      <c r="M80">
        <v>1</v>
      </c>
      <c r="N80">
        <v>127</v>
      </c>
      <c r="O80">
        <v>127</v>
      </c>
      <c r="P80" t="s">
        <v>41</v>
      </c>
      <c r="Q80">
        <v>279.7</v>
      </c>
      <c r="R80">
        <v>279.7</v>
      </c>
      <c r="S80">
        <v>1776.1</v>
      </c>
      <c r="T80">
        <v>35521.9</v>
      </c>
      <c r="U80">
        <v>5</v>
      </c>
      <c r="V80" t="s">
        <v>42</v>
      </c>
      <c r="W80" t="s">
        <v>474</v>
      </c>
      <c r="X80" s="6" t="str">
        <f t="shared" si="0"/>
        <v>441814967</v>
      </c>
      <c r="Y80" s="7" t="str">
        <f t="shared" si="1"/>
        <v>DC</v>
      </c>
      <c r="Z80" s="7">
        <f t="shared" si="2"/>
        <v>0</v>
      </c>
      <c r="AA80" s="7">
        <f t="shared" si="3"/>
        <v>0</v>
      </c>
      <c r="AB80" s="7">
        <f t="shared" si="4"/>
        <v>0</v>
      </c>
      <c r="AC80" s="7">
        <f t="shared" si="5"/>
        <v>127</v>
      </c>
      <c r="AD80" s="7">
        <f t="shared" si="6"/>
        <v>0</v>
      </c>
      <c r="AE80" s="8" t="str" cm="1">
        <f t="array" ref="AE80">IFERROR(_xlfn.XLOOKUP(H80,Sheet1!$G:$G,Sheet1!$F:$F),IFERROR(_xlfn.XLOOKUP(1,(--($X$2:$X$1074=X80))*(--ISNUMBER(MATCH($H$2:$H$1074,Sheet1!$G:$G,0))),_xlfn.XLOOKUP($H$2:$H$1074,Sheet1!$G:$G,Sheet1!$F:$F,"")),"NOT FOUND"))</f>
        <v>GETKRTSFUT6420</v>
      </c>
      <c r="AF80" s="9" t="str">
        <f t="shared" si="9"/>
        <v>MINT</v>
      </c>
      <c r="AG80" s="10" t="str">
        <f t="shared" si="10"/>
        <v>HARIPAL</v>
      </c>
      <c r="AH80" s="8" t="str" cm="1">
        <f t="array" ref="AH80">IF(OR(J80="",AE80="",AE80="NOT FOUND"),"",IF(Y80="RP",_xlfn.LET(_xlpm.desc,_xlfn.XLOOKUP(1,(--(Sheet1!$F$2:$F$754=AE80))*(--ISNUMBER(FIND("-",Sheet1!$W$2:$W$754,FIND("-",Sheet1!$W$2:$W$754)+1))),Sheet1!$W$2:$W$754,""),IF(_xlpm.desc="","NOT FOUND",LEFT(_xlpm.desc,FIND("-",_xlpm.desc,FIND("-",_xlpm.desc)+1))&amp;AE80)),LEFT(J80,FIND("-",J80,FIND("-",J80)+1))&amp;AE80))</f>
        <v>KRTS-APWN26-GETKRTSFUT6420</v>
      </c>
    </row>
    <row r="81" spans="1:34" ht="15.75" customHeight="1" x14ac:dyDescent="0.2">
      <c r="A81" t="s">
        <v>61</v>
      </c>
      <c r="B81" t="s">
        <v>710</v>
      </c>
      <c r="C81" t="s">
        <v>1152</v>
      </c>
      <c r="D81" t="s">
        <v>1154</v>
      </c>
      <c r="E81" t="s">
        <v>34</v>
      </c>
      <c r="F81" t="s">
        <v>35</v>
      </c>
      <c r="G81" t="s">
        <v>55</v>
      </c>
      <c r="H81" t="s">
        <v>661</v>
      </c>
      <c r="I81" t="s">
        <v>662</v>
      </c>
      <c r="J81" t="s">
        <v>663</v>
      </c>
      <c r="K81" t="s">
        <v>474</v>
      </c>
      <c r="L81" t="s">
        <v>40</v>
      </c>
      <c r="M81">
        <v>1</v>
      </c>
      <c r="N81">
        <v>45</v>
      </c>
      <c r="O81">
        <v>45</v>
      </c>
      <c r="P81" t="s">
        <v>41</v>
      </c>
      <c r="Q81">
        <v>279.7</v>
      </c>
      <c r="R81">
        <v>279.7</v>
      </c>
      <c r="S81">
        <v>629.33000000000004</v>
      </c>
      <c r="T81">
        <v>12586.5</v>
      </c>
      <c r="U81">
        <v>5</v>
      </c>
      <c r="V81" t="s">
        <v>42</v>
      </c>
      <c r="W81" t="s">
        <v>474</v>
      </c>
      <c r="X81" s="6" t="str">
        <f t="shared" si="0"/>
        <v>441814967</v>
      </c>
      <c r="Y81" s="7" t="str">
        <f t="shared" si="1"/>
        <v>DC</v>
      </c>
      <c r="Z81" s="7">
        <f t="shared" si="2"/>
        <v>0</v>
      </c>
      <c r="AA81" s="7">
        <f t="shared" si="3"/>
        <v>0</v>
      </c>
      <c r="AB81" s="7">
        <f t="shared" si="4"/>
        <v>0</v>
      </c>
      <c r="AC81" s="7">
        <f t="shared" si="5"/>
        <v>0</v>
      </c>
      <c r="AD81" s="7">
        <f t="shared" si="6"/>
        <v>45</v>
      </c>
      <c r="AE81" s="8" t="str" cm="1">
        <f t="array" ref="AE81">IFERROR(_xlfn.XLOOKUP(H81,Sheet1!$G:$G,Sheet1!$F:$F),IFERROR(_xlfn.XLOOKUP(1,(--($X$2:$X$1074=X81))*(--ISNUMBER(MATCH($H$2:$H$1074,Sheet1!$G:$G,0))),_xlfn.XLOOKUP($H$2:$H$1074,Sheet1!$G:$G,Sheet1!$F:$F,"")),"NOT FOUND"))</f>
        <v>GETKRTSFUT6420</v>
      </c>
      <c r="AF81" s="9" t="str">
        <f t="shared" si="9"/>
        <v>MINT</v>
      </c>
      <c r="AG81" s="10" t="str">
        <f t="shared" si="10"/>
        <v>HARIPAL</v>
      </c>
      <c r="AH81" s="8" t="str" cm="1">
        <f t="array" ref="AH81">IF(OR(J81="",AE81="",AE81="NOT FOUND"),"",IF(Y81="RP",_xlfn.LET(_xlpm.desc,_xlfn.XLOOKUP(1,(--(Sheet1!$F$2:$F$754=AE81))*(--ISNUMBER(FIND("-",Sheet1!$W$2:$W$754,FIND("-",Sheet1!$W$2:$W$754)+1))),Sheet1!$W$2:$W$754,""),IF(_xlpm.desc="","NOT FOUND",LEFT(_xlpm.desc,FIND("-",_xlpm.desc,FIND("-",_xlpm.desc)+1))&amp;AE81)),LEFT(J81,FIND("-",J81,FIND("-",J81)+1))&amp;AE81))</f>
        <v>KRTS-APWN26-GETKRTSFUT6420</v>
      </c>
    </row>
    <row r="82" spans="1:34" ht="15.75" customHeight="1" x14ac:dyDescent="0.2">
      <c r="A82" t="s">
        <v>61</v>
      </c>
      <c r="B82" t="s">
        <v>711</v>
      </c>
      <c r="C82" t="s">
        <v>1152</v>
      </c>
      <c r="D82" t="s">
        <v>1154</v>
      </c>
      <c r="E82" t="s">
        <v>34</v>
      </c>
      <c r="F82" t="s">
        <v>35</v>
      </c>
      <c r="G82" t="s">
        <v>36</v>
      </c>
      <c r="H82" t="s">
        <v>666</v>
      </c>
      <c r="I82" t="s">
        <v>667</v>
      </c>
      <c r="J82" t="s">
        <v>668</v>
      </c>
      <c r="K82" t="s">
        <v>474</v>
      </c>
      <c r="L82" t="s">
        <v>40</v>
      </c>
      <c r="M82">
        <v>1</v>
      </c>
      <c r="N82">
        <v>30</v>
      </c>
      <c r="O82">
        <v>30</v>
      </c>
      <c r="P82" t="s">
        <v>41</v>
      </c>
      <c r="Q82">
        <v>276.7</v>
      </c>
      <c r="R82">
        <v>276.7</v>
      </c>
      <c r="S82">
        <v>415.05</v>
      </c>
      <c r="T82">
        <v>8301</v>
      </c>
      <c r="U82">
        <v>5</v>
      </c>
      <c r="V82" t="s">
        <v>42</v>
      </c>
      <c r="W82" t="s">
        <v>474</v>
      </c>
      <c r="X82" s="6" t="str">
        <f t="shared" si="0"/>
        <v>441814966</v>
      </c>
      <c r="Y82" s="7" t="str">
        <f t="shared" si="1"/>
        <v>DC</v>
      </c>
      <c r="Z82" s="7">
        <f t="shared" si="2"/>
        <v>30</v>
      </c>
      <c r="AA82" s="7">
        <f t="shared" si="3"/>
        <v>0</v>
      </c>
      <c r="AB82" s="7">
        <f t="shared" si="4"/>
        <v>0</v>
      </c>
      <c r="AC82" s="7">
        <f t="shared" si="5"/>
        <v>0</v>
      </c>
      <c r="AD82" s="7">
        <f t="shared" si="6"/>
        <v>0</v>
      </c>
      <c r="AE82" s="8" t="str" cm="1">
        <f t="array" ref="AE82">IFERROR(_xlfn.XLOOKUP(H82,Sheet1!$G:$G,Sheet1!$F:$F),IFERROR(_xlfn.XLOOKUP(1,(--($X$2:$X$1074=X82))*(--ISNUMBER(MATCH($H$2:$H$1074,Sheet1!$G:$G,0))),_xlfn.XLOOKUP($H$2:$H$1074,Sheet1!$G:$G,Sheet1!$F:$F,"")),"NOT FOUND"))</f>
        <v>GETKRTSFUT6419</v>
      </c>
      <c r="AF82" s="9" t="str">
        <f t="shared" si="9"/>
        <v>LIGHT RED</v>
      </c>
      <c r="AG82" s="10" t="str">
        <f t="shared" si="10"/>
        <v>HARIPAL</v>
      </c>
      <c r="AH82" s="8" t="str" cm="1">
        <f t="array" ref="AH82">IF(OR(J82="",AE82="",AE82="NOT FOUND"),"",IF(Y82="RP",_xlfn.LET(_xlpm.desc,_xlfn.XLOOKUP(1,(--(Sheet1!$F$2:$F$754=AE82))*(--ISNUMBER(FIND("-",Sheet1!$W$2:$W$754,FIND("-",Sheet1!$W$2:$W$754)+1))),Sheet1!$W$2:$W$754,""),IF(_xlpm.desc="","NOT FOUND",LEFT(_xlpm.desc,FIND("-",_xlpm.desc,FIND("-",_xlpm.desc)+1))&amp;AE82)),LEFT(J82,FIND("-",J82,FIND("-",J82)+1))&amp;AE82))</f>
        <v>KRTS-APWN26-GETKRTSFUT6419</v>
      </c>
    </row>
    <row r="83" spans="1:34" ht="15.75" customHeight="1" x14ac:dyDescent="0.2">
      <c r="A83" t="s">
        <v>61</v>
      </c>
      <c r="B83" t="s">
        <v>711</v>
      </c>
      <c r="C83" t="s">
        <v>1152</v>
      </c>
      <c r="D83" t="s">
        <v>1154</v>
      </c>
      <c r="E83" t="s">
        <v>34</v>
      </c>
      <c r="F83" t="s">
        <v>35</v>
      </c>
      <c r="G83" t="s">
        <v>43</v>
      </c>
      <c r="H83" t="s">
        <v>669</v>
      </c>
      <c r="I83" t="s">
        <v>670</v>
      </c>
      <c r="J83" t="s">
        <v>671</v>
      </c>
      <c r="K83" t="s">
        <v>474</v>
      </c>
      <c r="L83" t="s">
        <v>40</v>
      </c>
      <c r="M83">
        <v>1</v>
      </c>
      <c r="N83">
        <v>127</v>
      </c>
      <c r="O83">
        <v>127</v>
      </c>
      <c r="P83" t="s">
        <v>41</v>
      </c>
      <c r="Q83">
        <v>276.7</v>
      </c>
      <c r="R83">
        <v>276.7</v>
      </c>
      <c r="S83">
        <v>1757.05</v>
      </c>
      <c r="T83">
        <v>35140.9</v>
      </c>
      <c r="U83">
        <v>5</v>
      </c>
      <c r="V83" t="s">
        <v>42</v>
      </c>
      <c r="W83" t="s">
        <v>474</v>
      </c>
      <c r="X83" s="6" t="str">
        <f t="shared" si="0"/>
        <v>441814966</v>
      </c>
      <c r="Y83" s="7" t="str">
        <f t="shared" si="1"/>
        <v>DC</v>
      </c>
      <c r="Z83" s="7">
        <f t="shared" si="2"/>
        <v>0</v>
      </c>
      <c r="AA83" s="7">
        <f t="shared" si="3"/>
        <v>127</v>
      </c>
      <c r="AB83" s="7">
        <f t="shared" si="4"/>
        <v>0</v>
      </c>
      <c r="AC83" s="7">
        <f t="shared" si="5"/>
        <v>0</v>
      </c>
      <c r="AD83" s="7">
        <f t="shared" si="6"/>
        <v>0</v>
      </c>
      <c r="AE83" s="8" t="str" cm="1">
        <f t="array" ref="AE83">IFERROR(_xlfn.XLOOKUP(H83,Sheet1!$G:$G,Sheet1!$F:$F),IFERROR(_xlfn.XLOOKUP(1,(--($X$2:$X$1074=X83))*(--ISNUMBER(MATCH($H$2:$H$1074,Sheet1!$G:$G,0))),_xlfn.XLOOKUP($H$2:$H$1074,Sheet1!$G:$G,Sheet1!$F:$F,"")),"NOT FOUND"))</f>
        <v>GETKRTSFUT6419</v>
      </c>
      <c r="AF83" s="9" t="str">
        <f t="shared" si="9"/>
        <v>LIGHT RED</v>
      </c>
      <c r="AG83" s="10" t="str">
        <f t="shared" si="10"/>
        <v>HARIPAL</v>
      </c>
      <c r="AH83" s="8" t="str" cm="1">
        <f t="array" ref="AH83">IF(OR(J83="",AE83="",AE83="NOT FOUND"),"",IF(Y83="RP",_xlfn.LET(_xlpm.desc,_xlfn.XLOOKUP(1,(--(Sheet1!$F$2:$F$754=AE83))*(--ISNUMBER(FIND("-",Sheet1!$W$2:$W$754,FIND("-",Sheet1!$W$2:$W$754)+1))),Sheet1!$W$2:$W$754,""),IF(_xlpm.desc="","NOT FOUND",LEFT(_xlpm.desc,FIND("-",_xlpm.desc,FIND("-",_xlpm.desc)+1))&amp;AE83)),LEFT(J83,FIND("-",J83,FIND("-",J83)+1))&amp;AE83))</f>
        <v>KRTS-APWN26-GETKRTSFUT6419</v>
      </c>
    </row>
    <row r="84" spans="1:34" ht="15.75" customHeight="1" x14ac:dyDescent="0.2">
      <c r="A84" t="s">
        <v>61</v>
      </c>
      <c r="B84" t="s">
        <v>711</v>
      </c>
      <c r="C84" t="s">
        <v>1152</v>
      </c>
      <c r="D84" t="s">
        <v>1154</v>
      </c>
      <c r="E84" t="s">
        <v>34</v>
      </c>
      <c r="F84" t="s">
        <v>35</v>
      </c>
      <c r="G84" t="s">
        <v>47</v>
      </c>
      <c r="H84" t="s">
        <v>672</v>
      </c>
      <c r="I84" t="s">
        <v>673</v>
      </c>
      <c r="J84" t="s">
        <v>674</v>
      </c>
      <c r="K84" t="s">
        <v>474</v>
      </c>
      <c r="L84" t="s">
        <v>40</v>
      </c>
      <c r="M84">
        <v>1</v>
      </c>
      <c r="N84">
        <v>120</v>
      </c>
      <c r="O84">
        <v>120</v>
      </c>
      <c r="P84" t="s">
        <v>41</v>
      </c>
      <c r="Q84">
        <v>276.7</v>
      </c>
      <c r="R84">
        <v>276.7</v>
      </c>
      <c r="S84">
        <v>1660.2</v>
      </c>
      <c r="T84">
        <v>33204</v>
      </c>
      <c r="U84">
        <v>5</v>
      </c>
      <c r="V84" t="s">
        <v>42</v>
      </c>
      <c r="W84" t="s">
        <v>474</v>
      </c>
      <c r="X84" s="6" t="str">
        <f t="shared" si="0"/>
        <v>441814966</v>
      </c>
      <c r="Y84" s="7" t="str">
        <f t="shared" si="1"/>
        <v>DC</v>
      </c>
      <c r="Z84" s="7">
        <f t="shared" si="2"/>
        <v>0</v>
      </c>
      <c r="AA84" s="7">
        <f t="shared" si="3"/>
        <v>0</v>
      </c>
      <c r="AB84" s="7">
        <f t="shared" si="4"/>
        <v>120</v>
      </c>
      <c r="AC84" s="7">
        <f t="shared" si="5"/>
        <v>0</v>
      </c>
      <c r="AD84" s="7">
        <f t="shared" si="6"/>
        <v>0</v>
      </c>
      <c r="AE84" s="8" t="str" cm="1">
        <f t="array" ref="AE84">IFERROR(_xlfn.XLOOKUP(H84,Sheet1!$G:$G,Sheet1!$F:$F),IFERROR(_xlfn.XLOOKUP(1,(--($X$2:$X$1074=X84))*(--ISNUMBER(MATCH($H$2:$H$1074,Sheet1!$G:$G,0))),_xlfn.XLOOKUP($H$2:$H$1074,Sheet1!$G:$G,Sheet1!$F:$F,"")),"NOT FOUND"))</f>
        <v>GETKRTSFUT6419</v>
      </c>
      <c r="AF84" s="9" t="str">
        <f t="shared" si="9"/>
        <v>LIGHT RED</v>
      </c>
      <c r="AG84" s="10" t="str">
        <f t="shared" si="10"/>
        <v>HARIPAL</v>
      </c>
      <c r="AH84" s="8" t="str" cm="1">
        <f t="array" ref="AH84">IF(OR(J84="",AE84="",AE84="NOT FOUND"),"",IF(Y84="RP",_xlfn.LET(_xlpm.desc,_xlfn.XLOOKUP(1,(--(Sheet1!$F$2:$F$754=AE84))*(--ISNUMBER(FIND("-",Sheet1!$W$2:$W$754,FIND("-",Sheet1!$W$2:$W$754)+1))),Sheet1!$W$2:$W$754,""),IF(_xlpm.desc="","NOT FOUND",LEFT(_xlpm.desc,FIND("-",_xlpm.desc,FIND("-",_xlpm.desc)+1))&amp;AE84)),LEFT(J84,FIND("-",J84,FIND("-",J84)+1))&amp;AE84))</f>
        <v>KRTS-APWN26-GETKRTSFUT6419</v>
      </c>
    </row>
    <row r="85" spans="1:34" ht="15.75" customHeight="1" x14ac:dyDescent="0.2">
      <c r="A85" t="s">
        <v>61</v>
      </c>
      <c r="B85" t="s">
        <v>711</v>
      </c>
      <c r="C85" t="s">
        <v>1152</v>
      </c>
      <c r="D85" t="s">
        <v>1154</v>
      </c>
      <c r="E85" t="s">
        <v>34</v>
      </c>
      <c r="F85" t="s">
        <v>35</v>
      </c>
      <c r="G85" t="s">
        <v>51</v>
      </c>
      <c r="H85" t="s">
        <v>675</v>
      </c>
      <c r="I85" t="s">
        <v>676</v>
      </c>
      <c r="J85" t="s">
        <v>677</v>
      </c>
      <c r="K85" t="s">
        <v>474</v>
      </c>
      <c r="L85" t="s">
        <v>40</v>
      </c>
      <c r="M85">
        <v>1</v>
      </c>
      <c r="N85">
        <v>127</v>
      </c>
      <c r="O85">
        <v>127</v>
      </c>
      <c r="P85" t="s">
        <v>41</v>
      </c>
      <c r="Q85">
        <v>276.7</v>
      </c>
      <c r="R85">
        <v>276.7</v>
      </c>
      <c r="S85">
        <v>1757.05</v>
      </c>
      <c r="T85">
        <v>35140.9</v>
      </c>
      <c r="U85">
        <v>5</v>
      </c>
      <c r="V85" t="s">
        <v>42</v>
      </c>
      <c r="W85" t="s">
        <v>474</v>
      </c>
      <c r="X85" s="6" t="str">
        <f t="shared" si="0"/>
        <v>441814966</v>
      </c>
      <c r="Y85" s="7" t="str">
        <f t="shared" si="1"/>
        <v>DC</v>
      </c>
      <c r="Z85" s="7">
        <f t="shared" si="2"/>
        <v>0</v>
      </c>
      <c r="AA85" s="7">
        <f t="shared" si="3"/>
        <v>0</v>
      </c>
      <c r="AB85" s="7">
        <f t="shared" si="4"/>
        <v>0</v>
      </c>
      <c r="AC85" s="7">
        <f t="shared" si="5"/>
        <v>127</v>
      </c>
      <c r="AD85" s="7">
        <f t="shared" si="6"/>
        <v>0</v>
      </c>
      <c r="AE85" s="8" t="str" cm="1">
        <f t="array" ref="AE85">IFERROR(_xlfn.XLOOKUP(H85,Sheet1!$G:$G,Sheet1!$F:$F),IFERROR(_xlfn.XLOOKUP(1,(--($X$2:$X$1074=X85))*(--ISNUMBER(MATCH($H$2:$H$1074,Sheet1!$G:$G,0))),_xlfn.XLOOKUP($H$2:$H$1074,Sheet1!$G:$G,Sheet1!$F:$F,"")),"NOT FOUND"))</f>
        <v>GETKRTSFUT6419</v>
      </c>
      <c r="AF85" s="9" t="str">
        <f t="shared" si="9"/>
        <v>LIGHT RED</v>
      </c>
      <c r="AG85" s="10" t="str">
        <f t="shared" si="10"/>
        <v>HARIPAL</v>
      </c>
      <c r="AH85" s="8" t="str" cm="1">
        <f t="array" ref="AH85">IF(OR(J85="",AE85="",AE85="NOT FOUND"),"",IF(Y85="RP",_xlfn.LET(_xlpm.desc,_xlfn.XLOOKUP(1,(--(Sheet1!$F$2:$F$754=AE85))*(--ISNUMBER(FIND("-",Sheet1!$W$2:$W$754,FIND("-",Sheet1!$W$2:$W$754)+1))),Sheet1!$W$2:$W$754,""),IF(_xlpm.desc="","NOT FOUND",LEFT(_xlpm.desc,FIND("-",_xlpm.desc,FIND("-",_xlpm.desc)+1))&amp;AE85)),LEFT(J85,FIND("-",J85,FIND("-",J85)+1))&amp;AE85))</f>
        <v>KRTS-APWN26-GETKRTSFUT6419</v>
      </c>
    </row>
    <row r="86" spans="1:34" ht="15.75" customHeight="1" x14ac:dyDescent="0.2">
      <c r="A86" t="s">
        <v>61</v>
      </c>
      <c r="B86" t="s">
        <v>711</v>
      </c>
      <c r="C86" t="s">
        <v>1152</v>
      </c>
      <c r="D86" t="s">
        <v>1154</v>
      </c>
      <c r="E86" t="s">
        <v>34</v>
      </c>
      <c r="F86" t="s">
        <v>35</v>
      </c>
      <c r="G86" t="s">
        <v>55</v>
      </c>
      <c r="H86" t="s">
        <v>678</v>
      </c>
      <c r="I86" t="s">
        <v>679</v>
      </c>
      <c r="J86" t="s">
        <v>680</v>
      </c>
      <c r="K86" t="s">
        <v>474</v>
      </c>
      <c r="L86" t="s">
        <v>40</v>
      </c>
      <c r="M86">
        <v>1</v>
      </c>
      <c r="N86">
        <v>45</v>
      </c>
      <c r="O86">
        <v>45</v>
      </c>
      <c r="P86" t="s">
        <v>41</v>
      </c>
      <c r="Q86">
        <v>276.7</v>
      </c>
      <c r="R86">
        <v>276.7</v>
      </c>
      <c r="S86">
        <v>622.58000000000004</v>
      </c>
      <c r="T86">
        <v>12451.5</v>
      </c>
      <c r="U86">
        <v>5</v>
      </c>
      <c r="V86" t="s">
        <v>42</v>
      </c>
      <c r="W86" t="s">
        <v>474</v>
      </c>
      <c r="X86" s="6" t="str">
        <f t="shared" si="0"/>
        <v>441814966</v>
      </c>
      <c r="Y86" s="7" t="str">
        <f t="shared" si="1"/>
        <v>DC</v>
      </c>
      <c r="Z86" s="7">
        <f t="shared" si="2"/>
        <v>0</v>
      </c>
      <c r="AA86" s="7">
        <f t="shared" si="3"/>
        <v>0</v>
      </c>
      <c r="AB86" s="7">
        <f t="shared" si="4"/>
        <v>0</v>
      </c>
      <c r="AC86" s="7">
        <f t="shared" si="5"/>
        <v>0</v>
      </c>
      <c r="AD86" s="7">
        <f t="shared" si="6"/>
        <v>45</v>
      </c>
      <c r="AE86" s="8" t="str" cm="1">
        <f t="array" ref="AE86">IFERROR(_xlfn.XLOOKUP(H86,Sheet1!$G:$G,Sheet1!$F:$F),IFERROR(_xlfn.XLOOKUP(1,(--($X$2:$X$1074=X86))*(--ISNUMBER(MATCH($H$2:$H$1074,Sheet1!$G:$G,0))),_xlfn.XLOOKUP($H$2:$H$1074,Sheet1!$G:$G,Sheet1!$F:$F,"")),"NOT FOUND"))</f>
        <v>GETKRTSFUT6419</v>
      </c>
      <c r="AF86" s="9" t="str">
        <f t="shared" si="9"/>
        <v>LIGHT RED</v>
      </c>
      <c r="AG86" s="10" t="str">
        <f t="shared" si="10"/>
        <v>HARIPAL</v>
      </c>
      <c r="AH86" s="8" t="str" cm="1">
        <f t="array" ref="AH86">IF(OR(J86="",AE86="",AE86="NOT FOUND"),"",IF(Y86="RP",_xlfn.LET(_xlpm.desc,_xlfn.XLOOKUP(1,(--(Sheet1!$F$2:$F$754=AE86))*(--ISNUMBER(FIND("-",Sheet1!$W$2:$W$754,FIND("-",Sheet1!$W$2:$W$754)+1))),Sheet1!$W$2:$W$754,""),IF(_xlpm.desc="","NOT FOUND",LEFT(_xlpm.desc,FIND("-",_xlpm.desc,FIND("-",_xlpm.desc)+1))&amp;AE86)),LEFT(J86,FIND("-",J86,FIND("-",J86)+1))&amp;AE86))</f>
        <v>KRTS-APWN26-GETKRTSFUT6419</v>
      </c>
    </row>
    <row r="87" spans="1:34" ht="15.75" customHeight="1" x14ac:dyDescent="0.2">
      <c r="A87" t="s">
        <v>61</v>
      </c>
      <c r="B87" t="s">
        <v>712</v>
      </c>
      <c r="C87" t="s">
        <v>1152</v>
      </c>
      <c r="D87" t="s">
        <v>1154</v>
      </c>
      <c r="E87" t="s">
        <v>34</v>
      </c>
      <c r="F87" t="s">
        <v>35</v>
      </c>
      <c r="G87" t="s">
        <v>36</v>
      </c>
      <c r="H87" t="s">
        <v>686</v>
      </c>
      <c r="I87" t="s">
        <v>687</v>
      </c>
      <c r="J87" t="s">
        <v>688</v>
      </c>
      <c r="K87" t="s">
        <v>474</v>
      </c>
      <c r="L87" t="s">
        <v>40</v>
      </c>
      <c r="M87">
        <v>1</v>
      </c>
      <c r="N87">
        <v>30</v>
      </c>
      <c r="O87">
        <v>30</v>
      </c>
      <c r="P87" t="s">
        <v>41</v>
      </c>
      <c r="Q87">
        <v>279.7</v>
      </c>
      <c r="R87">
        <v>279.7</v>
      </c>
      <c r="S87">
        <v>419.55</v>
      </c>
      <c r="T87">
        <v>8391</v>
      </c>
      <c r="U87">
        <v>5</v>
      </c>
      <c r="V87" t="s">
        <v>42</v>
      </c>
      <c r="W87" t="s">
        <v>474</v>
      </c>
      <c r="X87" s="6" t="str">
        <f t="shared" si="0"/>
        <v>441814965</v>
      </c>
      <c r="Y87" s="7" t="str">
        <f t="shared" si="1"/>
        <v>DC</v>
      </c>
      <c r="Z87" s="7">
        <f t="shared" si="2"/>
        <v>30</v>
      </c>
      <c r="AA87" s="7">
        <f t="shared" si="3"/>
        <v>0</v>
      </c>
      <c r="AB87" s="7">
        <f t="shared" si="4"/>
        <v>0</v>
      </c>
      <c r="AC87" s="7">
        <f t="shared" si="5"/>
        <v>0</v>
      </c>
      <c r="AD87" s="7">
        <f t="shared" si="6"/>
        <v>0</v>
      </c>
      <c r="AE87" s="8" t="str" cm="1">
        <f t="array" ref="AE87">IFERROR(_xlfn.XLOOKUP(H87,Sheet1!$G:$G,Sheet1!$F:$F),IFERROR(_xlfn.XLOOKUP(1,(--($X$2:$X$1074=X87))*(--ISNUMBER(MATCH($H$2:$H$1074,Sheet1!$G:$G,0))),_xlfn.XLOOKUP($H$2:$H$1074,Sheet1!$G:$G,Sheet1!$F:$F,"")),"NOT FOUND"))</f>
        <v>GETKRTSFUT6418</v>
      </c>
      <c r="AF87" s="9" t="str">
        <f t="shared" si="9"/>
        <v>TEAL</v>
      </c>
      <c r="AG87" s="10" t="str">
        <f t="shared" si="10"/>
        <v>HARIPAL</v>
      </c>
      <c r="AH87" s="8" t="str" cm="1">
        <f t="array" ref="AH87">IF(OR(J87="",AE87="",AE87="NOT FOUND"),"",IF(Y87="RP",_xlfn.LET(_xlpm.desc,_xlfn.XLOOKUP(1,(--(Sheet1!$F$2:$F$754=AE87))*(--ISNUMBER(FIND("-",Sheet1!$W$2:$W$754,FIND("-",Sheet1!$W$2:$W$754)+1))),Sheet1!$W$2:$W$754,""),IF(_xlpm.desc="","NOT FOUND",LEFT(_xlpm.desc,FIND("-",_xlpm.desc,FIND("-",_xlpm.desc)+1))&amp;AE87)),LEFT(J87,FIND("-",J87,FIND("-",J87)+1))&amp;AE87))</f>
        <v>KRTS-APWN26-GETKRTSFUT6418</v>
      </c>
    </row>
    <row r="88" spans="1:34" ht="15.75" customHeight="1" x14ac:dyDescent="0.2">
      <c r="A88" t="s">
        <v>61</v>
      </c>
      <c r="B88" t="s">
        <v>712</v>
      </c>
      <c r="C88" t="s">
        <v>1152</v>
      </c>
      <c r="D88" t="s">
        <v>1154</v>
      </c>
      <c r="E88" t="s">
        <v>34</v>
      </c>
      <c r="F88" t="s">
        <v>35</v>
      </c>
      <c r="G88" t="s">
        <v>43</v>
      </c>
      <c r="H88" t="s">
        <v>689</v>
      </c>
      <c r="I88" t="s">
        <v>690</v>
      </c>
      <c r="J88" t="s">
        <v>691</v>
      </c>
      <c r="K88" t="s">
        <v>474</v>
      </c>
      <c r="L88" t="s">
        <v>40</v>
      </c>
      <c r="M88">
        <v>1</v>
      </c>
      <c r="N88">
        <v>127</v>
      </c>
      <c r="O88">
        <v>127</v>
      </c>
      <c r="P88" t="s">
        <v>41</v>
      </c>
      <c r="Q88">
        <v>279.7</v>
      </c>
      <c r="R88">
        <v>279.7</v>
      </c>
      <c r="S88">
        <v>1776.1</v>
      </c>
      <c r="T88">
        <v>35521.9</v>
      </c>
      <c r="U88">
        <v>5</v>
      </c>
      <c r="V88" t="s">
        <v>42</v>
      </c>
      <c r="W88" t="s">
        <v>474</v>
      </c>
      <c r="X88" s="6" t="str">
        <f t="shared" si="0"/>
        <v>441814965</v>
      </c>
      <c r="Y88" s="7" t="str">
        <f t="shared" si="1"/>
        <v>DC</v>
      </c>
      <c r="Z88" s="7">
        <f t="shared" si="2"/>
        <v>0</v>
      </c>
      <c r="AA88" s="7">
        <f t="shared" si="3"/>
        <v>127</v>
      </c>
      <c r="AB88" s="7">
        <f t="shared" si="4"/>
        <v>0</v>
      </c>
      <c r="AC88" s="7">
        <f t="shared" si="5"/>
        <v>0</v>
      </c>
      <c r="AD88" s="7">
        <f t="shared" si="6"/>
        <v>0</v>
      </c>
      <c r="AE88" s="8" t="str" cm="1">
        <f t="array" ref="AE88">IFERROR(_xlfn.XLOOKUP(H88,Sheet1!$G:$G,Sheet1!$F:$F),IFERROR(_xlfn.XLOOKUP(1,(--($X$2:$X$1074=X88))*(--ISNUMBER(MATCH($H$2:$H$1074,Sheet1!$G:$G,0))),_xlfn.XLOOKUP($H$2:$H$1074,Sheet1!$G:$G,Sheet1!$F:$F,"")),"NOT FOUND"))</f>
        <v>GETKRTSFUT6418</v>
      </c>
      <c r="AF88" s="9" t="str">
        <f t="shared" si="9"/>
        <v>TEAL</v>
      </c>
      <c r="AG88" s="10" t="str">
        <f t="shared" si="10"/>
        <v>HARIPAL</v>
      </c>
      <c r="AH88" s="8" t="str" cm="1">
        <f t="array" ref="AH88">IF(OR(J88="",AE88="",AE88="NOT FOUND"),"",IF(Y88="RP",_xlfn.LET(_xlpm.desc,_xlfn.XLOOKUP(1,(--(Sheet1!$F$2:$F$754=AE88))*(--ISNUMBER(FIND("-",Sheet1!$W$2:$W$754,FIND("-",Sheet1!$W$2:$W$754)+1))),Sheet1!$W$2:$W$754,""),IF(_xlpm.desc="","NOT FOUND",LEFT(_xlpm.desc,FIND("-",_xlpm.desc,FIND("-",_xlpm.desc)+1))&amp;AE88)),LEFT(J88,FIND("-",J88,FIND("-",J88)+1))&amp;AE88))</f>
        <v>KRTS-APWN26-GETKRTSFUT6418</v>
      </c>
    </row>
    <row r="89" spans="1:34" ht="15.75" customHeight="1" x14ac:dyDescent="0.2">
      <c r="A89" t="s">
        <v>61</v>
      </c>
      <c r="B89" t="s">
        <v>712</v>
      </c>
      <c r="C89" t="s">
        <v>1152</v>
      </c>
      <c r="D89" t="s">
        <v>1154</v>
      </c>
      <c r="E89" t="s">
        <v>34</v>
      </c>
      <c r="F89" t="s">
        <v>35</v>
      </c>
      <c r="G89" t="s">
        <v>47</v>
      </c>
      <c r="H89" t="s">
        <v>692</v>
      </c>
      <c r="I89" t="s">
        <v>693</v>
      </c>
      <c r="J89" t="s">
        <v>694</v>
      </c>
      <c r="K89" t="s">
        <v>474</v>
      </c>
      <c r="L89" t="s">
        <v>40</v>
      </c>
      <c r="M89">
        <v>1</v>
      </c>
      <c r="N89">
        <v>120</v>
      </c>
      <c r="O89">
        <v>120</v>
      </c>
      <c r="P89" t="s">
        <v>41</v>
      </c>
      <c r="Q89">
        <v>279.7</v>
      </c>
      <c r="R89">
        <v>279.7</v>
      </c>
      <c r="S89">
        <v>1678.2</v>
      </c>
      <c r="T89">
        <v>33564</v>
      </c>
      <c r="U89">
        <v>5</v>
      </c>
      <c r="V89" t="s">
        <v>42</v>
      </c>
      <c r="W89" t="s">
        <v>474</v>
      </c>
      <c r="X89" s="6" t="str">
        <f t="shared" si="0"/>
        <v>441814965</v>
      </c>
      <c r="Y89" s="7" t="str">
        <f t="shared" si="1"/>
        <v>DC</v>
      </c>
      <c r="Z89" s="7">
        <f t="shared" si="2"/>
        <v>0</v>
      </c>
      <c r="AA89" s="7">
        <f t="shared" si="3"/>
        <v>0</v>
      </c>
      <c r="AB89" s="7">
        <f t="shared" si="4"/>
        <v>120</v>
      </c>
      <c r="AC89" s="7">
        <f t="shared" si="5"/>
        <v>0</v>
      </c>
      <c r="AD89" s="7">
        <f t="shared" si="6"/>
        <v>0</v>
      </c>
      <c r="AE89" s="8" t="str" cm="1">
        <f t="array" ref="AE89">IFERROR(_xlfn.XLOOKUP(H89,Sheet1!$G:$G,Sheet1!$F:$F),IFERROR(_xlfn.XLOOKUP(1,(--($X$2:$X$1074=X89))*(--ISNUMBER(MATCH($H$2:$H$1074,Sheet1!$G:$G,0))),_xlfn.XLOOKUP($H$2:$H$1074,Sheet1!$G:$G,Sheet1!$F:$F,"")),"NOT FOUND"))</f>
        <v>GETKRTSFUT6418</v>
      </c>
      <c r="AF89" s="9" t="str">
        <f t="shared" si="9"/>
        <v>TEAL</v>
      </c>
      <c r="AG89" s="10" t="str">
        <f t="shared" si="10"/>
        <v>HARIPAL</v>
      </c>
      <c r="AH89" s="8" t="str" cm="1">
        <f t="array" ref="AH89">IF(OR(J89="",AE89="",AE89="NOT FOUND"),"",IF(Y89="RP",_xlfn.LET(_xlpm.desc,_xlfn.XLOOKUP(1,(--(Sheet1!$F$2:$F$754=AE89))*(--ISNUMBER(FIND("-",Sheet1!$W$2:$W$754,FIND("-",Sheet1!$W$2:$W$754)+1))),Sheet1!$W$2:$W$754,""),IF(_xlpm.desc="","NOT FOUND",LEFT(_xlpm.desc,FIND("-",_xlpm.desc,FIND("-",_xlpm.desc)+1))&amp;AE89)),LEFT(J89,FIND("-",J89,FIND("-",J89)+1))&amp;AE89))</f>
        <v>KRTS-APWN26-GETKRTSFUT6418</v>
      </c>
    </row>
    <row r="90" spans="1:34" ht="15.75" customHeight="1" x14ac:dyDescent="0.2">
      <c r="A90" t="s">
        <v>61</v>
      </c>
      <c r="B90" t="s">
        <v>712</v>
      </c>
      <c r="C90" t="s">
        <v>1152</v>
      </c>
      <c r="D90" t="s">
        <v>1154</v>
      </c>
      <c r="E90" t="s">
        <v>34</v>
      </c>
      <c r="F90" t="s">
        <v>35</v>
      </c>
      <c r="G90" t="s">
        <v>51</v>
      </c>
      <c r="H90" t="s">
        <v>695</v>
      </c>
      <c r="I90" t="s">
        <v>696</v>
      </c>
      <c r="J90" t="s">
        <v>697</v>
      </c>
      <c r="K90" t="s">
        <v>474</v>
      </c>
      <c r="L90" t="s">
        <v>40</v>
      </c>
      <c r="M90">
        <v>1</v>
      </c>
      <c r="N90">
        <v>127</v>
      </c>
      <c r="O90">
        <v>127</v>
      </c>
      <c r="P90" t="s">
        <v>41</v>
      </c>
      <c r="Q90">
        <v>279.7</v>
      </c>
      <c r="R90">
        <v>279.7</v>
      </c>
      <c r="S90">
        <v>1776.1</v>
      </c>
      <c r="T90">
        <v>35521.9</v>
      </c>
      <c r="U90">
        <v>5</v>
      </c>
      <c r="V90" t="s">
        <v>42</v>
      </c>
      <c r="W90" t="s">
        <v>474</v>
      </c>
      <c r="X90" s="6" t="str">
        <f t="shared" si="0"/>
        <v>441814965</v>
      </c>
      <c r="Y90" s="7" t="str">
        <f t="shared" si="1"/>
        <v>DC</v>
      </c>
      <c r="Z90" s="7">
        <f t="shared" si="2"/>
        <v>0</v>
      </c>
      <c r="AA90" s="7">
        <f t="shared" si="3"/>
        <v>0</v>
      </c>
      <c r="AB90" s="7">
        <f t="shared" si="4"/>
        <v>0</v>
      </c>
      <c r="AC90" s="7">
        <f t="shared" si="5"/>
        <v>127</v>
      </c>
      <c r="AD90" s="7">
        <f t="shared" si="6"/>
        <v>0</v>
      </c>
      <c r="AE90" s="8" t="str" cm="1">
        <f t="array" ref="AE90">IFERROR(_xlfn.XLOOKUP(H90,Sheet1!$G:$G,Sheet1!$F:$F),IFERROR(_xlfn.XLOOKUP(1,(--($X$2:$X$1074=X90))*(--ISNUMBER(MATCH($H$2:$H$1074,Sheet1!$G:$G,0))),_xlfn.XLOOKUP($H$2:$H$1074,Sheet1!$G:$G,Sheet1!$F:$F,"")),"NOT FOUND"))</f>
        <v>GETKRTSFUT6418</v>
      </c>
      <c r="AF90" s="9" t="str">
        <f t="shared" si="9"/>
        <v>TEAL</v>
      </c>
      <c r="AG90" s="10" t="str">
        <f t="shared" si="10"/>
        <v>HARIPAL</v>
      </c>
      <c r="AH90" s="8" t="str" cm="1">
        <f t="array" ref="AH90">IF(OR(J90="",AE90="",AE90="NOT FOUND"),"",IF(Y90="RP",_xlfn.LET(_xlpm.desc,_xlfn.XLOOKUP(1,(--(Sheet1!$F$2:$F$754=AE90))*(--ISNUMBER(FIND("-",Sheet1!$W$2:$W$754,FIND("-",Sheet1!$W$2:$W$754)+1))),Sheet1!$W$2:$W$754,""),IF(_xlpm.desc="","NOT FOUND",LEFT(_xlpm.desc,FIND("-",_xlpm.desc,FIND("-",_xlpm.desc)+1))&amp;AE90)),LEFT(J90,FIND("-",J90,FIND("-",J90)+1))&amp;AE90))</f>
        <v>KRTS-APWN26-GETKRTSFUT6418</v>
      </c>
    </row>
    <row r="91" spans="1:34" ht="15.75" customHeight="1" x14ac:dyDescent="0.2">
      <c r="A91" t="s">
        <v>61</v>
      </c>
      <c r="B91" t="s">
        <v>712</v>
      </c>
      <c r="C91" t="s">
        <v>1152</v>
      </c>
      <c r="D91" t="s">
        <v>1154</v>
      </c>
      <c r="E91" t="s">
        <v>34</v>
      </c>
      <c r="F91" t="s">
        <v>35</v>
      </c>
      <c r="G91" t="s">
        <v>55</v>
      </c>
      <c r="H91" t="s">
        <v>698</v>
      </c>
      <c r="I91" t="s">
        <v>699</v>
      </c>
      <c r="J91" t="s">
        <v>700</v>
      </c>
      <c r="K91" t="s">
        <v>474</v>
      </c>
      <c r="L91" t="s">
        <v>40</v>
      </c>
      <c r="M91">
        <v>1</v>
      </c>
      <c r="N91">
        <v>45</v>
      </c>
      <c r="O91">
        <v>45</v>
      </c>
      <c r="P91" t="s">
        <v>41</v>
      </c>
      <c r="Q91">
        <v>279.7</v>
      </c>
      <c r="R91">
        <v>279.7</v>
      </c>
      <c r="S91">
        <v>629.33000000000004</v>
      </c>
      <c r="T91">
        <v>12586.5</v>
      </c>
      <c r="U91">
        <v>5</v>
      </c>
      <c r="V91" t="s">
        <v>42</v>
      </c>
      <c r="W91" t="s">
        <v>474</v>
      </c>
      <c r="X91" s="6" t="str">
        <f t="shared" si="0"/>
        <v>441814965</v>
      </c>
      <c r="Y91" s="7" t="str">
        <f t="shared" si="1"/>
        <v>DC</v>
      </c>
      <c r="Z91" s="7">
        <f t="shared" si="2"/>
        <v>0</v>
      </c>
      <c r="AA91" s="7">
        <f t="shared" si="3"/>
        <v>0</v>
      </c>
      <c r="AB91" s="7">
        <f t="shared" si="4"/>
        <v>0</v>
      </c>
      <c r="AC91" s="7">
        <f t="shared" si="5"/>
        <v>0</v>
      </c>
      <c r="AD91" s="7">
        <f t="shared" si="6"/>
        <v>45</v>
      </c>
      <c r="AE91" s="8" t="str" cm="1">
        <f t="array" ref="AE91">IFERROR(_xlfn.XLOOKUP(H91,Sheet1!$G:$G,Sheet1!$F:$F),IFERROR(_xlfn.XLOOKUP(1,(--($X$2:$X$1074=X91))*(--ISNUMBER(MATCH($H$2:$H$1074,Sheet1!$G:$G,0))),_xlfn.XLOOKUP($H$2:$H$1074,Sheet1!$G:$G,Sheet1!$F:$F,"")),"NOT FOUND"))</f>
        <v>GETKRTSFUT6418</v>
      </c>
      <c r="AF91" s="9" t="str">
        <f t="shared" si="9"/>
        <v>TEAL</v>
      </c>
      <c r="AG91" s="10" t="str">
        <f t="shared" si="10"/>
        <v>HARIPAL</v>
      </c>
      <c r="AH91" s="8" t="str" cm="1">
        <f t="array" ref="AH91">IF(OR(J91="",AE91="",AE91="NOT FOUND"),"",IF(Y91="RP",_xlfn.LET(_xlpm.desc,_xlfn.XLOOKUP(1,(--(Sheet1!$F$2:$F$754=AE91))*(--ISNUMBER(FIND("-",Sheet1!$W$2:$W$754,FIND("-",Sheet1!$W$2:$W$754)+1))),Sheet1!$W$2:$W$754,""),IF(_xlpm.desc="","NOT FOUND",LEFT(_xlpm.desc,FIND("-",_xlpm.desc,FIND("-",_xlpm.desc)+1))&amp;AE91)),LEFT(J91,FIND("-",J91,FIND("-",J91)+1))&amp;AE91))</f>
        <v>KRTS-APWN26-GETKRTSFUT6418</v>
      </c>
    </row>
    <row r="92" spans="1:34" ht="15.75" customHeight="1" x14ac:dyDescent="0.2">
      <c r="A92" t="s">
        <v>30</v>
      </c>
      <c r="B92" t="s">
        <v>713</v>
      </c>
      <c r="C92" t="s">
        <v>1152</v>
      </c>
      <c r="D92" t="s">
        <v>1154</v>
      </c>
      <c r="E92" t="s">
        <v>34</v>
      </c>
      <c r="F92" t="s">
        <v>35</v>
      </c>
      <c r="G92" t="s">
        <v>36</v>
      </c>
      <c r="H92" t="s">
        <v>715</v>
      </c>
      <c r="I92" t="s">
        <v>716</v>
      </c>
      <c r="J92" t="s">
        <v>717</v>
      </c>
      <c r="K92" t="s">
        <v>474</v>
      </c>
      <c r="L92" t="s">
        <v>40</v>
      </c>
      <c r="M92">
        <v>1</v>
      </c>
      <c r="N92">
        <v>64</v>
      </c>
      <c r="O92">
        <v>64</v>
      </c>
      <c r="P92" t="s">
        <v>41</v>
      </c>
      <c r="Q92">
        <v>279.7</v>
      </c>
      <c r="R92">
        <v>279.7</v>
      </c>
      <c r="S92">
        <v>895.04</v>
      </c>
      <c r="T92">
        <v>17900.8</v>
      </c>
      <c r="U92">
        <v>5</v>
      </c>
      <c r="V92" t="s">
        <v>42</v>
      </c>
      <c r="W92" t="s">
        <v>474</v>
      </c>
      <c r="X92" s="6" t="str">
        <f t="shared" si="0"/>
        <v>441814964</v>
      </c>
      <c r="Y92" s="7" t="str">
        <f t="shared" si="1"/>
        <v>DC</v>
      </c>
      <c r="Z92" s="7">
        <f t="shared" si="2"/>
        <v>64</v>
      </c>
      <c r="AA92" s="7">
        <f t="shared" si="3"/>
        <v>0</v>
      </c>
      <c r="AB92" s="7">
        <f t="shared" si="4"/>
        <v>0</v>
      </c>
      <c r="AC92" s="7">
        <f t="shared" si="5"/>
        <v>0</v>
      </c>
      <c r="AD92" s="7">
        <f t="shared" si="6"/>
        <v>0</v>
      </c>
      <c r="AE92" s="8" t="str" cm="1">
        <f t="array" ref="AE92">IFERROR(_xlfn.XLOOKUP(H92,Sheet1!$G:$G,Sheet1!$F:$F),IFERROR(_xlfn.XLOOKUP(1,(--($X$2:$X$1074=X92))*(--ISNUMBER(MATCH($H$2:$H$1074,Sheet1!$G:$G,0))),_xlfn.XLOOKUP($H$2:$H$1074,Sheet1!$G:$G,Sheet1!$F:$F,"")),"NOT FOUND"))</f>
        <v>GETKRTSFUT6417</v>
      </c>
      <c r="AF92" s="9" t="str">
        <f t="shared" si="9"/>
        <v>MUSTARD</v>
      </c>
      <c r="AG92" s="10" t="str">
        <f t="shared" si="10"/>
        <v>Bangalore</v>
      </c>
      <c r="AH92" s="8" t="str" cm="1">
        <f t="array" ref="AH92">IF(OR(J92="",AE92="",AE92="NOT FOUND"),"",IF(Y92="RP",_xlfn.LET(_xlpm.desc,_xlfn.XLOOKUP(1,(--(Sheet1!$F$2:$F$754=AE92))*(--ISNUMBER(FIND("-",Sheet1!$W$2:$W$754,FIND("-",Sheet1!$W$2:$W$754)+1))),Sheet1!$W$2:$W$754,""),IF(_xlpm.desc="","NOT FOUND",LEFT(_xlpm.desc,FIND("-",_xlpm.desc,FIND("-",_xlpm.desc)+1))&amp;AE92)),LEFT(J92,FIND("-",J92,FIND("-",J92)+1))&amp;AE92))</f>
        <v>KRTS-APWN26-GETKRTSFUT6417</v>
      </c>
    </row>
    <row r="93" spans="1:34" ht="15.75" customHeight="1" x14ac:dyDescent="0.2">
      <c r="A93" t="s">
        <v>30</v>
      </c>
      <c r="B93" t="s">
        <v>713</v>
      </c>
      <c r="C93" t="s">
        <v>1152</v>
      </c>
      <c r="D93" t="s">
        <v>1154</v>
      </c>
      <c r="E93" t="s">
        <v>34</v>
      </c>
      <c r="F93" t="s">
        <v>35</v>
      </c>
      <c r="G93" t="s">
        <v>43</v>
      </c>
      <c r="H93" t="s">
        <v>718</v>
      </c>
      <c r="I93" t="s">
        <v>719</v>
      </c>
      <c r="J93" t="s">
        <v>720</v>
      </c>
      <c r="K93" t="s">
        <v>474</v>
      </c>
      <c r="L93" t="s">
        <v>40</v>
      </c>
      <c r="M93">
        <v>1</v>
      </c>
      <c r="N93">
        <v>273</v>
      </c>
      <c r="O93">
        <v>273</v>
      </c>
      <c r="P93" t="s">
        <v>41</v>
      </c>
      <c r="Q93">
        <v>279.7</v>
      </c>
      <c r="R93">
        <v>279.7</v>
      </c>
      <c r="S93">
        <v>3817.91</v>
      </c>
      <c r="T93">
        <v>76358.100000000006</v>
      </c>
      <c r="U93">
        <v>5</v>
      </c>
      <c r="V93" t="s">
        <v>42</v>
      </c>
      <c r="W93" t="s">
        <v>474</v>
      </c>
      <c r="X93" s="6" t="str">
        <f t="shared" si="0"/>
        <v>441814964</v>
      </c>
      <c r="Y93" s="7" t="str">
        <f t="shared" si="1"/>
        <v>DC</v>
      </c>
      <c r="Z93" s="7">
        <f t="shared" si="2"/>
        <v>0</v>
      </c>
      <c r="AA93" s="7">
        <f t="shared" si="3"/>
        <v>273</v>
      </c>
      <c r="AB93" s="7">
        <f t="shared" si="4"/>
        <v>0</v>
      </c>
      <c r="AC93" s="7">
        <f t="shared" si="5"/>
        <v>0</v>
      </c>
      <c r="AD93" s="7">
        <f t="shared" si="6"/>
        <v>0</v>
      </c>
      <c r="AE93" s="8" t="str" cm="1">
        <f t="array" ref="AE93">IFERROR(_xlfn.XLOOKUP(H93,Sheet1!$G:$G,Sheet1!$F:$F),IFERROR(_xlfn.XLOOKUP(1,(--($X$2:$X$1074=X93))*(--ISNUMBER(MATCH($H$2:$H$1074,Sheet1!$G:$G,0))),_xlfn.XLOOKUP($H$2:$H$1074,Sheet1!$G:$G,Sheet1!$F:$F,"")),"NOT FOUND"))</f>
        <v>GETKRTSFUT6417</v>
      </c>
      <c r="AF93" s="9" t="str">
        <f t="shared" si="9"/>
        <v>MUSTARD</v>
      </c>
      <c r="AG93" s="10" t="str">
        <f t="shared" si="10"/>
        <v>Bangalore</v>
      </c>
      <c r="AH93" s="8" t="str" cm="1">
        <f t="array" ref="AH93">IF(OR(J93="",AE93="",AE93="NOT FOUND"),"",IF(Y93="RP",_xlfn.LET(_xlpm.desc,_xlfn.XLOOKUP(1,(--(Sheet1!$F$2:$F$754=AE93))*(--ISNUMBER(FIND("-",Sheet1!$W$2:$W$754,FIND("-",Sheet1!$W$2:$W$754)+1))),Sheet1!$W$2:$W$754,""),IF(_xlpm.desc="","NOT FOUND",LEFT(_xlpm.desc,FIND("-",_xlpm.desc,FIND("-",_xlpm.desc)+1))&amp;AE93)),LEFT(J93,FIND("-",J93,FIND("-",J93)+1))&amp;AE93))</f>
        <v>KRTS-APWN26-GETKRTSFUT6417</v>
      </c>
    </row>
    <row r="94" spans="1:34" ht="15.75" customHeight="1" x14ac:dyDescent="0.2">
      <c r="A94" t="s">
        <v>30</v>
      </c>
      <c r="B94" t="s">
        <v>713</v>
      </c>
      <c r="C94" t="s">
        <v>1152</v>
      </c>
      <c r="D94" t="s">
        <v>1154</v>
      </c>
      <c r="E94" t="s">
        <v>34</v>
      </c>
      <c r="F94" t="s">
        <v>35</v>
      </c>
      <c r="G94" t="s">
        <v>47</v>
      </c>
      <c r="H94" t="s">
        <v>721</v>
      </c>
      <c r="I94" t="s">
        <v>722</v>
      </c>
      <c r="J94" t="s">
        <v>723</v>
      </c>
      <c r="K94" t="s">
        <v>474</v>
      </c>
      <c r="L94" t="s">
        <v>40</v>
      </c>
      <c r="M94">
        <v>1</v>
      </c>
      <c r="N94">
        <v>257</v>
      </c>
      <c r="O94">
        <v>257</v>
      </c>
      <c r="P94" t="s">
        <v>41</v>
      </c>
      <c r="Q94">
        <v>279.7</v>
      </c>
      <c r="R94">
        <v>279.7</v>
      </c>
      <c r="S94">
        <v>3594.15</v>
      </c>
      <c r="T94">
        <v>71882.899999999994</v>
      </c>
      <c r="U94">
        <v>5</v>
      </c>
      <c r="V94" t="s">
        <v>42</v>
      </c>
      <c r="W94" t="s">
        <v>474</v>
      </c>
      <c r="X94" s="6" t="str">
        <f t="shared" si="0"/>
        <v>441814964</v>
      </c>
      <c r="Y94" s="7" t="str">
        <f t="shared" si="1"/>
        <v>DC</v>
      </c>
      <c r="Z94" s="7">
        <f t="shared" si="2"/>
        <v>0</v>
      </c>
      <c r="AA94" s="7">
        <f t="shared" si="3"/>
        <v>0</v>
      </c>
      <c r="AB94" s="7">
        <f t="shared" si="4"/>
        <v>257</v>
      </c>
      <c r="AC94" s="7">
        <f t="shared" si="5"/>
        <v>0</v>
      </c>
      <c r="AD94" s="7">
        <f t="shared" si="6"/>
        <v>0</v>
      </c>
      <c r="AE94" s="8" t="str" cm="1">
        <f t="array" ref="AE94">IFERROR(_xlfn.XLOOKUP(H94,Sheet1!$G:$G,Sheet1!$F:$F),IFERROR(_xlfn.XLOOKUP(1,(--($X$2:$X$1074=X94))*(--ISNUMBER(MATCH($H$2:$H$1074,Sheet1!$G:$G,0))),_xlfn.XLOOKUP($H$2:$H$1074,Sheet1!$G:$G,Sheet1!$F:$F,"")),"NOT FOUND"))</f>
        <v>GETKRTSFUT6417</v>
      </c>
      <c r="AF94" s="9" t="str">
        <f t="shared" si="9"/>
        <v>MUSTARD</v>
      </c>
      <c r="AG94" s="10" t="str">
        <f t="shared" si="10"/>
        <v>Bangalore</v>
      </c>
      <c r="AH94" s="8" t="str" cm="1">
        <f t="array" ref="AH94">IF(OR(J94="",AE94="",AE94="NOT FOUND"),"",IF(Y94="RP",_xlfn.LET(_xlpm.desc,_xlfn.XLOOKUP(1,(--(Sheet1!$F$2:$F$754=AE94))*(--ISNUMBER(FIND("-",Sheet1!$W$2:$W$754,FIND("-",Sheet1!$W$2:$W$754)+1))),Sheet1!$W$2:$W$754,""),IF(_xlpm.desc="","NOT FOUND",LEFT(_xlpm.desc,FIND("-",_xlpm.desc,FIND("-",_xlpm.desc)+1))&amp;AE94)),LEFT(J94,FIND("-",J94,FIND("-",J94)+1))&amp;AE94))</f>
        <v>KRTS-APWN26-GETKRTSFUT6417</v>
      </c>
    </row>
    <row r="95" spans="1:34" ht="15.75" customHeight="1" x14ac:dyDescent="0.2">
      <c r="A95" t="s">
        <v>30</v>
      </c>
      <c r="B95" t="s">
        <v>713</v>
      </c>
      <c r="C95" t="s">
        <v>1152</v>
      </c>
      <c r="D95" t="s">
        <v>1154</v>
      </c>
      <c r="E95" t="s">
        <v>34</v>
      </c>
      <c r="F95" t="s">
        <v>35</v>
      </c>
      <c r="G95" t="s">
        <v>51</v>
      </c>
      <c r="H95" t="s">
        <v>724</v>
      </c>
      <c r="I95" t="s">
        <v>725</v>
      </c>
      <c r="J95" t="s">
        <v>726</v>
      </c>
      <c r="K95" t="s">
        <v>474</v>
      </c>
      <c r="L95" t="s">
        <v>40</v>
      </c>
      <c r="M95">
        <v>1</v>
      </c>
      <c r="N95">
        <v>273</v>
      </c>
      <c r="O95">
        <v>273</v>
      </c>
      <c r="P95" t="s">
        <v>41</v>
      </c>
      <c r="Q95">
        <v>279.7</v>
      </c>
      <c r="R95">
        <v>279.7</v>
      </c>
      <c r="S95">
        <v>3817.91</v>
      </c>
      <c r="T95">
        <v>76358.100000000006</v>
      </c>
      <c r="U95">
        <v>5</v>
      </c>
      <c r="V95" t="s">
        <v>42</v>
      </c>
      <c r="W95" t="s">
        <v>474</v>
      </c>
      <c r="X95" s="6" t="str">
        <f t="shared" si="0"/>
        <v>441814964</v>
      </c>
      <c r="Y95" s="7" t="str">
        <f t="shared" si="1"/>
        <v>DC</v>
      </c>
      <c r="Z95" s="7">
        <f t="shared" si="2"/>
        <v>0</v>
      </c>
      <c r="AA95" s="7">
        <f t="shared" si="3"/>
        <v>0</v>
      </c>
      <c r="AB95" s="7">
        <f t="shared" si="4"/>
        <v>0</v>
      </c>
      <c r="AC95" s="7">
        <f t="shared" si="5"/>
        <v>273</v>
      </c>
      <c r="AD95" s="7">
        <f t="shared" si="6"/>
        <v>0</v>
      </c>
      <c r="AE95" s="8" t="str" cm="1">
        <f t="array" ref="AE95">IFERROR(_xlfn.XLOOKUP(H95,Sheet1!$G:$G,Sheet1!$F:$F),IFERROR(_xlfn.XLOOKUP(1,(--($X$2:$X$1074=X95))*(--ISNUMBER(MATCH($H$2:$H$1074,Sheet1!$G:$G,0))),_xlfn.XLOOKUP($H$2:$H$1074,Sheet1!$G:$G,Sheet1!$F:$F,"")),"NOT FOUND"))</f>
        <v>GETKRTSFUT6417</v>
      </c>
      <c r="AF95" s="9" t="str">
        <f t="shared" si="9"/>
        <v>MUSTARD</v>
      </c>
      <c r="AG95" s="10" t="str">
        <f t="shared" si="10"/>
        <v>Bangalore</v>
      </c>
      <c r="AH95" s="8" t="str" cm="1">
        <f t="array" ref="AH95">IF(OR(J95="",AE95="",AE95="NOT FOUND"),"",IF(Y95="RP",_xlfn.LET(_xlpm.desc,_xlfn.XLOOKUP(1,(--(Sheet1!$F$2:$F$754=AE95))*(--ISNUMBER(FIND("-",Sheet1!$W$2:$W$754,FIND("-",Sheet1!$W$2:$W$754)+1))),Sheet1!$W$2:$W$754,""),IF(_xlpm.desc="","NOT FOUND",LEFT(_xlpm.desc,FIND("-",_xlpm.desc,FIND("-",_xlpm.desc)+1))&amp;AE95)),LEFT(J95,FIND("-",J95,FIND("-",J95)+1))&amp;AE95))</f>
        <v>KRTS-APWN26-GETKRTSFUT6417</v>
      </c>
    </row>
    <row r="96" spans="1:34" ht="15.75" customHeight="1" x14ac:dyDescent="0.2">
      <c r="A96" t="s">
        <v>30</v>
      </c>
      <c r="B96" t="s">
        <v>713</v>
      </c>
      <c r="C96" t="s">
        <v>1152</v>
      </c>
      <c r="D96" t="s">
        <v>1154</v>
      </c>
      <c r="E96" t="s">
        <v>34</v>
      </c>
      <c r="F96" t="s">
        <v>35</v>
      </c>
      <c r="G96" t="s">
        <v>55</v>
      </c>
      <c r="H96" t="s">
        <v>727</v>
      </c>
      <c r="I96" t="s">
        <v>728</v>
      </c>
      <c r="J96" t="s">
        <v>729</v>
      </c>
      <c r="K96" t="s">
        <v>474</v>
      </c>
      <c r="L96" t="s">
        <v>40</v>
      </c>
      <c r="M96">
        <v>1</v>
      </c>
      <c r="N96">
        <v>96</v>
      </c>
      <c r="O96">
        <v>96</v>
      </c>
      <c r="P96" t="s">
        <v>41</v>
      </c>
      <c r="Q96">
        <v>279.7</v>
      </c>
      <c r="R96">
        <v>279.7</v>
      </c>
      <c r="S96">
        <v>1342.56</v>
      </c>
      <c r="T96">
        <v>26851.200000000001</v>
      </c>
      <c r="U96">
        <v>5</v>
      </c>
      <c r="V96" t="s">
        <v>42</v>
      </c>
      <c r="W96" t="s">
        <v>474</v>
      </c>
      <c r="X96" s="6" t="str">
        <f t="shared" si="0"/>
        <v>441814964</v>
      </c>
      <c r="Y96" s="7" t="str">
        <f t="shared" si="1"/>
        <v>DC</v>
      </c>
      <c r="Z96" s="7">
        <f t="shared" si="2"/>
        <v>0</v>
      </c>
      <c r="AA96" s="7">
        <f t="shared" si="3"/>
        <v>0</v>
      </c>
      <c r="AB96" s="7">
        <f t="shared" si="4"/>
        <v>0</v>
      </c>
      <c r="AC96" s="7">
        <f t="shared" si="5"/>
        <v>0</v>
      </c>
      <c r="AD96" s="7">
        <f t="shared" si="6"/>
        <v>96</v>
      </c>
      <c r="AE96" s="8" t="str" cm="1">
        <f t="array" ref="AE96">IFERROR(_xlfn.XLOOKUP(H96,Sheet1!$G:$G,Sheet1!$F:$F),IFERROR(_xlfn.XLOOKUP(1,(--($X$2:$X$1074=X96))*(--ISNUMBER(MATCH($H$2:$H$1074,Sheet1!$G:$G,0))),_xlfn.XLOOKUP($H$2:$H$1074,Sheet1!$G:$G,Sheet1!$F:$F,"")),"NOT FOUND"))</f>
        <v>GETKRTSFUT6417</v>
      </c>
      <c r="AF96" s="9" t="str">
        <f t="shared" si="9"/>
        <v>MUSTARD</v>
      </c>
      <c r="AG96" s="10" t="str">
        <f t="shared" si="10"/>
        <v>Bangalore</v>
      </c>
      <c r="AH96" s="8" t="str" cm="1">
        <f t="array" ref="AH96">IF(OR(J96="",AE96="",AE96="NOT FOUND"),"",IF(Y96="RP",_xlfn.LET(_xlpm.desc,_xlfn.XLOOKUP(1,(--(Sheet1!$F$2:$F$754=AE96))*(--ISNUMBER(FIND("-",Sheet1!$W$2:$W$754,FIND("-",Sheet1!$W$2:$W$754)+1))),Sheet1!$W$2:$W$754,""),IF(_xlpm.desc="","NOT FOUND",LEFT(_xlpm.desc,FIND("-",_xlpm.desc,FIND("-",_xlpm.desc)+1))&amp;AE96)),LEFT(J96,FIND("-",J96,FIND("-",J96)+1))&amp;AE96))</f>
        <v>KRTS-APWN26-GETKRTSFUT6417</v>
      </c>
    </row>
    <row r="97" spans="1:34" ht="15.75" customHeight="1" x14ac:dyDescent="0.2">
      <c r="A97" t="s">
        <v>30</v>
      </c>
      <c r="B97" t="s">
        <v>730</v>
      </c>
      <c r="C97" t="s">
        <v>1152</v>
      </c>
      <c r="D97" t="s">
        <v>1154</v>
      </c>
      <c r="E97" t="s">
        <v>34</v>
      </c>
      <c r="F97" t="s">
        <v>35</v>
      </c>
      <c r="G97" t="s">
        <v>36</v>
      </c>
      <c r="H97" t="s">
        <v>732</v>
      </c>
      <c r="I97" t="s">
        <v>733</v>
      </c>
      <c r="J97" t="s">
        <v>734</v>
      </c>
      <c r="K97" t="s">
        <v>474</v>
      </c>
      <c r="L97" t="s">
        <v>40</v>
      </c>
      <c r="M97">
        <v>1</v>
      </c>
      <c r="N97">
        <v>64</v>
      </c>
      <c r="O97">
        <v>64</v>
      </c>
      <c r="P97" t="s">
        <v>41</v>
      </c>
      <c r="Q97">
        <v>279.7</v>
      </c>
      <c r="R97">
        <v>279.7</v>
      </c>
      <c r="S97">
        <v>895.04</v>
      </c>
      <c r="T97">
        <v>17900.8</v>
      </c>
      <c r="U97">
        <v>5</v>
      </c>
      <c r="V97" t="s">
        <v>42</v>
      </c>
      <c r="W97" t="s">
        <v>474</v>
      </c>
      <c r="X97" s="6" t="str">
        <f t="shared" si="0"/>
        <v>441814963</v>
      </c>
      <c r="Y97" s="7" t="str">
        <f t="shared" si="1"/>
        <v>DC</v>
      </c>
      <c r="Z97" s="7">
        <f t="shared" si="2"/>
        <v>64</v>
      </c>
      <c r="AA97" s="7">
        <f t="shared" si="3"/>
        <v>0</v>
      </c>
      <c r="AB97" s="7">
        <f t="shared" si="4"/>
        <v>0</v>
      </c>
      <c r="AC97" s="7">
        <f t="shared" si="5"/>
        <v>0</v>
      </c>
      <c r="AD97" s="7">
        <f t="shared" si="6"/>
        <v>0</v>
      </c>
      <c r="AE97" s="8" t="str" cm="1">
        <f t="array" ref="AE97">IFERROR(_xlfn.XLOOKUP(H97,Sheet1!$G:$G,Sheet1!$F:$F),IFERROR(_xlfn.XLOOKUP(1,(--($X$2:$X$1074=X97))*(--ISNUMBER(MATCH($H$2:$H$1074,Sheet1!$G:$G,0))),_xlfn.XLOOKUP($H$2:$H$1074,Sheet1!$G:$G,Sheet1!$F:$F,"")),"NOT FOUND"))</f>
        <v>GETKRTSFUT6416</v>
      </c>
      <c r="AF97" s="9" t="str">
        <f t="shared" si="9"/>
        <v>Mauve</v>
      </c>
      <c r="AG97" s="10" t="str">
        <f t="shared" si="10"/>
        <v>Bangalore</v>
      </c>
      <c r="AH97" s="8" t="str" cm="1">
        <f t="array" ref="AH97">IF(OR(J97="",AE97="",AE97="NOT FOUND"),"",IF(Y97="RP",_xlfn.LET(_xlpm.desc,_xlfn.XLOOKUP(1,(--(Sheet1!$F$2:$F$754=AE97))*(--ISNUMBER(FIND("-",Sheet1!$W$2:$W$754,FIND("-",Sheet1!$W$2:$W$754)+1))),Sheet1!$W$2:$W$754,""),IF(_xlpm.desc="","NOT FOUND",LEFT(_xlpm.desc,FIND("-",_xlpm.desc,FIND("-",_xlpm.desc)+1))&amp;AE97)),LEFT(J97,FIND("-",J97,FIND("-",J97)+1))&amp;AE97))</f>
        <v>KRTS-APWN26-GETKRTSFUT6416</v>
      </c>
    </row>
    <row r="98" spans="1:34" ht="15.75" customHeight="1" x14ac:dyDescent="0.2">
      <c r="A98" t="s">
        <v>30</v>
      </c>
      <c r="B98" t="s">
        <v>730</v>
      </c>
      <c r="C98" t="s">
        <v>1152</v>
      </c>
      <c r="D98" t="s">
        <v>1154</v>
      </c>
      <c r="E98" t="s">
        <v>34</v>
      </c>
      <c r="F98" t="s">
        <v>35</v>
      </c>
      <c r="G98" t="s">
        <v>43</v>
      </c>
      <c r="H98" t="s">
        <v>735</v>
      </c>
      <c r="I98" t="s">
        <v>736</v>
      </c>
      <c r="J98" t="s">
        <v>737</v>
      </c>
      <c r="K98" t="s">
        <v>474</v>
      </c>
      <c r="L98" t="s">
        <v>40</v>
      </c>
      <c r="M98">
        <v>1</v>
      </c>
      <c r="N98">
        <v>273</v>
      </c>
      <c r="O98">
        <v>273</v>
      </c>
      <c r="P98" t="s">
        <v>41</v>
      </c>
      <c r="Q98">
        <v>279.7</v>
      </c>
      <c r="R98">
        <v>279.7</v>
      </c>
      <c r="S98">
        <v>3817.91</v>
      </c>
      <c r="T98">
        <v>76358.100000000006</v>
      </c>
      <c r="U98">
        <v>5</v>
      </c>
      <c r="V98" t="s">
        <v>42</v>
      </c>
      <c r="W98" t="s">
        <v>474</v>
      </c>
      <c r="X98" s="6" t="str">
        <f t="shared" si="0"/>
        <v>441814963</v>
      </c>
      <c r="Y98" s="7" t="str">
        <f t="shared" si="1"/>
        <v>DC</v>
      </c>
      <c r="Z98" s="7">
        <f t="shared" si="2"/>
        <v>0</v>
      </c>
      <c r="AA98" s="7">
        <f t="shared" si="3"/>
        <v>273</v>
      </c>
      <c r="AB98" s="7">
        <f t="shared" si="4"/>
        <v>0</v>
      </c>
      <c r="AC98" s="7">
        <f t="shared" si="5"/>
        <v>0</v>
      </c>
      <c r="AD98" s="7">
        <f t="shared" si="6"/>
        <v>0</v>
      </c>
      <c r="AE98" s="8" t="str" cm="1">
        <f t="array" ref="AE98">IFERROR(_xlfn.XLOOKUP(H98,Sheet1!$G:$G,Sheet1!$F:$F),IFERROR(_xlfn.XLOOKUP(1,(--($X$2:$X$1074=X98))*(--ISNUMBER(MATCH($H$2:$H$1074,Sheet1!$G:$G,0))),_xlfn.XLOOKUP($H$2:$H$1074,Sheet1!$G:$G,Sheet1!$F:$F,"")),"NOT FOUND"))</f>
        <v>GETKRTSFUT6416</v>
      </c>
      <c r="AF98" s="9" t="str">
        <f t="shared" si="9"/>
        <v>Mauve</v>
      </c>
      <c r="AG98" s="10" t="str">
        <f t="shared" si="10"/>
        <v>Bangalore</v>
      </c>
      <c r="AH98" s="8" t="str" cm="1">
        <f t="array" ref="AH98">IF(OR(J98="",AE98="",AE98="NOT FOUND"),"",IF(Y98="RP",_xlfn.LET(_xlpm.desc,_xlfn.XLOOKUP(1,(--(Sheet1!$F$2:$F$754=AE98))*(--ISNUMBER(FIND("-",Sheet1!$W$2:$W$754,FIND("-",Sheet1!$W$2:$W$754)+1))),Sheet1!$W$2:$W$754,""),IF(_xlpm.desc="","NOT FOUND",LEFT(_xlpm.desc,FIND("-",_xlpm.desc,FIND("-",_xlpm.desc)+1))&amp;AE98)),LEFT(J98,FIND("-",J98,FIND("-",J98)+1))&amp;AE98))</f>
        <v>KRTS-APWN26-GETKRTSFUT6416</v>
      </c>
    </row>
    <row r="99" spans="1:34" ht="15.75" customHeight="1" x14ac:dyDescent="0.2">
      <c r="A99" t="s">
        <v>30</v>
      </c>
      <c r="B99" t="s">
        <v>730</v>
      </c>
      <c r="C99" t="s">
        <v>1152</v>
      </c>
      <c r="D99" t="s">
        <v>1154</v>
      </c>
      <c r="E99" t="s">
        <v>34</v>
      </c>
      <c r="F99" t="s">
        <v>35</v>
      </c>
      <c r="G99" t="s">
        <v>47</v>
      </c>
      <c r="H99" t="s">
        <v>738</v>
      </c>
      <c r="I99" t="s">
        <v>739</v>
      </c>
      <c r="J99" t="s">
        <v>740</v>
      </c>
      <c r="K99" t="s">
        <v>474</v>
      </c>
      <c r="L99" t="s">
        <v>40</v>
      </c>
      <c r="M99">
        <v>1</v>
      </c>
      <c r="N99">
        <v>257</v>
      </c>
      <c r="O99">
        <v>257</v>
      </c>
      <c r="P99" t="s">
        <v>41</v>
      </c>
      <c r="Q99">
        <v>279.7</v>
      </c>
      <c r="R99">
        <v>279.7</v>
      </c>
      <c r="S99">
        <v>3594.15</v>
      </c>
      <c r="T99">
        <v>71882.899999999994</v>
      </c>
      <c r="U99">
        <v>5</v>
      </c>
      <c r="V99" t="s">
        <v>42</v>
      </c>
      <c r="W99" t="s">
        <v>474</v>
      </c>
      <c r="X99" s="6" t="str">
        <f t="shared" si="0"/>
        <v>441814963</v>
      </c>
      <c r="Y99" s="7" t="str">
        <f t="shared" si="1"/>
        <v>DC</v>
      </c>
      <c r="Z99" s="7">
        <f t="shared" si="2"/>
        <v>0</v>
      </c>
      <c r="AA99" s="7">
        <f t="shared" si="3"/>
        <v>0</v>
      </c>
      <c r="AB99" s="7">
        <f t="shared" si="4"/>
        <v>257</v>
      </c>
      <c r="AC99" s="7">
        <f t="shared" si="5"/>
        <v>0</v>
      </c>
      <c r="AD99" s="7">
        <f t="shared" si="6"/>
        <v>0</v>
      </c>
      <c r="AE99" s="8" t="str" cm="1">
        <f t="array" ref="AE99">IFERROR(_xlfn.XLOOKUP(H99,Sheet1!$G:$G,Sheet1!$F:$F),IFERROR(_xlfn.XLOOKUP(1,(--($X$2:$X$1074=X99))*(--ISNUMBER(MATCH($H$2:$H$1074,Sheet1!$G:$G,0))),_xlfn.XLOOKUP($H$2:$H$1074,Sheet1!$G:$G,Sheet1!$F:$F,"")),"NOT FOUND"))</f>
        <v>GETKRTSFUT6416</v>
      </c>
      <c r="AF99" s="9" t="str">
        <f t="shared" si="9"/>
        <v>Mauve</v>
      </c>
      <c r="AG99" s="10" t="str">
        <f t="shared" si="10"/>
        <v>Bangalore</v>
      </c>
      <c r="AH99" s="8" t="str" cm="1">
        <f t="array" ref="AH99">IF(OR(J99="",AE99="",AE99="NOT FOUND"),"",IF(Y99="RP",_xlfn.LET(_xlpm.desc,_xlfn.XLOOKUP(1,(--(Sheet1!$F$2:$F$754=AE99))*(--ISNUMBER(FIND("-",Sheet1!$W$2:$W$754,FIND("-",Sheet1!$W$2:$W$754)+1))),Sheet1!$W$2:$W$754,""),IF(_xlpm.desc="","NOT FOUND",LEFT(_xlpm.desc,FIND("-",_xlpm.desc,FIND("-",_xlpm.desc)+1))&amp;AE99)),LEFT(J99,FIND("-",J99,FIND("-",J99)+1))&amp;AE99))</f>
        <v>KRTS-APWN26-GETKRTSFUT6416</v>
      </c>
    </row>
    <row r="100" spans="1:34" ht="15.75" customHeight="1" x14ac:dyDescent="0.2">
      <c r="A100" t="s">
        <v>30</v>
      </c>
      <c r="B100" t="s">
        <v>730</v>
      </c>
      <c r="C100" t="s">
        <v>1152</v>
      </c>
      <c r="D100" t="s">
        <v>1154</v>
      </c>
      <c r="E100" t="s">
        <v>34</v>
      </c>
      <c r="F100" t="s">
        <v>35</v>
      </c>
      <c r="G100" t="s">
        <v>51</v>
      </c>
      <c r="H100" t="s">
        <v>741</v>
      </c>
      <c r="I100" t="s">
        <v>742</v>
      </c>
      <c r="J100" t="s">
        <v>743</v>
      </c>
      <c r="K100" t="s">
        <v>474</v>
      </c>
      <c r="L100" t="s">
        <v>40</v>
      </c>
      <c r="M100">
        <v>1</v>
      </c>
      <c r="N100">
        <v>273</v>
      </c>
      <c r="O100">
        <v>273</v>
      </c>
      <c r="P100" t="s">
        <v>41</v>
      </c>
      <c r="Q100">
        <v>279.7</v>
      </c>
      <c r="R100">
        <v>279.7</v>
      </c>
      <c r="S100">
        <v>3817.91</v>
      </c>
      <c r="T100">
        <v>76358.100000000006</v>
      </c>
      <c r="U100">
        <v>5</v>
      </c>
      <c r="V100" t="s">
        <v>42</v>
      </c>
      <c r="W100" t="s">
        <v>474</v>
      </c>
      <c r="X100" s="6" t="str">
        <f t="shared" si="0"/>
        <v>441814963</v>
      </c>
      <c r="Y100" s="7" t="str">
        <f t="shared" si="1"/>
        <v>DC</v>
      </c>
      <c r="Z100" s="7">
        <f t="shared" si="2"/>
        <v>0</v>
      </c>
      <c r="AA100" s="7">
        <f t="shared" si="3"/>
        <v>0</v>
      </c>
      <c r="AB100" s="7">
        <f t="shared" si="4"/>
        <v>0</v>
      </c>
      <c r="AC100" s="7">
        <f t="shared" si="5"/>
        <v>273</v>
      </c>
      <c r="AD100" s="7">
        <f t="shared" si="6"/>
        <v>0</v>
      </c>
      <c r="AE100" s="8" t="str" cm="1">
        <f t="array" ref="AE100">IFERROR(_xlfn.XLOOKUP(H100,Sheet1!$G:$G,Sheet1!$F:$F),IFERROR(_xlfn.XLOOKUP(1,(--($X$2:$X$1074=X100))*(--ISNUMBER(MATCH($H$2:$H$1074,Sheet1!$G:$G,0))),_xlfn.XLOOKUP($H$2:$H$1074,Sheet1!$G:$G,Sheet1!$F:$F,"")),"NOT FOUND"))</f>
        <v>GETKRTSFUT6416</v>
      </c>
      <c r="AF100" s="9" t="str">
        <f t="shared" si="9"/>
        <v>Mauve</v>
      </c>
      <c r="AG100" s="10" t="str">
        <f t="shared" si="10"/>
        <v>Bangalore</v>
      </c>
      <c r="AH100" s="8" t="str" cm="1">
        <f t="array" ref="AH100">IF(OR(J100="",AE100="",AE100="NOT FOUND"),"",IF(Y100="RP",_xlfn.LET(_xlpm.desc,_xlfn.XLOOKUP(1,(--(Sheet1!$F$2:$F$754=AE100))*(--ISNUMBER(FIND("-",Sheet1!$W$2:$W$754,FIND("-",Sheet1!$W$2:$W$754)+1))),Sheet1!$W$2:$W$754,""),IF(_xlpm.desc="","NOT FOUND",LEFT(_xlpm.desc,FIND("-",_xlpm.desc,FIND("-",_xlpm.desc)+1))&amp;AE100)),LEFT(J100,FIND("-",J100,FIND("-",J100)+1))&amp;AE100))</f>
        <v>KRTS-APWN26-GETKRTSFUT6416</v>
      </c>
    </row>
    <row r="101" spans="1:34" ht="15.75" customHeight="1" x14ac:dyDescent="0.2">
      <c r="A101" t="s">
        <v>30</v>
      </c>
      <c r="B101" t="s">
        <v>730</v>
      </c>
      <c r="C101" t="s">
        <v>1152</v>
      </c>
      <c r="D101" t="s">
        <v>1154</v>
      </c>
      <c r="E101" t="s">
        <v>34</v>
      </c>
      <c r="F101" t="s">
        <v>35</v>
      </c>
      <c r="G101" t="s">
        <v>55</v>
      </c>
      <c r="H101" t="s">
        <v>744</v>
      </c>
      <c r="I101" t="s">
        <v>745</v>
      </c>
      <c r="J101" t="s">
        <v>746</v>
      </c>
      <c r="K101" t="s">
        <v>474</v>
      </c>
      <c r="L101" t="s">
        <v>40</v>
      </c>
      <c r="M101">
        <v>1</v>
      </c>
      <c r="N101">
        <v>96</v>
      </c>
      <c r="O101">
        <v>96</v>
      </c>
      <c r="P101" t="s">
        <v>41</v>
      </c>
      <c r="Q101">
        <v>279.7</v>
      </c>
      <c r="R101">
        <v>279.7</v>
      </c>
      <c r="S101">
        <v>1342.56</v>
      </c>
      <c r="T101">
        <v>26851.200000000001</v>
      </c>
      <c r="U101">
        <v>5</v>
      </c>
      <c r="V101" t="s">
        <v>42</v>
      </c>
      <c r="W101" t="s">
        <v>474</v>
      </c>
      <c r="X101" s="6" t="str">
        <f t="shared" si="0"/>
        <v>441814963</v>
      </c>
      <c r="Y101" s="7" t="str">
        <f t="shared" si="1"/>
        <v>DC</v>
      </c>
      <c r="Z101" s="7">
        <f t="shared" si="2"/>
        <v>0</v>
      </c>
      <c r="AA101" s="7">
        <f t="shared" si="3"/>
        <v>0</v>
      </c>
      <c r="AB101" s="7">
        <f t="shared" si="4"/>
        <v>0</v>
      </c>
      <c r="AC101" s="7">
        <f t="shared" si="5"/>
        <v>0</v>
      </c>
      <c r="AD101" s="7">
        <f t="shared" si="6"/>
        <v>96</v>
      </c>
      <c r="AE101" s="8" t="str" cm="1">
        <f t="array" ref="AE101">IFERROR(_xlfn.XLOOKUP(H101,Sheet1!$G:$G,Sheet1!$F:$F),IFERROR(_xlfn.XLOOKUP(1,(--($X$2:$X$1074=X101))*(--ISNUMBER(MATCH($H$2:$H$1074,Sheet1!$G:$G,0))),_xlfn.XLOOKUP($H$2:$H$1074,Sheet1!$G:$G,Sheet1!$F:$F,"")),"NOT FOUND"))</f>
        <v>GETKRTSFUT6416</v>
      </c>
      <c r="AF101" s="9" t="str">
        <f t="shared" si="9"/>
        <v>Mauve</v>
      </c>
      <c r="AG101" s="10" t="str">
        <f t="shared" si="10"/>
        <v>Bangalore</v>
      </c>
      <c r="AH101" s="8" t="str" cm="1">
        <f t="array" ref="AH101">IF(OR(J101="",AE101="",AE101="NOT FOUND"),"",IF(Y101="RP",_xlfn.LET(_xlpm.desc,_xlfn.XLOOKUP(1,(--(Sheet1!$F$2:$F$754=AE101))*(--ISNUMBER(FIND("-",Sheet1!$W$2:$W$754,FIND("-",Sheet1!$W$2:$W$754)+1))),Sheet1!$W$2:$W$754,""),IF(_xlpm.desc="","NOT FOUND",LEFT(_xlpm.desc,FIND("-",_xlpm.desc,FIND("-",_xlpm.desc)+1))&amp;AE101)),LEFT(J101,FIND("-",J101,FIND("-",J101)+1))&amp;AE101))</f>
        <v>KRTS-APWN26-GETKRTSFUT6416</v>
      </c>
    </row>
    <row r="102" spans="1:34" ht="15.75" customHeight="1" x14ac:dyDescent="0.2">
      <c r="A102" t="s">
        <v>30</v>
      </c>
      <c r="B102" t="s">
        <v>747</v>
      </c>
      <c r="C102" t="s">
        <v>1152</v>
      </c>
      <c r="D102" t="s">
        <v>1154</v>
      </c>
      <c r="E102" t="s">
        <v>34</v>
      </c>
      <c r="F102" t="s">
        <v>35</v>
      </c>
      <c r="G102" t="s">
        <v>36</v>
      </c>
      <c r="H102" t="s">
        <v>749</v>
      </c>
      <c r="I102" t="s">
        <v>750</v>
      </c>
      <c r="J102" t="s">
        <v>751</v>
      </c>
      <c r="K102" t="s">
        <v>474</v>
      </c>
      <c r="L102" t="s">
        <v>40</v>
      </c>
      <c r="M102">
        <v>1</v>
      </c>
      <c r="N102">
        <v>64</v>
      </c>
      <c r="O102">
        <v>64</v>
      </c>
      <c r="P102" t="s">
        <v>41</v>
      </c>
      <c r="Q102">
        <v>279.7</v>
      </c>
      <c r="R102">
        <v>279.7</v>
      </c>
      <c r="S102">
        <v>895.04</v>
      </c>
      <c r="T102">
        <v>17900.8</v>
      </c>
      <c r="U102">
        <v>5</v>
      </c>
      <c r="V102" t="s">
        <v>42</v>
      </c>
      <c r="W102" t="s">
        <v>474</v>
      </c>
      <c r="X102" s="6" t="str">
        <f t="shared" si="0"/>
        <v>441814962</v>
      </c>
      <c r="Y102" s="7" t="str">
        <f t="shared" si="1"/>
        <v>DC</v>
      </c>
      <c r="Z102" s="7">
        <f t="shared" si="2"/>
        <v>64</v>
      </c>
      <c r="AA102" s="7">
        <f t="shared" si="3"/>
        <v>0</v>
      </c>
      <c r="AB102" s="7">
        <f t="shared" si="4"/>
        <v>0</v>
      </c>
      <c r="AC102" s="7">
        <f t="shared" si="5"/>
        <v>0</v>
      </c>
      <c r="AD102" s="7">
        <f t="shared" si="6"/>
        <v>0</v>
      </c>
      <c r="AE102" s="8" t="str" cm="1">
        <f t="array" ref="AE102">IFERROR(_xlfn.XLOOKUP(H102,Sheet1!$G:$G,Sheet1!$F:$F),IFERROR(_xlfn.XLOOKUP(1,(--($X$2:$X$1074=X102))*(--ISNUMBER(MATCH($H$2:$H$1074,Sheet1!$G:$G,0))),_xlfn.XLOOKUP($H$2:$H$1074,Sheet1!$G:$G,Sheet1!$F:$F,"")),"NOT FOUND"))</f>
        <v>GETKRTSFUT6415B</v>
      </c>
      <c r="AF102" s="9" t="str">
        <f t="shared" si="9"/>
        <v>RUST</v>
      </c>
      <c r="AG102" s="10" t="str">
        <f t="shared" si="10"/>
        <v>Bangalore</v>
      </c>
      <c r="AH102" s="8" t="str" cm="1">
        <f t="array" ref="AH102">IF(OR(J102="",AE102="",AE102="NOT FOUND"),"",IF(Y102="RP",_xlfn.LET(_xlpm.desc,_xlfn.XLOOKUP(1,(--(Sheet1!$F$2:$F$754=AE102))*(--ISNUMBER(FIND("-",Sheet1!$W$2:$W$754,FIND("-",Sheet1!$W$2:$W$754)+1))),Sheet1!$W$2:$W$754,""),IF(_xlpm.desc="","NOT FOUND",LEFT(_xlpm.desc,FIND("-",_xlpm.desc,FIND("-",_xlpm.desc)+1))&amp;AE102)),LEFT(J102,FIND("-",J102,FIND("-",J102)+1))&amp;AE102))</f>
        <v>KRTS-APWN26-GETKRTSFUT6415B</v>
      </c>
    </row>
    <row r="103" spans="1:34" ht="15.75" customHeight="1" x14ac:dyDescent="0.2">
      <c r="A103" t="s">
        <v>30</v>
      </c>
      <c r="B103" t="s">
        <v>747</v>
      </c>
      <c r="C103" t="s">
        <v>1152</v>
      </c>
      <c r="D103" t="s">
        <v>1154</v>
      </c>
      <c r="E103" t="s">
        <v>34</v>
      </c>
      <c r="F103" t="s">
        <v>35</v>
      </c>
      <c r="G103" t="s">
        <v>43</v>
      </c>
      <c r="H103" t="s">
        <v>752</v>
      </c>
      <c r="I103" t="s">
        <v>753</v>
      </c>
      <c r="J103" t="s">
        <v>754</v>
      </c>
      <c r="K103" t="s">
        <v>474</v>
      </c>
      <c r="L103" t="s">
        <v>40</v>
      </c>
      <c r="M103">
        <v>1</v>
      </c>
      <c r="N103">
        <v>273</v>
      </c>
      <c r="O103">
        <v>273</v>
      </c>
      <c r="P103" t="s">
        <v>41</v>
      </c>
      <c r="Q103">
        <v>279.7</v>
      </c>
      <c r="R103">
        <v>279.7</v>
      </c>
      <c r="S103">
        <v>3817.91</v>
      </c>
      <c r="T103">
        <v>76358.100000000006</v>
      </c>
      <c r="U103">
        <v>5</v>
      </c>
      <c r="V103" t="s">
        <v>42</v>
      </c>
      <c r="W103" t="s">
        <v>474</v>
      </c>
      <c r="X103" s="6" t="str">
        <f t="shared" si="0"/>
        <v>441814962</v>
      </c>
      <c r="Y103" s="7" t="str">
        <f t="shared" si="1"/>
        <v>DC</v>
      </c>
      <c r="Z103" s="7">
        <f t="shared" si="2"/>
        <v>0</v>
      </c>
      <c r="AA103" s="7">
        <f t="shared" si="3"/>
        <v>273</v>
      </c>
      <c r="AB103" s="7">
        <f t="shared" si="4"/>
        <v>0</v>
      </c>
      <c r="AC103" s="7">
        <f t="shared" si="5"/>
        <v>0</v>
      </c>
      <c r="AD103" s="7">
        <f t="shared" si="6"/>
        <v>0</v>
      </c>
      <c r="AE103" s="8" t="str" cm="1">
        <f t="array" ref="AE103">IFERROR(_xlfn.XLOOKUP(H103,Sheet1!$G:$G,Sheet1!$F:$F),IFERROR(_xlfn.XLOOKUP(1,(--($X$2:$X$1074=X103))*(--ISNUMBER(MATCH($H$2:$H$1074,Sheet1!$G:$G,0))),_xlfn.XLOOKUP($H$2:$H$1074,Sheet1!$G:$G,Sheet1!$F:$F,"")),"NOT FOUND"))</f>
        <v>GETKRTSFUT6415B</v>
      </c>
      <c r="AF103" s="9" t="str">
        <f t="shared" si="9"/>
        <v>RUST</v>
      </c>
      <c r="AG103" s="10" t="str">
        <f t="shared" si="10"/>
        <v>Bangalore</v>
      </c>
      <c r="AH103" s="8" t="str" cm="1">
        <f t="array" ref="AH103">IF(OR(J103="",AE103="",AE103="NOT FOUND"),"",IF(Y103="RP",_xlfn.LET(_xlpm.desc,_xlfn.XLOOKUP(1,(--(Sheet1!$F$2:$F$754=AE103))*(--ISNUMBER(FIND("-",Sheet1!$W$2:$W$754,FIND("-",Sheet1!$W$2:$W$754)+1))),Sheet1!$W$2:$W$754,""),IF(_xlpm.desc="","NOT FOUND",LEFT(_xlpm.desc,FIND("-",_xlpm.desc,FIND("-",_xlpm.desc)+1))&amp;AE103)),LEFT(J103,FIND("-",J103,FIND("-",J103)+1))&amp;AE103))</f>
        <v>KRTS-APWN26-GETKRTSFUT6415B</v>
      </c>
    </row>
    <row r="104" spans="1:34" ht="15.75" customHeight="1" x14ac:dyDescent="0.2">
      <c r="A104" t="s">
        <v>30</v>
      </c>
      <c r="B104" t="s">
        <v>747</v>
      </c>
      <c r="C104" t="s">
        <v>1152</v>
      </c>
      <c r="D104" t="s">
        <v>1154</v>
      </c>
      <c r="E104" t="s">
        <v>34</v>
      </c>
      <c r="F104" t="s">
        <v>35</v>
      </c>
      <c r="G104" t="s">
        <v>47</v>
      </c>
      <c r="H104" t="s">
        <v>755</v>
      </c>
      <c r="I104" t="s">
        <v>756</v>
      </c>
      <c r="J104" t="s">
        <v>757</v>
      </c>
      <c r="K104" t="s">
        <v>474</v>
      </c>
      <c r="L104" t="s">
        <v>40</v>
      </c>
      <c r="M104">
        <v>1</v>
      </c>
      <c r="N104">
        <v>257</v>
      </c>
      <c r="O104">
        <v>257</v>
      </c>
      <c r="P104" t="s">
        <v>41</v>
      </c>
      <c r="Q104">
        <v>279.7</v>
      </c>
      <c r="R104">
        <v>279.7</v>
      </c>
      <c r="S104">
        <v>3594.15</v>
      </c>
      <c r="T104">
        <v>71882.899999999994</v>
      </c>
      <c r="U104">
        <v>5</v>
      </c>
      <c r="V104" t="s">
        <v>42</v>
      </c>
      <c r="W104" t="s">
        <v>474</v>
      </c>
      <c r="X104" s="6" t="str">
        <f t="shared" si="0"/>
        <v>441814962</v>
      </c>
      <c r="Y104" s="7" t="str">
        <f t="shared" si="1"/>
        <v>DC</v>
      </c>
      <c r="Z104" s="7">
        <f t="shared" si="2"/>
        <v>0</v>
      </c>
      <c r="AA104" s="7">
        <f t="shared" si="3"/>
        <v>0</v>
      </c>
      <c r="AB104" s="7">
        <f t="shared" si="4"/>
        <v>257</v>
      </c>
      <c r="AC104" s="7">
        <f t="shared" si="5"/>
        <v>0</v>
      </c>
      <c r="AD104" s="7">
        <f t="shared" si="6"/>
        <v>0</v>
      </c>
      <c r="AE104" s="8" t="str" cm="1">
        <f t="array" ref="AE104">IFERROR(_xlfn.XLOOKUP(H104,Sheet1!$G:$G,Sheet1!$F:$F),IFERROR(_xlfn.XLOOKUP(1,(--($X$2:$X$1074=X104))*(--ISNUMBER(MATCH($H$2:$H$1074,Sheet1!$G:$G,0))),_xlfn.XLOOKUP($H$2:$H$1074,Sheet1!$G:$G,Sheet1!$F:$F,"")),"NOT FOUND"))</f>
        <v>GETKRTSFUT6415B</v>
      </c>
      <c r="AF104" s="9" t="str">
        <f t="shared" si="9"/>
        <v>RUST</v>
      </c>
      <c r="AG104" s="10" t="str">
        <f t="shared" si="10"/>
        <v>Bangalore</v>
      </c>
      <c r="AH104" s="8" t="str" cm="1">
        <f t="array" ref="AH104">IF(OR(J104="",AE104="",AE104="NOT FOUND"),"",IF(Y104="RP",_xlfn.LET(_xlpm.desc,_xlfn.XLOOKUP(1,(--(Sheet1!$F$2:$F$754=AE104))*(--ISNUMBER(FIND("-",Sheet1!$W$2:$W$754,FIND("-",Sheet1!$W$2:$W$754)+1))),Sheet1!$W$2:$W$754,""),IF(_xlpm.desc="","NOT FOUND",LEFT(_xlpm.desc,FIND("-",_xlpm.desc,FIND("-",_xlpm.desc)+1))&amp;AE104)),LEFT(J104,FIND("-",J104,FIND("-",J104)+1))&amp;AE104))</f>
        <v>KRTS-APWN26-GETKRTSFUT6415B</v>
      </c>
    </row>
    <row r="105" spans="1:34" ht="15.75" customHeight="1" x14ac:dyDescent="0.2">
      <c r="A105" t="s">
        <v>30</v>
      </c>
      <c r="B105" t="s">
        <v>747</v>
      </c>
      <c r="C105" t="s">
        <v>1152</v>
      </c>
      <c r="D105" t="s">
        <v>1154</v>
      </c>
      <c r="E105" t="s">
        <v>34</v>
      </c>
      <c r="F105" t="s">
        <v>35</v>
      </c>
      <c r="G105" t="s">
        <v>51</v>
      </c>
      <c r="H105" t="s">
        <v>758</v>
      </c>
      <c r="I105" t="s">
        <v>759</v>
      </c>
      <c r="J105" t="s">
        <v>760</v>
      </c>
      <c r="K105" t="s">
        <v>474</v>
      </c>
      <c r="L105" t="s">
        <v>40</v>
      </c>
      <c r="M105">
        <v>1</v>
      </c>
      <c r="N105">
        <v>273</v>
      </c>
      <c r="O105">
        <v>273</v>
      </c>
      <c r="P105" t="s">
        <v>41</v>
      </c>
      <c r="Q105">
        <v>279.7</v>
      </c>
      <c r="R105">
        <v>279.7</v>
      </c>
      <c r="S105">
        <v>3817.91</v>
      </c>
      <c r="T105">
        <v>76358.100000000006</v>
      </c>
      <c r="U105">
        <v>5</v>
      </c>
      <c r="V105" t="s">
        <v>42</v>
      </c>
      <c r="W105" t="s">
        <v>474</v>
      </c>
      <c r="X105" s="6" t="str">
        <f t="shared" si="0"/>
        <v>441814962</v>
      </c>
      <c r="Y105" s="7" t="str">
        <f t="shared" si="1"/>
        <v>DC</v>
      </c>
      <c r="Z105" s="7">
        <f t="shared" si="2"/>
        <v>0</v>
      </c>
      <c r="AA105" s="7">
        <f t="shared" si="3"/>
        <v>0</v>
      </c>
      <c r="AB105" s="7">
        <f t="shared" si="4"/>
        <v>0</v>
      </c>
      <c r="AC105" s="7">
        <f t="shared" si="5"/>
        <v>273</v>
      </c>
      <c r="AD105" s="7">
        <f t="shared" si="6"/>
        <v>0</v>
      </c>
      <c r="AE105" s="8" t="str" cm="1">
        <f t="array" ref="AE105">IFERROR(_xlfn.XLOOKUP(H105,Sheet1!$G:$G,Sheet1!$F:$F),IFERROR(_xlfn.XLOOKUP(1,(--($X$2:$X$1074=X105))*(--ISNUMBER(MATCH($H$2:$H$1074,Sheet1!$G:$G,0))),_xlfn.XLOOKUP($H$2:$H$1074,Sheet1!$G:$G,Sheet1!$F:$F,"")),"NOT FOUND"))</f>
        <v>GETKRTSFUT6415B</v>
      </c>
      <c r="AF105" s="9" t="str">
        <f t="shared" si="9"/>
        <v>RUST</v>
      </c>
      <c r="AG105" s="10" t="str">
        <f t="shared" si="10"/>
        <v>Bangalore</v>
      </c>
      <c r="AH105" s="8" t="str" cm="1">
        <f t="array" ref="AH105">IF(OR(J105="",AE105="",AE105="NOT FOUND"),"",IF(Y105="RP",_xlfn.LET(_xlpm.desc,_xlfn.XLOOKUP(1,(--(Sheet1!$F$2:$F$754=AE105))*(--ISNUMBER(FIND("-",Sheet1!$W$2:$W$754,FIND("-",Sheet1!$W$2:$W$754)+1))),Sheet1!$W$2:$W$754,""),IF(_xlpm.desc="","NOT FOUND",LEFT(_xlpm.desc,FIND("-",_xlpm.desc,FIND("-",_xlpm.desc)+1))&amp;AE105)),LEFT(J105,FIND("-",J105,FIND("-",J105)+1))&amp;AE105))</f>
        <v>KRTS-APWN26-GETKRTSFUT6415B</v>
      </c>
    </row>
    <row r="106" spans="1:34" ht="15.75" customHeight="1" x14ac:dyDescent="0.2">
      <c r="A106" t="s">
        <v>30</v>
      </c>
      <c r="B106" t="s">
        <v>747</v>
      </c>
      <c r="C106" t="s">
        <v>1152</v>
      </c>
      <c r="D106" t="s">
        <v>1154</v>
      </c>
      <c r="E106" t="s">
        <v>34</v>
      </c>
      <c r="F106" t="s">
        <v>35</v>
      </c>
      <c r="G106" t="s">
        <v>55</v>
      </c>
      <c r="H106" t="s">
        <v>761</v>
      </c>
      <c r="I106" t="s">
        <v>762</v>
      </c>
      <c r="J106" t="s">
        <v>763</v>
      </c>
      <c r="K106" t="s">
        <v>474</v>
      </c>
      <c r="L106" t="s">
        <v>40</v>
      </c>
      <c r="M106">
        <v>1</v>
      </c>
      <c r="N106">
        <v>96</v>
      </c>
      <c r="O106">
        <v>96</v>
      </c>
      <c r="P106" t="s">
        <v>41</v>
      </c>
      <c r="Q106">
        <v>279.7</v>
      </c>
      <c r="R106">
        <v>279.7</v>
      </c>
      <c r="S106">
        <v>1342.56</v>
      </c>
      <c r="T106">
        <v>26851.200000000001</v>
      </c>
      <c r="U106">
        <v>5</v>
      </c>
      <c r="V106" t="s">
        <v>42</v>
      </c>
      <c r="W106" t="s">
        <v>474</v>
      </c>
      <c r="X106" s="6" t="str">
        <f t="shared" si="0"/>
        <v>441814962</v>
      </c>
      <c r="Y106" s="7" t="str">
        <f t="shared" si="1"/>
        <v>DC</v>
      </c>
      <c r="Z106" s="7">
        <f t="shared" si="2"/>
        <v>0</v>
      </c>
      <c r="AA106" s="7">
        <f t="shared" si="3"/>
        <v>0</v>
      </c>
      <c r="AB106" s="7">
        <f t="shared" si="4"/>
        <v>0</v>
      </c>
      <c r="AC106" s="7">
        <f t="shared" si="5"/>
        <v>0</v>
      </c>
      <c r="AD106" s="7">
        <f t="shared" si="6"/>
        <v>96</v>
      </c>
      <c r="AE106" s="8" t="str" cm="1">
        <f t="array" ref="AE106">IFERROR(_xlfn.XLOOKUP(H106,Sheet1!$G:$G,Sheet1!$F:$F),IFERROR(_xlfn.XLOOKUP(1,(--($X$2:$X$1074=X106))*(--ISNUMBER(MATCH($H$2:$H$1074,Sheet1!$G:$G,0))),_xlfn.XLOOKUP($H$2:$H$1074,Sheet1!$G:$G,Sheet1!$F:$F,"")),"NOT FOUND"))</f>
        <v>GETKRTSFUT6415B</v>
      </c>
      <c r="AF106" s="9" t="str">
        <f t="shared" si="9"/>
        <v>RUST</v>
      </c>
      <c r="AG106" s="10" t="str">
        <f t="shared" si="10"/>
        <v>Bangalore</v>
      </c>
      <c r="AH106" s="8" t="str" cm="1">
        <f t="array" ref="AH106">IF(OR(J106="",AE106="",AE106="NOT FOUND"),"",IF(Y106="RP",_xlfn.LET(_xlpm.desc,_xlfn.XLOOKUP(1,(--(Sheet1!$F$2:$F$754=AE106))*(--ISNUMBER(FIND("-",Sheet1!$W$2:$W$754,FIND("-",Sheet1!$W$2:$W$754)+1))),Sheet1!$W$2:$W$754,""),IF(_xlpm.desc="","NOT FOUND",LEFT(_xlpm.desc,FIND("-",_xlpm.desc,FIND("-",_xlpm.desc)+1))&amp;AE106)),LEFT(J106,FIND("-",J106,FIND("-",J106)+1))&amp;AE106))</f>
        <v>KRTS-APWN26-GETKRTSFUT6415B</v>
      </c>
    </row>
    <row r="107" spans="1:34" ht="15.75" customHeight="1" x14ac:dyDescent="0.2">
      <c r="A107" t="s">
        <v>30</v>
      </c>
      <c r="B107" t="s">
        <v>764</v>
      </c>
      <c r="C107" t="s">
        <v>1152</v>
      </c>
      <c r="D107" t="s">
        <v>1154</v>
      </c>
      <c r="E107" t="s">
        <v>34</v>
      </c>
      <c r="F107" t="s">
        <v>35</v>
      </c>
      <c r="G107" t="s">
        <v>36</v>
      </c>
      <c r="H107" t="s">
        <v>766</v>
      </c>
      <c r="I107" t="s">
        <v>767</v>
      </c>
      <c r="J107" t="s">
        <v>768</v>
      </c>
      <c r="K107" t="s">
        <v>474</v>
      </c>
      <c r="L107" t="s">
        <v>40</v>
      </c>
      <c r="M107">
        <v>1</v>
      </c>
      <c r="N107">
        <v>64</v>
      </c>
      <c r="O107">
        <v>64</v>
      </c>
      <c r="P107" t="s">
        <v>41</v>
      </c>
      <c r="Q107">
        <v>279.7</v>
      </c>
      <c r="R107">
        <v>279.7</v>
      </c>
      <c r="S107">
        <v>895.04</v>
      </c>
      <c r="T107">
        <v>17900.8</v>
      </c>
      <c r="U107">
        <v>5</v>
      </c>
      <c r="V107" t="s">
        <v>42</v>
      </c>
      <c r="W107" t="s">
        <v>474</v>
      </c>
      <c r="X107" s="6" t="str">
        <f t="shared" si="0"/>
        <v>441814961</v>
      </c>
      <c r="Y107" s="7" t="str">
        <f t="shared" si="1"/>
        <v>DC</v>
      </c>
      <c r="Z107" s="7">
        <f t="shared" si="2"/>
        <v>64</v>
      </c>
      <c r="AA107" s="7">
        <f t="shared" si="3"/>
        <v>0</v>
      </c>
      <c r="AB107" s="7">
        <f t="shared" si="4"/>
        <v>0</v>
      </c>
      <c r="AC107" s="7">
        <f t="shared" si="5"/>
        <v>0</v>
      </c>
      <c r="AD107" s="7">
        <f t="shared" si="6"/>
        <v>0</v>
      </c>
      <c r="AE107" s="8" t="str" cm="1">
        <f t="array" ref="AE107">IFERROR(_xlfn.XLOOKUP(H107,Sheet1!$G:$G,Sheet1!$F:$F),IFERROR(_xlfn.XLOOKUP(1,(--($X$2:$X$1074=X107))*(--ISNUMBER(MATCH($H$2:$H$1074,Sheet1!$G:$G,0))),_xlfn.XLOOKUP($H$2:$H$1074,Sheet1!$G:$G,Sheet1!$F:$F,"")),"NOT FOUND"))</f>
        <v>GETKRTSFUT6415</v>
      </c>
      <c r="AF107" s="9" t="str">
        <f t="shared" si="9"/>
        <v>NAVY</v>
      </c>
      <c r="AG107" s="10" t="str">
        <f t="shared" si="10"/>
        <v>Bangalore</v>
      </c>
      <c r="AH107" s="8" t="str" cm="1">
        <f t="array" ref="AH107">IF(OR(J107="",AE107="",AE107="NOT FOUND"),"",IF(Y107="RP",_xlfn.LET(_xlpm.desc,_xlfn.XLOOKUP(1,(--(Sheet1!$F$2:$F$754=AE107))*(--ISNUMBER(FIND("-",Sheet1!$W$2:$W$754,FIND("-",Sheet1!$W$2:$W$754)+1))),Sheet1!$W$2:$W$754,""),IF(_xlpm.desc="","NOT FOUND",LEFT(_xlpm.desc,FIND("-",_xlpm.desc,FIND("-",_xlpm.desc)+1))&amp;AE107)),LEFT(J107,FIND("-",J107,FIND("-",J107)+1))&amp;AE107))</f>
        <v>KRTS-APWN26-GETKRTSFUT6415</v>
      </c>
    </row>
    <row r="108" spans="1:34" ht="15.75" customHeight="1" x14ac:dyDescent="0.2">
      <c r="A108" t="s">
        <v>30</v>
      </c>
      <c r="B108" t="s">
        <v>764</v>
      </c>
      <c r="C108" t="s">
        <v>1152</v>
      </c>
      <c r="D108" t="s">
        <v>1154</v>
      </c>
      <c r="E108" t="s">
        <v>34</v>
      </c>
      <c r="F108" t="s">
        <v>35</v>
      </c>
      <c r="G108" t="s">
        <v>43</v>
      </c>
      <c r="H108" t="s">
        <v>769</v>
      </c>
      <c r="I108" t="s">
        <v>770</v>
      </c>
      <c r="J108" t="s">
        <v>771</v>
      </c>
      <c r="K108" t="s">
        <v>474</v>
      </c>
      <c r="L108" t="s">
        <v>40</v>
      </c>
      <c r="M108">
        <v>1</v>
      </c>
      <c r="N108">
        <v>273</v>
      </c>
      <c r="O108">
        <v>273</v>
      </c>
      <c r="P108" t="s">
        <v>41</v>
      </c>
      <c r="Q108">
        <v>279.7</v>
      </c>
      <c r="R108">
        <v>279.7</v>
      </c>
      <c r="S108">
        <v>3817.91</v>
      </c>
      <c r="T108">
        <v>76358.100000000006</v>
      </c>
      <c r="U108">
        <v>5</v>
      </c>
      <c r="V108" t="s">
        <v>42</v>
      </c>
      <c r="W108" t="s">
        <v>474</v>
      </c>
      <c r="X108" s="6" t="str">
        <f t="shared" si="0"/>
        <v>441814961</v>
      </c>
      <c r="Y108" s="7" t="str">
        <f t="shared" si="1"/>
        <v>DC</v>
      </c>
      <c r="Z108" s="7">
        <f t="shared" si="2"/>
        <v>0</v>
      </c>
      <c r="AA108" s="7">
        <f t="shared" si="3"/>
        <v>273</v>
      </c>
      <c r="AB108" s="7">
        <f t="shared" si="4"/>
        <v>0</v>
      </c>
      <c r="AC108" s="7">
        <f t="shared" si="5"/>
        <v>0</v>
      </c>
      <c r="AD108" s="7">
        <f t="shared" si="6"/>
        <v>0</v>
      </c>
      <c r="AE108" s="8" t="str" cm="1">
        <f t="array" ref="AE108">IFERROR(_xlfn.XLOOKUP(H108,Sheet1!$G:$G,Sheet1!$F:$F),IFERROR(_xlfn.XLOOKUP(1,(--($X$2:$X$1074=X108))*(--ISNUMBER(MATCH($H$2:$H$1074,Sheet1!$G:$G,0))),_xlfn.XLOOKUP($H$2:$H$1074,Sheet1!$G:$G,Sheet1!$F:$F,"")),"NOT FOUND"))</f>
        <v>GETKRTSFUT6415</v>
      </c>
      <c r="AF108" s="9" t="str">
        <f t="shared" si="9"/>
        <v>NAVY</v>
      </c>
      <c r="AG108" s="10" t="str">
        <f t="shared" si="10"/>
        <v>Bangalore</v>
      </c>
      <c r="AH108" s="8" t="str" cm="1">
        <f t="array" ref="AH108">IF(OR(J108="",AE108="",AE108="NOT FOUND"),"",IF(Y108="RP",_xlfn.LET(_xlpm.desc,_xlfn.XLOOKUP(1,(--(Sheet1!$F$2:$F$754=AE108))*(--ISNUMBER(FIND("-",Sheet1!$W$2:$W$754,FIND("-",Sheet1!$W$2:$W$754)+1))),Sheet1!$W$2:$W$754,""),IF(_xlpm.desc="","NOT FOUND",LEFT(_xlpm.desc,FIND("-",_xlpm.desc,FIND("-",_xlpm.desc)+1))&amp;AE108)),LEFT(J108,FIND("-",J108,FIND("-",J108)+1))&amp;AE108))</f>
        <v>KRTS-APWN26-GETKRTSFUT6415</v>
      </c>
    </row>
    <row r="109" spans="1:34" ht="15.75" customHeight="1" x14ac:dyDescent="0.2">
      <c r="A109" t="s">
        <v>30</v>
      </c>
      <c r="B109" t="s">
        <v>764</v>
      </c>
      <c r="C109" t="s">
        <v>1152</v>
      </c>
      <c r="D109" t="s">
        <v>1154</v>
      </c>
      <c r="E109" t="s">
        <v>34</v>
      </c>
      <c r="F109" t="s">
        <v>35</v>
      </c>
      <c r="G109" t="s">
        <v>47</v>
      </c>
      <c r="H109" t="s">
        <v>772</v>
      </c>
      <c r="I109" t="s">
        <v>773</v>
      </c>
      <c r="J109" t="s">
        <v>774</v>
      </c>
      <c r="K109" t="s">
        <v>474</v>
      </c>
      <c r="L109" t="s">
        <v>40</v>
      </c>
      <c r="M109">
        <v>1</v>
      </c>
      <c r="N109">
        <v>257</v>
      </c>
      <c r="O109">
        <v>257</v>
      </c>
      <c r="P109" t="s">
        <v>41</v>
      </c>
      <c r="Q109">
        <v>279.7</v>
      </c>
      <c r="R109">
        <v>279.7</v>
      </c>
      <c r="S109">
        <v>3594.15</v>
      </c>
      <c r="T109">
        <v>71882.899999999994</v>
      </c>
      <c r="U109">
        <v>5</v>
      </c>
      <c r="V109" t="s">
        <v>42</v>
      </c>
      <c r="W109" t="s">
        <v>474</v>
      </c>
      <c r="X109" s="6" t="str">
        <f t="shared" si="0"/>
        <v>441814961</v>
      </c>
      <c r="Y109" s="7" t="str">
        <f t="shared" si="1"/>
        <v>DC</v>
      </c>
      <c r="Z109" s="7">
        <f t="shared" si="2"/>
        <v>0</v>
      </c>
      <c r="AA109" s="7">
        <f t="shared" si="3"/>
        <v>0</v>
      </c>
      <c r="AB109" s="7">
        <f t="shared" si="4"/>
        <v>257</v>
      </c>
      <c r="AC109" s="7">
        <f t="shared" si="5"/>
        <v>0</v>
      </c>
      <c r="AD109" s="7">
        <f t="shared" si="6"/>
        <v>0</v>
      </c>
      <c r="AE109" s="8" t="str" cm="1">
        <f t="array" ref="AE109">IFERROR(_xlfn.XLOOKUP(H109,Sheet1!$G:$G,Sheet1!$F:$F),IFERROR(_xlfn.XLOOKUP(1,(--($X$2:$X$1074=X109))*(--ISNUMBER(MATCH($H$2:$H$1074,Sheet1!$G:$G,0))),_xlfn.XLOOKUP($H$2:$H$1074,Sheet1!$G:$G,Sheet1!$F:$F,"")),"NOT FOUND"))</f>
        <v>GETKRTSFUT6415</v>
      </c>
      <c r="AF109" s="9" t="str">
        <f t="shared" si="9"/>
        <v>NAVY</v>
      </c>
      <c r="AG109" s="10" t="str">
        <f t="shared" si="10"/>
        <v>Bangalore</v>
      </c>
      <c r="AH109" s="8" t="str" cm="1">
        <f t="array" ref="AH109">IF(OR(J109="",AE109="",AE109="NOT FOUND"),"",IF(Y109="RP",_xlfn.LET(_xlpm.desc,_xlfn.XLOOKUP(1,(--(Sheet1!$F$2:$F$754=AE109))*(--ISNUMBER(FIND("-",Sheet1!$W$2:$W$754,FIND("-",Sheet1!$W$2:$W$754)+1))),Sheet1!$W$2:$W$754,""),IF(_xlpm.desc="","NOT FOUND",LEFT(_xlpm.desc,FIND("-",_xlpm.desc,FIND("-",_xlpm.desc)+1))&amp;AE109)),LEFT(J109,FIND("-",J109,FIND("-",J109)+1))&amp;AE109))</f>
        <v>KRTS-APWN26-GETKRTSFUT6415</v>
      </c>
    </row>
    <row r="110" spans="1:34" ht="15.75" customHeight="1" x14ac:dyDescent="0.2">
      <c r="A110" t="s">
        <v>30</v>
      </c>
      <c r="B110" t="s">
        <v>764</v>
      </c>
      <c r="C110" t="s">
        <v>1152</v>
      </c>
      <c r="D110" t="s">
        <v>1154</v>
      </c>
      <c r="E110" t="s">
        <v>34</v>
      </c>
      <c r="F110" t="s">
        <v>35</v>
      </c>
      <c r="G110" t="s">
        <v>51</v>
      </c>
      <c r="H110" t="s">
        <v>775</v>
      </c>
      <c r="I110" t="s">
        <v>776</v>
      </c>
      <c r="J110" t="s">
        <v>777</v>
      </c>
      <c r="K110" t="s">
        <v>474</v>
      </c>
      <c r="L110" t="s">
        <v>40</v>
      </c>
      <c r="M110">
        <v>1</v>
      </c>
      <c r="N110">
        <v>273</v>
      </c>
      <c r="O110">
        <v>273</v>
      </c>
      <c r="P110" t="s">
        <v>41</v>
      </c>
      <c r="Q110">
        <v>279.7</v>
      </c>
      <c r="R110">
        <v>279.7</v>
      </c>
      <c r="S110">
        <v>3817.91</v>
      </c>
      <c r="T110">
        <v>76358.100000000006</v>
      </c>
      <c r="U110">
        <v>5</v>
      </c>
      <c r="V110" t="s">
        <v>42</v>
      </c>
      <c r="W110" t="s">
        <v>474</v>
      </c>
      <c r="X110" s="6" t="str">
        <f t="shared" si="0"/>
        <v>441814961</v>
      </c>
      <c r="Y110" s="7" t="str">
        <f t="shared" si="1"/>
        <v>DC</v>
      </c>
      <c r="Z110" s="7">
        <f t="shared" si="2"/>
        <v>0</v>
      </c>
      <c r="AA110" s="7">
        <f t="shared" si="3"/>
        <v>0</v>
      </c>
      <c r="AB110" s="7">
        <f t="shared" si="4"/>
        <v>0</v>
      </c>
      <c r="AC110" s="7">
        <f t="shared" si="5"/>
        <v>273</v>
      </c>
      <c r="AD110" s="7">
        <f t="shared" si="6"/>
        <v>0</v>
      </c>
      <c r="AE110" s="8" t="str" cm="1">
        <f t="array" ref="AE110">IFERROR(_xlfn.XLOOKUP(H110,Sheet1!$G:$G,Sheet1!$F:$F),IFERROR(_xlfn.XLOOKUP(1,(--($X$2:$X$1074=X110))*(--ISNUMBER(MATCH($H$2:$H$1074,Sheet1!$G:$G,0))),_xlfn.XLOOKUP($H$2:$H$1074,Sheet1!$G:$G,Sheet1!$F:$F,"")),"NOT FOUND"))</f>
        <v>GETKRTSFUT6415</v>
      </c>
      <c r="AF110" s="9" t="str">
        <f t="shared" si="9"/>
        <v>NAVY</v>
      </c>
      <c r="AG110" s="10" t="str">
        <f t="shared" si="10"/>
        <v>Bangalore</v>
      </c>
      <c r="AH110" s="8" t="str" cm="1">
        <f t="array" ref="AH110">IF(OR(J110="",AE110="",AE110="NOT FOUND"),"",IF(Y110="RP",_xlfn.LET(_xlpm.desc,_xlfn.XLOOKUP(1,(--(Sheet1!$F$2:$F$754=AE110))*(--ISNUMBER(FIND("-",Sheet1!$W$2:$W$754,FIND("-",Sheet1!$W$2:$W$754)+1))),Sheet1!$W$2:$W$754,""),IF(_xlpm.desc="","NOT FOUND",LEFT(_xlpm.desc,FIND("-",_xlpm.desc,FIND("-",_xlpm.desc)+1))&amp;AE110)),LEFT(J110,FIND("-",J110,FIND("-",J110)+1))&amp;AE110))</f>
        <v>KRTS-APWN26-GETKRTSFUT6415</v>
      </c>
    </row>
    <row r="111" spans="1:34" ht="15.75" customHeight="1" x14ac:dyDescent="0.2">
      <c r="A111" t="s">
        <v>30</v>
      </c>
      <c r="B111" t="s">
        <v>764</v>
      </c>
      <c r="C111" t="s">
        <v>1152</v>
      </c>
      <c r="D111" t="s">
        <v>1154</v>
      </c>
      <c r="E111" t="s">
        <v>34</v>
      </c>
      <c r="F111" t="s">
        <v>35</v>
      </c>
      <c r="G111" t="s">
        <v>55</v>
      </c>
      <c r="H111" t="s">
        <v>778</v>
      </c>
      <c r="I111" t="s">
        <v>779</v>
      </c>
      <c r="J111" t="s">
        <v>780</v>
      </c>
      <c r="K111" t="s">
        <v>474</v>
      </c>
      <c r="L111" t="s">
        <v>40</v>
      </c>
      <c r="M111">
        <v>1</v>
      </c>
      <c r="N111">
        <v>96</v>
      </c>
      <c r="O111">
        <v>96</v>
      </c>
      <c r="P111" t="s">
        <v>41</v>
      </c>
      <c r="Q111">
        <v>279.7</v>
      </c>
      <c r="R111">
        <v>279.7</v>
      </c>
      <c r="S111">
        <v>1342.56</v>
      </c>
      <c r="T111">
        <v>26851.200000000001</v>
      </c>
      <c r="U111">
        <v>5</v>
      </c>
      <c r="V111" t="s">
        <v>42</v>
      </c>
      <c r="W111" t="s">
        <v>474</v>
      </c>
      <c r="X111" s="6" t="str">
        <f t="shared" si="0"/>
        <v>441814961</v>
      </c>
      <c r="Y111" s="7" t="str">
        <f t="shared" si="1"/>
        <v>DC</v>
      </c>
      <c r="Z111" s="7">
        <f t="shared" si="2"/>
        <v>0</v>
      </c>
      <c r="AA111" s="7">
        <f t="shared" si="3"/>
        <v>0</v>
      </c>
      <c r="AB111" s="7">
        <f t="shared" si="4"/>
        <v>0</v>
      </c>
      <c r="AC111" s="7">
        <f t="shared" si="5"/>
        <v>0</v>
      </c>
      <c r="AD111" s="7">
        <f t="shared" si="6"/>
        <v>96</v>
      </c>
      <c r="AE111" s="8" t="str" cm="1">
        <f t="array" ref="AE111">IFERROR(_xlfn.XLOOKUP(H111,Sheet1!$G:$G,Sheet1!$F:$F),IFERROR(_xlfn.XLOOKUP(1,(--($X$2:$X$1074=X111))*(--ISNUMBER(MATCH($H$2:$H$1074,Sheet1!$G:$G,0))),_xlfn.XLOOKUP($H$2:$H$1074,Sheet1!$G:$G,Sheet1!$F:$F,"")),"NOT FOUND"))</f>
        <v>GETKRTSFUT6415</v>
      </c>
      <c r="AF111" s="9" t="str">
        <f t="shared" si="9"/>
        <v>NAVY</v>
      </c>
      <c r="AG111" s="10" t="str">
        <f t="shared" si="10"/>
        <v>Bangalore</v>
      </c>
      <c r="AH111" s="8" t="str" cm="1">
        <f t="array" ref="AH111">IF(OR(J111="",AE111="",AE111="NOT FOUND"),"",IF(Y111="RP",_xlfn.LET(_xlpm.desc,_xlfn.XLOOKUP(1,(--(Sheet1!$F$2:$F$754=AE111))*(--ISNUMBER(FIND("-",Sheet1!$W$2:$W$754,FIND("-",Sheet1!$W$2:$W$754)+1))),Sheet1!$W$2:$W$754,""),IF(_xlpm.desc="","NOT FOUND",LEFT(_xlpm.desc,FIND("-",_xlpm.desc,FIND("-",_xlpm.desc)+1))&amp;AE111)),LEFT(J111,FIND("-",J111,FIND("-",J111)+1))&amp;AE111))</f>
        <v>KRTS-APWN26-GETKRTSFUT6415</v>
      </c>
    </row>
    <row r="112" spans="1:34" ht="15.75" customHeight="1" x14ac:dyDescent="0.2">
      <c r="A112" t="s">
        <v>59</v>
      </c>
      <c r="B112" t="s">
        <v>781</v>
      </c>
      <c r="C112" t="s">
        <v>1152</v>
      </c>
      <c r="D112" t="s">
        <v>1154</v>
      </c>
      <c r="E112" t="s">
        <v>34</v>
      </c>
      <c r="F112" t="s">
        <v>35</v>
      </c>
      <c r="G112" t="s">
        <v>36</v>
      </c>
      <c r="H112" t="s">
        <v>715</v>
      </c>
      <c r="I112" t="s">
        <v>716</v>
      </c>
      <c r="J112" t="s">
        <v>717</v>
      </c>
      <c r="K112" t="s">
        <v>474</v>
      </c>
      <c r="L112" t="s">
        <v>40</v>
      </c>
      <c r="M112">
        <v>1</v>
      </c>
      <c r="N112">
        <v>42</v>
      </c>
      <c r="O112">
        <v>42</v>
      </c>
      <c r="P112" t="s">
        <v>41</v>
      </c>
      <c r="Q112">
        <v>279.7</v>
      </c>
      <c r="R112">
        <v>279.7</v>
      </c>
      <c r="S112">
        <v>587.37</v>
      </c>
      <c r="T112">
        <v>11747.4</v>
      </c>
      <c r="U112">
        <v>5</v>
      </c>
      <c r="V112" t="s">
        <v>42</v>
      </c>
      <c r="W112" t="s">
        <v>474</v>
      </c>
      <c r="X112" s="6" t="str">
        <f t="shared" si="0"/>
        <v>441814964</v>
      </c>
      <c r="Y112" s="7" t="str">
        <f t="shared" si="1"/>
        <v>DC</v>
      </c>
      <c r="Z112" s="7">
        <f t="shared" si="2"/>
        <v>42</v>
      </c>
      <c r="AA112" s="7">
        <f t="shared" si="3"/>
        <v>0</v>
      </c>
      <c r="AB112" s="7">
        <f t="shared" si="4"/>
        <v>0</v>
      </c>
      <c r="AC112" s="7">
        <f t="shared" si="5"/>
        <v>0</v>
      </c>
      <c r="AD112" s="7">
        <f t="shared" si="6"/>
        <v>0</v>
      </c>
      <c r="AE112" s="8" t="str" cm="1">
        <f t="array" ref="AE112">IFERROR(_xlfn.XLOOKUP(H112,Sheet1!$G:$G,Sheet1!$F:$F),IFERROR(_xlfn.XLOOKUP(1,(--($X$2:$X$1074=X112))*(--ISNUMBER(MATCH($H$2:$H$1074,Sheet1!$G:$G,0))),_xlfn.XLOOKUP($H$2:$H$1074,Sheet1!$G:$G,Sheet1!$F:$F,"")),"NOT FOUND"))</f>
        <v>GETKRTSFUT6417</v>
      </c>
      <c r="AF112" s="9" t="str">
        <f t="shared" si="9"/>
        <v>MUSTARD</v>
      </c>
      <c r="AG112" s="10" t="str">
        <f t="shared" si="10"/>
        <v>JHAJJAR</v>
      </c>
      <c r="AH112" s="8" t="str" cm="1">
        <f t="array" ref="AH112">IF(OR(J112="",AE112="",AE112="NOT FOUND"),"",IF(Y112="RP",_xlfn.LET(_xlpm.desc,_xlfn.XLOOKUP(1,(--(Sheet1!$F$2:$F$754=AE112))*(--ISNUMBER(FIND("-",Sheet1!$W$2:$W$754,FIND("-",Sheet1!$W$2:$W$754)+1))),Sheet1!$W$2:$W$754,""),IF(_xlpm.desc="","NOT FOUND",LEFT(_xlpm.desc,FIND("-",_xlpm.desc,FIND("-",_xlpm.desc)+1))&amp;AE112)),LEFT(J112,FIND("-",J112,FIND("-",J112)+1))&amp;AE112))</f>
        <v>KRTS-APWN26-GETKRTSFUT6417</v>
      </c>
    </row>
    <row r="113" spans="1:34" ht="15.75" customHeight="1" x14ac:dyDescent="0.2">
      <c r="A113" t="s">
        <v>59</v>
      </c>
      <c r="B113" t="s">
        <v>781</v>
      </c>
      <c r="C113" t="s">
        <v>1152</v>
      </c>
      <c r="D113" t="s">
        <v>1154</v>
      </c>
      <c r="E113" t="s">
        <v>34</v>
      </c>
      <c r="F113" t="s">
        <v>35</v>
      </c>
      <c r="G113" t="s">
        <v>43</v>
      </c>
      <c r="H113" t="s">
        <v>718</v>
      </c>
      <c r="I113" t="s">
        <v>719</v>
      </c>
      <c r="J113" t="s">
        <v>720</v>
      </c>
      <c r="K113" t="s">
        <v>474</v>
      </c>
      <c r="L113" t="s">
        <v>40</v>
      </c>
      <c r="M113">
        <v>1</v>
      </c>
      <c r="N113">
        <v>178</v>
      </c>
      <c r="O113">
        <v>178</v>
      </c>
      <c r="P113" t="s">
        <v>41</v>
      </c>
      <c r="Q113">
        <v>279.7</v>
      </c>
      <c r="R113">
        <v>279.7</v>
      </c>
      <c r="S113">
        <v>2489.33</v>
      </c>
      <c r="T113">
        <v>49786.6</v>
      </c>
      <c r="U113">
        <v>5</v>
      </c>
      <c r="V113" t="s">
        <v>42</v>
      </c>
      <c r="W113" t="s">
        <v>474</v>
      </c>
      <c r="X113" s="6" t="str">
        <f t="shared" si="0"/>
        <v>441814964</v>
      </c>
      <c r="Y113" s="7" t="str">
        <f t="shared" si="1"/>
        <v>DC</v>
      </c>
      <c r="Z113" s="7">
        <f t="shared" si="2"/>
        <v>0</v>
      </c>
      <c r="AA113" s="7">
        <f t="shared" si="3"/>
        <v>178</v>
      </c>
      <c r="AB113" s="7">
        <f t="shared" si="4"/>
        <v>0</v>
      </c>
      <c r="AC113" s="7">
        <f t="shared" si="5"/>
        <v>0</v>
      </c>
      <c r="AD113" s="7">
        <f t="shared" si="6"/>
        <v>0</v>
      </c>
      <c r="AE113" s="8" t="str" cm="1">
        <f t="array" ref="AE113">IFERROR(_xlfn.XLOOKUP(H113,Sheet1!$G:$G,Sheet1!$F:$F),IFERROR(_xlfn.XLOOKUP(1,(--($X$2:$X$1074=X113))*(--ISNUMBER(MATCH($H$2:$H$1074,Sheet1!$G:$G,0))),_xlfn.XLOOKUP($H$2:$H$1074,Sheet1!$G:$G,Sheet1!$F:$F,"")),"NOT FOUND"))</f>
        <v>GETKRTSFUT6417</v>
      </c>
      <c r="AF113" s="9" t="str">
        <f t="shared" si="9"/>
        <v>MUSTARD</v>
      </c>
      <c r="AG113" s="10" t="str">
        <f t="shared" si="10"/>
        <v>JHAJJAR</v>
      </c>
      <c r="AH113" s="8" t="str" cm="1">
        <f t="array" ref="AH113">IF(OR(J113="",AE113="",AE113="NOT FOUND"),"",IF(Y113="RP",_xlfn.LET(_xlpm.desc,_xlfn.XLOOKUP(1,(--(Sheet1!$F$2:$F$754=AE113))*(--ISNUMBER(FIND("-",Sheet1!$W$2:$W$754,FIND("-",Sheet1!$W$2:$W$754)+1))),Sheet1!$W$2:$W$754,""),IF(_xlpm.desc="","NOT FOUND",LEFT(_xlpm.desc,FIND("-",_xlpm.desc,FIND("-",_xlpm.desc)+1))&amp;AE113)),LEFT(J113,FIND("-",J113,FIND("-",J113)+1))&amp;AE113))</f>
        <v>KRTS-APWN26-GETKRTSFUT6417</v>
      </c>
    </row>
    <row r="114" spans="1:34" ht="15.75" customHeight="1" x14ac:dyDescent="0.2">
      <c r="A114" t="s">
        <v>59</v>
      </c>
      <c r="B114" t="s">
        <v>781</v>
      </c>
      <c r="C114" t="s">
        <v>1152</v>
      </c>
      <c r="D114" t="s">
        <v>1154</v>
      </c>
      <c r="E114" t="s">
        <v>34</v>
      </c>
      <c r="F114" t="s">
        <v>35</v>
      </c>
      <c r="G114" t="s">
        <v>47</v>
      </c>
      <c r="H114" t="s">
        <v>721</v>
      </c>
      <c r="I114" t="s">
        <v>722</v>
      </c>
      <c r="J114" t="s">
        <v>723</v>
      </c>
      <c r="K114" t="s">
        <v>474</v>
      </c>
      <c r="L114" t="s">
        <v>40</v>
      </c>
      <c r="M114">
        <v>1</v>
      </c>
      <c r="N114">
        <v>167</v>
      </c>
      <c r="O114">
        <v>167</v>
      </c>
      <c r="P114" t="s">
        <v>41</v>
      </c>
      <c r="Q114">
        <v>279.7</v>
      </c>
      <c r="R114">
        <v>279.7</v>
      </c>
      <c r="S114">
        <v>2335.5</v>
      </c>
      <c r="T114">
        <v>46709.9</v>
      </c>
      <c r="U114">
        <v>5</v>
      </c>
      <c r="V114" t="s">
        <v>42</v>
      </c>
      <c r="W114" t="s">
        <v>474</v>
      </c>
      <c r="X114" s="6" t="str">
        <f t="shared" si="0"/>
        <v>441814964</v>
      </c>
      <c r="Y114" s="7" t="str">
        <f t="shared" si="1"/>
        <v>DC</v>
      </c>
      <c r="Z114" s="7">
        <f t="shared" si="2"/>
        <v>0</v>
      </c>
      <c r="AA114" s="7">
        <f t="shared" si="3"/>
        <v>0</v>
      </c>
      <c r="AB114" s="7">
        <f t="shared" si="4"/>
        <v>167</v>
      </c>
      <c r="AC114" s="7">
        <f t="shared" si="5"/>
        <v>0</v>
      </c>
      <c r="AD114" s="7">
        <f t="shared" si="6"/>
        <v>0</v>
      </c>
      <c r="AE114" s="8" t="str" cm="1">
        <f t="array" ref="AE114">IFERROR(_xlfn.XLOOKUP(H114,Sheet1!$G:$G,Sheet1!$F:$F),IFERROR(_xlfn.XLOOKUP(1,(--($X$2:$X$1074=X114))*(--ISNUMBER(MATCH($H$2:$H$1074,Sheet1!$G:$G,0))),_xlfn.XLOOKUP($H$2:$H$1074,Sheet1!$G:$G,Sheet1!$F:$F,"")),"NOT FOUND"))</f>
        <v>GETKRTSFUT6417</v>
      </c>
      <c r="AF114" s="9" t="str">
        <f t="shared" si="9"/>
        <v>MUSTARD</v>
      </c>
      <c r="AG114" s="10" t="str">
        <f t="shared" si="10"/>
        <v>JHAJJAR</v>
      </c>
      <c r="AH114" s="8" t="str" cm="1">
        <f t="array" ref="AH114">IF(OR(J114="",AE114="",AE114="NOT FOUND"),"",IF(Y114="RP",_xlfn.LET(_xlpm.desc,_xlfn.XLOOKUP(1,(--(Sheet1!$F$2:$F$754=AE114))*(--ISNUMBER(FIND("-",Sheet1!$W$2:$W$754,FIND("-",Sheet1!$W$2:$W$754)+1))),Sheet1!$W$2:$W$754,""),IF(_xlpm.desc="","NOT FOUND",LEFT(_xlpm.desc,FIND("-",_xlpm.desc,FIND("-",_xlpm.desc)+1))&amp;AE114)),LEFT(J114,FIND("-",J114,FIND("-",J114)+1))&amp;AE114))</f>
        <v>KRTS-APWN26-GETKRTSFUT6417</v>
      </c>
    </row>
    <row r="115" spans="1:34" ht="15.75" customHeight="1" x14ac:dyDescent="0.2">
      <c r="A115" t="s">
        <v>59</v>
      </c>
      <c r="B115" t="s">
        <v>781</v>
      </c>
      <c r="C115" t="s">
        <v>1152</v>
      </c>
      <c r="D115" t="s">
        <v>1154</v>
      </c>
      <c r="E115" t="s">
        <v>34</v>
      </c>
      <c r="F115" t="s">
        <v>35</v>
      </c>
      <c r="G115" t="s">
        <v>51</v>
      </c>
      <c r="H115" t="s">
        <v>724</v>
      </c>
      <c r="I115" t="s">
        <v>725</v>
      </c>
      <c r="J115" t="s">
        <v>726</v>
      </c>
      <c r="K115" t="s">
        <v>474</v>
      </c>
      <c r="L115" t="s">
        <v>40</v>
      </c>
      <c r="M115">
        <v>1</v>
      </c>
      <c r="N115">
        <v>178</v>
      </c>
      <c r="O115">
        <v>178</v>
      </c>
      <c r="P115" t="s">
        <v>41</v>
      </c>
      <c r="Q115">
        <v>279.7</v>
      </c>
      <c r="R115">
        <v>279.7</v>
      </c>
      <c r="S115">
        <v>2489.33</v>
      </c>
      <c r="T115">
        <v>49786.6</v>
      </c>
      <c r="U115">
        <v>5</v>
      </c>
      <c r="V115" t="s">
        <v>42</v>
      </c>
      <c r="W115" t="s">
        <v>474</v>
      </c>
      <c r="X115" s="6" t="str">
        <f t="shared" si="0"/>
        <v>441814964</v>
      </c>
      <c r="Y115" s="7" t="str">
        <f t="shared" si="1"/>
        <v>DC</v>
      </c>
      <c r="Z115" s="7">
        <f t="shared" si="2"/>
        <v>0</v>
      </c>
      <c r="AA115" s="7">
        <f t="shared" si="3"/>
        <v>0</v>
      </c>
      <c r="AB115" s="7">
        <f t="shared" si="4"/>
        <v>0</v>
      </c>
      <c r="AC115" s="7">
        <f t="shared" si="5"/>
        <v>178</v>
      </c>
      <c r="AD115" s="7">
        <f t="shared" si="6"/>
        <v>0</v>
      </c>
      <c r="AE115" s="8" t="str" cm="1">
        <f t="array" ref="AE115">IFERROR(_xlfn.XLOOKUP(H115,Sheet1!$G:$G,Sheet1!$F:$F),IFERROR(_xlfn.XLOOKUP(1,(--($X$2:$X$1074=X115))*(--ISNUMBER(MATCH($H$2:$H$1074,Sheet1!$G:$G,0))),_xlfn.XLOOKUP($H$2:$H$1074,Sheet1!$G:$G,Sheet1!$F:$F,"")),"NOT FOUND"))</f>
        <v>GETKRTSFUT6417</v>
      </c>
      <c r="AF115" s="9" t="str">
        <f t="shared" si="9"/>
        <v>MUSTARD</v>
      </c>
      <c r="AG115" s="10" t="str">
        <f t="shared" si="10"/>
        <v>JHAJJAR</v>
      </c>
      <c r="AH115" s="8" t="str" cm="1">
        <f t="array" ref="AH115">IF(OR(J115="",AE115="",AE115="NOT FOUND"),"",IF(Y115="RP",_xlfn.LET(_xlpm.desc,_xlfn.XLOOKUP(1,(--(Sheet1!$F$2:$F$754=AE115))*(--ISNUMBER(FIND("-",Sheet1!$W$2:$W$754,FIND("-",Sheet1!$W$2:$W$754)+1))),Sheet1!$W$2:$W$754,""),IF(_xlpm.desc="","NOT FOUND",LEFT(_xlpm.desc,FIND("-",_xlpm.desc,FIND("-",_xlpm.desc)+1))&amp;AE115)),LEFT(J115,FIND("-",J115,FIND("-",J115)+1))&amp;AE115))</f>
        <v>KRTS-APWN26-GETKRTSFUT6417</v>
      </c>
    </row>
    <row r="116" spans="1:34" ht="15.75" customHeight="1" x14ac:dyDescent="0.2">
      <c r="A116" t="s">
        <v>59</v>
      </c>
      <c r="B116" t="s">
        <v>781</v>
      </c>
      <c r="C116" t="s">
        <v>1152</v>
      </c>
      <c r="D116" t="s">
        <v>1154</v>
      </c>
      <c r="E116" t="s">
        <v>34</v>
      </c>
      <c r="F116" t="s">
        <v>35</v>
      </c>
      <c r="G116" t="s">
        <v>55</v>
      </c>
      <c r="H116" t="s">
        <v>727</v>
      </c>
      <c r="I116" t="s">
        <v>728</v>
      </c>
      <c r="J116" t="s">
        <v>729</v>
      </c>
      <c r="K116" t="s">
        <v>474</v>
      </c>
      <c r="L116" t="s">
        <v>40</v>
      </c>
      <c r="M116">
        <v>1</v>
      </c>
      <c r="N116">
        <v>63</v>
      </c>
      <c r="O116">
        <v>63</v>
      </c>
      <c r="P116" t="s">
        <v>41</v>
      </c>
      <c r="Q116">
        <v>279.7</v>
      </c>
      <c r="R116">
        <v>279.7</v>
      </c>
      <c r="S116">
        <v>881.06</v>
      </c>
      <c r="T116">
        <v>17621.099999999999</v>
      </c>
      <c r="U116">
        <v>5</v>
      </c>
      <c r="V116" t="s">
        <v>42</v>
      </c>
      <c r="W116" t="s">
        <v>474</v>
      </c>
      <c r="X116" s="6" t="str">
        <f t="shared" si="0"/>
        <v>441814964</v>
      </c>
      <c r="Y116" s="7" t="str">
        <f t="shared" si="1"/>
        <v>DC</v>
      </c>
      <c r="Z116" s="7">
        <f t="shared" si="2"/>
        <v>0</v>
      </c>
      <c r="AA116" s="7">
        <f t="shared" si="3"/>
        <v>0</v>
      </c>
      <c r="AB116" s="7">
        <f t="shared" si="4"/>
        <v>0</v>
      </c>
      <c r="AC116" s="7">
        <f t="shared" si="5"/>
        <v>0</v>
      </c>
      <c r="AD116" s="7">
        <f t="shared" si="6"/>
        <v>63</v>
      </c>
      <c r="AE116" s="8" t="str" cm="1">
        <f t="array" ref="AE116">IFERROR(_xlfn.XLOOKUP(H116,Sheet1!$G:$G,Sheet1!$F:$F),IFERROR(_xlfn.XLOOKUP(1,(--($X$2:$X$1074=X116))*(--ISNUMBER(MATCH($H$2:$H$1074,Sheet1!$G:$G,0))),_xlfn.XLOOKUP($H$2:$H$1074,Sheet1!$G:$G,Sheet1!$F:$F,"")),"NOT FOUND"))</f>
        <v>GETKRTSFUT6417</v>
      </c>
      <c r="AF116" s="9" t="str">
        <f t="shared" si="9"/>
        <v>MUSTARD</v>
      </c>
      <c r="AG116" s="10" t="str">
        <f t="shared" si="10"/>
        <v>JHAJJAR</v>
      </c>
      <c r="AH116" s="8" t="str" cm="1">
        <f t="array" ref="AH116">IF(OR(J116="",AE116="",AE116="NOT FOUND"),"",IF(Y116="RP",_xlfn.LET(_xlpm.desc,_xlfn.XLOOKUP(1,(--(Sheet1!$F$2:$F$754=AE116))*(--ISNUMBER(FIND("-",Sheet1!$W$2:$W$754,FIND("-",Sheet1!$W$2:$W$754)+1))),Sheet1!$W$2:$W$754,""),IF(_xlpm.desc="","NOT FOUND",LEFT(_xlpm.desc,FIND("-",_xlpm.desc,FIND("-",_xlpm.desc)+1))&amp;AE116)),LEFT(J116,FIND("-",J116,FIND("-",J116)+1))&amp;AE116))</f>
        <v>KRTS-APWN26-GETKRTSFUT6417</v>
      </c>
    </row>
    <row r="117" spans="1:34" ht="15.75" customHeight="1" x14ac:dyDescent="0.2">
      <c r="A117" t="s">
        <v>30</v>
      </c>
      <c r="B117" t="s">
        <v>782</v>
      </c>
      <c r="C117" t="s">
        <v>1152</v>
      </c>
      <c r="D117" t="s">
        <v>1154</v>
      </c>
      <c r="E117" t="s">
        <v>34</v>
      </c>
      <c r="F117" t="s">
        <v>35</v>
      </c>
      <c r="G117" t="s">
        <v>36</v>
      </c>
      <c r="H117" t="s">
        <v>784</v>
      </c>
      <c r="I117" t="s">
        <v>785</v>
      </c>
      <c r="J117" t="s">
        <v>786</v>
      </c>
      <c r="K117" t="s">
        <v>474</v>
      </c>
      <c r="L117" t="s">
        <v>40</v>
      </c>
      <c r="M117">
        <v>1</v>
      </c>
      <c r="N117">
        <v>64</v>
      </c>
      <c r="O117">
        <v>64</v>
      </c>
      <c r="P117" t="s">
        <v>41</v>
      </c>
      <c r="Q117">
        <v>279.7</v>
      </c>
      <c r="R117">
        <v>279.7</v>
      </c>
      <c r="S117">
        <v>895.04</v>
      </c>
      <c r="T117">
        <v>17900.8</v>
      </c>
      <c r="U117">
        <v>5</v>
      </c>
      <c r="V117" t="s">
        <v>42</v>
      </c>
      <c r="W117" t="s">
        <v>474</v>
      </c>
      <c r="X117" s="6" t="str">
        <f t="shared" si="0"/>
        <v>441814960</v>
      </c>
      <c r="Y117" s="7" t="str">
        <f t="shared" si="1"/>
        <v>DC</v>
      </c>
      <c r="Z117" s="7">
        <f t="shared" si="2"/>
        <v>64</v>
      </c>
      <c r="AA117" s="7">
        <f t="shared" si="3"/>
        <v>0</v>
      </c>
      <c r="AB117" s="7">
        <f t="shared" si="4"/>
        <v>0</v>
      </c>
      <c r="AC117" s="7">
        <f t="shared" si="5"/>
        <v>0</v>
      </c>
      <c r="AD117" s="7">
        <f t="shared" si="6"/>
        <v>0</v>
      </c>
      <c r="AE117" s="8" t="str" cm="1">
        <f t="array" ref="AE117">IFERROR(_xlfn.XLOOKUP(H117,Sheet1!$G:$G,Sheet1!$F:$F),IFERROR(_xlfn.XLOOKUP(1,(--($X$2:$X$1074=X117))*(--ISNUMBER(MATCH($H$2:$H$1074,Sheet1!$G:$G,0))),_xlfn.XLOOKUP($H$2:$H$1074,Sheet1!$G:$G,Sheet1!$F:$F,"")),"NOT FOUND"))</f>
        <v>GETKRTSFUT6414</v>
      </c>
      <c r="AF117" s="9" t="str">
        <f t="shared" si="9"/>
        <v>FUCHSIA</v>
      </c>
      <c r="AG117" s="10" t="str">
        <f t="shared" si="10"/>
        <v>Bangalore</v>
      </c>
      <c r="AH117" s="8" t="str" cm="1">
        <f t="array" ref="AH117">IF(OR(J117="",AE117="",AE117="NOT FOUND"),"",IF(Y117="RP",_xlfn.LET(_xlpm.desc,_xlfn.XLOOKUP(1,(--(Sheet1!$F$2:$F$754=AE117))*(--ISNUMBER(FIND("-",Sheet1!$W$2:$W$754,FIND("-",Sheet1!$W$2:$W$754)+1))),Sheet1!$W$2:$W$754,""),IF(_xlpm.desc="","NOT FOUND",LEFT(_xlpm.desc,FIND("-",_xlpm.desc,FIND("-",_xlpm.desc)+1))&amp;AE117)),LEFT(J117,FIND("-",J117,FIND("-",J117)+1))&amp;AE117))</f>
        <v>KRTS-APWN26-GETKRTSFUT6414</v>
      </c>
    </row>
    <row r="118" spans="1:34" ht="15.75" customHeight="1" x14ac:dyDescent="0.2">
      <c r="A118" t="s">
        <v>30</v>
      </c>
      <c r="B118" t="s">
        <v>782</v>
      </c>
      <c r="C118" t="s">
        <v>1152</v>
      </c>
      <c r="D118" t="s">
        <v>1154</v>
      </c>
      <c r="E118" t="s">
        <v>34</v>
      </c>
      <c r="F118" t="s">
        <v>35</v>
      </c>
      <c r="G118" t="s">
        <v>43</v>
      </c>
      <c r="H118" t="s">
        <v>787</v>
      </c>
      <c r="I118" t="s">
        <v>788</v>
      </c>
      <c r="J118" t="s">
        <v>789</v>
      </c>
      <c r="K118" t="s">
        <v>474</v>
      </c>
      <c r="L118" t="s">
        <v>40</v>
      </c>
      <c r="M118">
        <v>1</v>
      </c>
      <c r="N118">
        <v>273</v>
      </c>
      <c r="O118">
        <v>273</v>
      </c>
      <c r="P118" t="s">
        <v>41</v>
      </c>
      <c r="Q118">
        <v>279.7</v>
      </c>
      <c r="R118">
        <v>279.7</v>
      </c>
      <c r="S118">
        <v>3817.91</v>
      </c>
      <c r="T118">
        <v>76358.100000000006</v>
      </c>
      <c r="U118">
        <v>5</v>
      </c>
      <c r="V118" t="s">
        <v>42</v>
      </c>
      <c r="W118" t="s">
        <v>474</v>
      </c>
      <c r="X118" s="6" t="str">
        <f t="shared" si="0"/>
        <v>441814960</v>
      </c>
      <c r="Y118" s="7" t="str">
        <f t="shared" si="1"/>
        <v>DC</v>
      </c>
      <c r="Z118" s="7">
        <f t="shared" si="2"/>
        <v>0</v>
      </c>
      <c r="AA118" s="7">
        <f t="shared" si="3"/>
        <v>273</v>
      </c>
      <c r="AB118" s="7">
        <f t="shared" si="4"/>
        <v>0</v>
      </c>
      <c r="AC118" s="7">
        <f t="shared" si="5"/>
        <v>0</v>
      </c>
      <c r="AD118" s="7">
        <f t="shared" si="6"/>
        <v>0</v>
      </c>
      <c r="AE118" s="8" t="str" cm="1">
        <f t="array" ref="AE118">IFERROR(_xlfn.XLOOKUP(H118,Sheet1!$G:$G,Sheet1!$F:$F),IFERROR(_xlfn.XLOOKUP(1,(--($X$2:$X$1074=X118))*(--ISNUMBER(MATCH($H$2:$H$1074,Sheet1!$G:$G,0))),_xlfn.XLOOKUP($H$2:$H$1074,Sheet1!$G:$G,Sheet1!$F:$F,"")),"NOT FOUND"))</f>
        <v>GETKRTSFUT6414</v>
      </c>
      <c r="AF118" s="9" t="str">
        <f t="shared" si="9"/>
        <v>FUCHSIA</v>
      </c>
      <c r="AG118" s="10" t="str">
        <f t="shared" si="10"/>
        <v>Bangalore</v>
      </c>
      <c r="AH118" s="8" t="str" cm="1">
        <f t="array" ref="AH118">IF(OR(J118="",AE118="",AE118="NOT FOUND"),"",IF(Y118="RP",_xlfn.LET(_xlpm.desc,_xlfn.XLOOKUP(1,(--(Sheet1!$F$2:$F$754=AE118))*(--ISNUMBER(FIND("-",Sheet1!$W$2:$W$754,FIND("-",Sheet1!$W$2:$W$754)+1))),Sheet1!$W$2:$W$754,""),IF(_xlpm.desc="","NOT FOUND",LEFT(_xlpm.desc,FIND("-",_xlpm.desc,FIND("-",_xlpm.desc)+1))&amp;AE118)),LEFT(J118,FIND("-",J118,FIND("-",J118)+1))&amp;AE118))</f>
        <v>KRTS-APWN26-GETKRTSFUT6414</v>
      </c>
    </row>
    <row r="119" spans="1:34" ht="15.75" customHeight="1" x14ac:dyDescent="0.2">
      <c r="A119" t="s">
        <v>30</v>
      </c>
      <c r="B119" t="s">
        <v>782</v>
      </c>
      <c r="C119" t="s">
        <v>1152</v>
      </c>
      <c r="D119" t="s">
        <v>1154</v>
      </c>
      <c r="E119" t="s">
        <v>34</v>
      </c>
      <c r="F119" t="s">
        <v>35</v>
      </c>
      <c r="G119" t="s">
        <v>47</v>
      </c>
      <c r="H119" t="s">
        <v>790</v>
      </c>
      <c r="I119" t="s">
        <v>791</v>
      </c>
      <c r="J119" t="s">
        <v>792</v>
      </c>
      <c r="K119" t="s">
        <v>474</v>
      </c>
      <c r="L119" t="s">
        <v>40</v>
      </c>
      <c r="M119">
        <v>1</v>
      </c>
      <c r="N119">
        <v>257</v>
      </c>
      <c r="O119">
        <v>257</v>
      </c>
      <c r="P119" t="s">
        <v>41</v>
      </c>
      <c r="Q119">
        <v>279.7</v>
      </c>
      <c r="R119">
        <v>279.7</v>
      </c>
      <c r="S119">
        <v>3594.15</v>
      </c>
      <c r="T119">
        <v>71882.899999999994</v>
      </c>
      <c r="U119">
        <v>5</v>
      </c>
      <c r="V119" t="s">
        <v>42</v>
      </c>
      <c r="W119" t="s">
        <v>474</v>
      </c>
      <c r="X119" s="6" t="str">
        <f t="shared" si="0"/>
        <v>441814960</v>
      </c>
      <c r="Y119" s="7" t="str">
        <f t="shared" si="1"/>
        <v>DC</v>
      </c>
      <c r="Z119" s="7">
        <f t="shared" si="2"/>
        <v>0</v>
      </c>
      <c r="AA119" s="7">
        <f t="shared" si="3"/>
        <v>0</v>
      </c>
      <c r="AB119" s="7">
        <f t="shared" si="4"/>
        <v>257</v>
      </c>
      <c r="AC119" s="7">
        <f t="shared" si="5"/>
        <v>0</v>
      </c>
      <c r="AD119" s="7">
        <f t="shared" si="6"/>
        <v>0</v>
      </c>
      <c r="AE119" s="8" t="str" cm="1">
        <f t="array" ref="AE119">IFERROR(_xlfn.XLOOKUP(H119,Sheet1!$G:$G,Sheet1!$F:$F),IFERROR(_xlfn.XLOOKUP(1,(--($X$2:$X$1074=X119))*(--ISNUMBER(MATCH($H$2:$H$1074,Sheet1!$G:$G,0))),_xlfn.XLOOKUP($H$2:$H$1074,Sheet1!$G:$G,Sheet1!$F:$F,"")),"NOT FOUND"))</f>
        <v>GETKRTSFUT6414</v>
      </c>
      <c r="AF119" s="9" t="str">
        <f t="shared" si="9"/>
        <v>FUCHSIA</v>
      </c>
      <c r="AG119" s="10" t="str">
        <f t="shared" si="10"/>
        <v>Bangalore</v>
      </c>
      <c r="AH119" s="8" t="str" cm="1">
        <f t="array" ref="AH119">IF(OR(J119="",AE119="",AE119="NOT FOUND"),"",IF(Y119="RP",_xlfn.LET(_xlpm.desc,_xlfn.XLOOKUP(1,(--(Sheet1!$F$2:$F$754=AE119))*(--ISNUMBER(FIND("-",Sheet1!$W$2:$W$754,FIND("-",Sheet1!$W$2:$W$754)+1))),Sheet1!$W$2:$W$754,""),IF(_xlpm.desc="","NOT FOUND",LEFT(_xlpm.desc,FIND("-",_xlpm.desc,FIND("-",_xlpm.desc)+1))&amp;AE119)),LEFT(J119,FIND("-",J119,FIND("-",J119)+1))&amp;AE119))</f>
        <v>KRTS-APWN26-GETKRTSFUT6414</v>
      </c>
    </row>
    <row r="120" spans="1:34" ht="15.75" customHeight="1" x14ac:dyDescent="0.2">
      <c r="A120" t="s">
        <v>30</v>
      </c>
      <c r="B120" t="s">
        <v>782</v>
      </c>
      <c r="C120" t="s">
        <v>1152</v>
      </c>
      <c r="D120" t="s">
        <v>1154</v>
      </c>
      <c r="E120" t="s">
        <v>34</v>
      </c>
      <c r="F120" t="s">
        <v>35</v>
      </c>
      <c r="G120" t="s">
        <v>51</v>
      </c>
      <c r="H120" t="s">
        <v>793</v>
      </c>
      <c r="I120" t="s">
        <v>794</v>
      </c>
      <c r="J120" t="s">
        <v>795</v>
      </c>
      <c r="K120" t="s">
        <v>474</v>
      </c>
      <c r="L120" t="s">
        <v>40</v>
      </c>
      <c r="M120">
        <v>1</v>
      </c>
      <c r="N120">
        <v>273</v>
      </c>
      <c r="O120">
        <v>273</v>
      </c>
      <c r="P120" t="s">
        <v>41</v>
      </c>
      <c r="Q120">
        <v>279.7</v>
      </c>
      <c r="R120">
        <v>279.7</v>
      </c>
      <c r="S120">
        <v>3817.91</v>
      </c>
      <c r="T120">
        <v>76358.100000000006</v>
      </c>
      <c r="U120">
        <v>5</v>
      </c>
      <c r="V120" t="s">
        <v>42</v>
      </c>
      <c r="W120" t="s">
        <v>474</v>
      </c>
      <c r="X120" s="6" t="str">
        <f t="shared" si="0"/>
        <v>441814960</v>
      </c>
      <c r="Y120" s="7" t="str">
        <f t="shared" si="1"/>
        <v>DC</v>
      </c>
      <c r="Z120" s="7">
        <f t="shared" si="2"/>
        <v>0</v>
      </c>
      <c r="AA120" s="7">
        <f t="shared" si="3"/>
        <v>0</v>
      </c>
      <c r="AB120" s="7">
        <f t="shared" si="4"/>
        <v>0</v>
      </c>
      <c r="AC120" s="7">
        <f t="shared" si="5"/>
        <v>273</v>
      </c>
      <c r="AD120" s="7">
        <f t="shared" si="6"/>
        <v>0</v>
      </c>
      <c r="AE120" s="8" t="str" cm="1">
        <f t="array" ref="AE120">IFERROR(_xlfn.XLOOKUP(H120,Sheet1!$G:$G,Sheet1!$F:$F),IFERROR(_xlfn.XLOOKUP(1,(--($X$2:$X$1074=X120))*(--ISNUMBER(MATCH($H$2:$H$1074,Sheet1!$G:$G,0))),_xlfn.XLOOKUP($H$2:$H$1074,Sheet1!$G:$G,Sheet1!$F:$F,"")),"NOT FOUND"))</f>
        <v>GETKRTSFUT6414</v>
      </c>
      <c r="AF120" s="9" t="str">
        <f t="shared" si="9"/>
        <v>FUCHSIA</v>
      </c>
      <c r="AG120" s="10" t="str">
        <f t="shared" si="10"/>
        <v>Bangalore</v>
      </c>
      <c r="AH120" s="8" t="str" cm="1">
        <f t="array" ref="AH120">IF(OR(J120="",AE120="",AE120="NOT FOUND"),"",IF(Y120="RP",_xlfn.LET(_xlpm.desc,_xlfn.XLOOKUP(1,(--(Sheet1!$F$2:$F$754=AE120))*(--ISNUMBER(FIND("-",Sheet1!$W$2:$W$754,FIND("-",Sheet1!$W$2:$W$754)+1))),Sheet1!$W$2:$W$754,""),IF(_xlpm.desc="","NOT FOUND",LEFT(_xlpm.desc,FIND("-",_xlpm.desc,FIND("-",_xlpm.desc)+1))&amp;AE120)),LEFT(J120,FIND("-",J120,FIND("-",J120)+1))&amp;AE120))</f>
        <v>KRTS-APWN26-GETKRTSFUT6414</v>
      </c>
    </row>
    <row r="121" spans="1:34" ht="15.75" customHeight="1" x14ac:dyDescent="0.2">
      <c r="A121" t="s">
        <v>30</v>
      </c>
      <c r="B121" t="s">
        <v>782</v>
      </c>
      <c r="C121" t="s">
        <v>1152</v>
      </c>
      <c r="D121" t="s">
        <v>1154</v>
      </c>
      <c r="E121" t="s">
        <v>34</v>
      </c>
      <c r="F121" t="s">
        <v>35</v>
      </c>
      <c r="G121" t="s">
        <v>55</v>
      </c>
      <c r="H121" t="s">
        <v>796</v>
      </c>
      <c r="I121" t="s">
        <v>797</v>
      </c>
      <c r="J121" t="s">
        <v>798</v>
      </c>
      <c r="K121" t="s">
        <v>474</v>
      </c>
      <c r="L121" t="s">
        <v>40</v>
      </c>
      <c r="M121">
        <v>1</v>
      </c>
      <c r="N121">
        <v>96</v>
      </c>
      <c r="O121">
        <v>96</v>
      </c>
      <c r="P121" t="s">
        <v>41</v>
      </c>
      <c r="Q121">
        <v>279.7</v>
      </c>
      <c r="R121">
        <v>279.7</v>
      </c>
      <c r="S121">
        <v>1342.56</v>
      </c>
      <c r="T121">
        <v>26851.200000000001</v>
      </c>
      <c r="U121">
        <v>5</v>
      </c>
      <c r="V121" t="s">
        <v>42</v>
      </c>
      <c r="W121" t="s">
        <v>474</v>
      </c>
      <c r="X121" s="6" t="str">
        <f t="shared" si="0"/>
        <v>441814960</v>
      </c>
      <c r="Y121" s="7" t="str">
        <f t="shared" si="1"/>
        <v>DC</v>
      </c>
      <c r="Z121" s="7">
        <f t="shared" si="2"/>
        <v>0</v>
      </c>
      <c r="AA121" s="7">
        <f t="shared" si="3"/>
        <v>0</v>
      </c>
      <c r="AB121" s="7">
        <f t="shared" si="4"/>
        <v>0</v>
      </c>
      <c r="AC121" s="7">
        <f t="shared" si="5"/>
        <v>0</v>
      </c>
      <c r="AD121" s="7">
        <f t="shared" si="6"/>
        <v>96</v>
      </c>
      <c r="AE121" s="8" t="str" cm="1">
        <f t="array" ref="AE121">IFERROR(_xlfn.XLOOKUP(H121,Sheet1!$G:$G,Sheet1!$F:$F),IFERROR(_xlfn.XLOOKUP(1,(--($X$2:$X$1074=X121))*(--ISNUMBER(MATCH($H$2:$H$1074,Sheet1!$G:$G,0))),_xlfn.XLOOKUP($H$2:$H$1074,Sheet1!$G:$G,Sheet1!$F:$F,"")),"NOT FOUND"))</f>
        <v>GETKRTSFUT6414</v>
      </c>
      <c r="AF121" s="9" t="str">
        <f t="shared" si="9"/>
        <v>FUCHSIA</v>
      </c>
      <c r="AG121" s="10" t="str">
        <f t="shared" si="10"/>
        <v>Bangalore</v>
      </c>
      <c r="AH121" s="8" t="str" cm="1">
        <f t="array" ref="AH121">IF(OR(J121="",AE121="",AE121="NOT FOUND"),"",IF(Y121="RP",_xlfn.LET(_xlpm.desc,_xlfn.XLOOKUP(1,(--(Sheet1!$F$2:$F$754=AE121))*(--ISNUMBER(FIND("-",Sheet1!$W$2:$W$754,FIND("-",Sheet1!$W$2:$W$754)+1))),Sheet1!$W$2:$W$754,""),IF(_xlpm.desc="","NOT FOUND",LEFT(_xlpm.desc,FIND("-",_xlpm.desc,FIND("-",_xlpm.desc)+1))&amp;AE121)),LEFT(J121,FIND("-",J121,FIND("-",J121)+1))&amp;AE121))</f>
        <v>KRTS-APWN26-GETKRTSFUT6414</v>
      </c>
    </row>
    <row r="122" spans="1:34" ht="15.75" customHeight="1" x14ac:dyDescent="0.2">
      <c r="A122" t="s">
        <v>30</v>
      </c>
      <c r="B122" t="s">
        <v>799</v>
      </c>
      <c r="C122" t="s">
        <v>1152</v>
      </c>
      <c r="D122" t="s">
        <v>1154</v>
      </c>
      <c r="E122" t="s">
        <v>34</v>
      </c>
      <c r="F122" t="s">
        <v>35</v>
      </c>
      <c r="G122" t="s">
        <v>36</v>
      </c>
      <c r="H122" t="s">
        <v>801</v>
      </c>
      <c r="I122" t="s">
        <v>802</v>
      </c>
      <c r="J122" t="s">
        <v>803</v>
      </c>
      <c r="K122" t="s">
        <v>474</v>
      </c>
      <c r="L122" t="s">
        <v>40</v>
      </c>
      <c r="M122">
        <v>1</v>
      </c>
      <c r="N122">
        <v>64</v>
      </c>
      <c r="O122">
        <v>64</v>
      </c>
      <c r="P122" t="s">
        <v>41</v>
      </c>
      <c r="Q122">
        <v>279.7</v>
      </c>
      <c r="R122">
        <v>279.7</v>
      </c>
      <c r="S122">
        <v>895.04</v>
      </c>
      <c r="T122">
        <v>17900.8</v>
      </c>
      <c r="U122">
        <v>5</v>
      </c>
      <c r="V122" t="s">
        <v>42</v>
      </c>
      <c r="W122" t="s">
        <v>474</v>
      </c>
      <c r="X122" s="6" t="str">
        <f t="shared" si="0"/>
        <v>441814959</v>
      </c>
      <c r="Y122" s="7" t="str">
        <f t="shared" si="1"/>
        <v>DC</v>
      </c>
      <c r="Z122" s="7">
        <f t="shared" si="2"/>
        <v>64</v>
      </c>
      <c r="AA122" s="7">
        <f t="shared" si="3"/>
        <v>0</v>
      </c>
      <c r="AB122" s="7">
        <f t="shared" si="4"/>
        <v>0</v>
      </c>
      <c r="AC122" s="7">
        <f t="shared" si="5"/>
        <v>0</v>
      </c>
      <c r="AD122" s="7">
        <f t="shared" si="6"/>
        <v>0</v>
      </c>
      <c r="AE122" s="8" t="str" cm="1">
        <f t="array" ref="AE122">IFERROR(_xlfn.XLOOKUP(H122,Sheet1!$G:$G,Sheet1!$F:$F),IFERROR(_xlfn.XLOOKUP(1,(--($X$2:$X$1074=X122))*(--ISNUMBER(MATCH($H$2:$H$1074,Sheet1!$G:$G,0))),_xlfn.XLOOKUP($H$2:$H$1074,Sheet1!$G:$G,Sheet1!$F:$F,"")),"NOT FOUND"))</f>
        <v>GETKRTSFUT6413</v>
      </c>
      <c r="AF122" s="9" t="str">
        <f t="shared" si="9"/>
        <v>Mauve</v>
      </c>
      <c r="AG122" s="10" t="str">
        <f t="shared" si="10"/>
        <v>Bangalore</v>
      </c>
      <c r="AH122" s="8" t="str" cm="1">
        <f t="array" ref="AH122">IF(OR(J122="",AE122="",AE122="NOT FOUND"),"",IF(Y122="RP",_xlfn.LET(_xlpm.desc,_xlfn.XLOOKUP(1,(--(Sheet1!$F$2:$F$754=AE122))*(--ISNUMBER(FIND("-",Sheet1!$W$2:$W$754,FIND("-",Sheet1!$W$2:$W$754)+1))),Sheet1!$W$2:$W$754,""),IF(_xlpm.desc="","NOT FOUND",LEFT(_xlpm.desc,FIND("-",_xlpm.desc,FIND("-",_xlpm.desc)+1))&amp;AE122)),LEFT(J122,FIND("-",J122,FIND("-",J122)+1))&amp;AE122))</f>
        <v>KRTS-APWN26-GETKRTSFUT6413</v>
      </c>
    </row>
    <row r="123" spans="1:34" ht="15.75" customHeight="1" x14ac:dyDescent="0.2">
      <c r="A123" t="s">
        <v>30</v>
      </c>
      <c r="B123" t="s">
        <v>799</v>
      </c>
      <c r="C123" t="s">
        <v>1152</v>
      </c>
      <c r="D123" t="s">
        <v>1154</v>
      </c>
      <c r="E123" t="s">
        <v>34</v>
      </c>
      <c r="F123" t="s">
        <v>35</v>
      </c>
      <c r="G123" t="s">
        <v>43</v>
      </c>
      <c r="H123" t="s">
        <v>804</v>
      </c>
      <c r="I123" t="s">
        <v>805</v>
      </c>
      <c r="J123" t="s">
        <v>806</v>
      </c>
      <c r="K123" t="s">
        <v>474</v>
      </c>
      <c r="L123" t="s">
        <v>40</v>
      </c>
      <c r="M123">
        <v>1</v>
      </c>
      <c r="N123">
        <v>273</v>
      </c>
      <c r="O123">
        <v>273</v>
      </c>
      <c r="P123" t="s">
        <v>41</v>
      </c>
      <c r="Q123">
        <v>279.7</v>
      </c>
      <c r="R123">
        <v>279.7</v>
      </c>
      <c r="S123">
        <v>3817.91</v>
      </c>
      <c r="T123">
        <v>76358.100000000006</v>
      </c>
      <c r="U123">
        <v>5</v>
      </c>
      <c r="V123" t="s">
        <v>42</v>
      </c>
      <c r="W123" t="s">
        <v>474</v>
      </c>
      <c r="X123" s="6" t="str">
        <f t="shared" si="0"/>
        <v>441814959</v>
      </c>
      <c r="Y123" s="7" t="str">
        <f t="shared" si="1"/>
        <v>DC</v>
      </c>
      <c r="Z123" s="7">
        <f t="shared" si="2"/>
        <v>0</v>
      </c>
      <c r="AA123" s="7">
        <f t="shared" si="3"/>
        <v>273</v>
      </c>
      <c r="AB123" s="7">
        <f t="shared" si="4"/>
        <v>0</v>
      </c>
      <c r="AC123" s="7">
        <f t="shared" si="5"/>
        <v>0</v>
      </c>
      <c r="AD123" s="7">
        <f t="shared" si="6"/>
        <v>0</v>
      </c>
      <c r="AE123" s="8" t="str" cm="1">
        <f t="array" ref="AE123">IFERROR(_xlfn.XLOOKUP(H123,Sheet1!$G:$G,Sheet1!$F:$F),IFERROR(_xlfn.XLOOKUP(1,(--($X$2:$X$1074=X123))*(--ISNUMBER(MATCH($H$2:$H$1074,Sheet1!$G:$G,0))),_xlfn.XLOOKUP($H$2:$H$1074,Sheet1!$G:$G,Sheet1!$F:$F,"")),"NOT FOUND"))</f>
        <v>GETKRTSFUT6413</v>
      </c>
      <c r="AF123" s="9" t="str">
        <f t="shared" si="9"/>
        <v>Mauve</v>
      </c>
      <c r="AG123" s="10" t="str">
        <f t="shared" si="10"/>
        <v>Bangalore</v>
      </c>
      <c r="AH123" s="8" t="str" cm="1">
        <f t="array" ref="AH123">IF(OR(J123="",AE123="",AE123="NOT FOUND"),"",IF(Y123="RP",_xlfn.LET(_xlpm.desc,_xlfn.XLOOKUP(1,(--(Sheet1!$F$2:$F$754=AE123))*(--ISNUMBER(FIND("-",Sheet1!$W$2:$W$754,FIND("-",Sheet1!$W$2:$W$754)+1))),Sheet1!$W$2:$W$754,""),IF(_xlpm.desc="","NOT FOUND",LEFT(_xlpm.desc,FIND("-",_xlpm.desc,FIND("-",_xlpm.desc)+1))&amp;AE123)),LEFT(J123,FIND("-",J123,FIND("-",J123)+1))&amp;AE123))</f>
        <v>KRTS-APWN26-GETKRTSFUT6413</v>
      </c>
    </row>
    <row r="124" spans="1:34" ht="15.75" customHeight="1" x14ac:dyDescent="0.2">
      <c r="A124" t="s">
        <v>30</v>
      </c>
      <c r="B124" t="s">
        <v>799</v>
      </c>
      <c r="C124" t="s">
        <v>1152</v>
      </c>
      <c r="D124" t="s">
        <v>1154</v>
      </c>
      <c r="E124" t="s">
        <v>34</v>
      </c>
      <c r="F124" t="s">
        <v>35</v>
      </c>
      <c r="G124" t="s">
        <v>47</v>
      </c>
      <c r="H124" t="s">
        <v>807</v>
      </c>
      <c r="I124" t="s">
        <v>808</v>
      </c>
      <c r="J124" t="s">
        <v>809</v>
      </c>
      <c r="K124" t="s">
        <v>474</v>
      </c>
      <c r="L124" t="s">
        <v>40</v>
      </c>
      <c r="M124">
        <v>1</v>
      </c>
      <c r="N124">
        <v>257</v>
      </c>
      <c r="O124">
        <v>257</v>
      </c>
      <c r="P124" t="s">
        <v>41</v>
      </c>
      <c r="Q124">
        <v>279.7</v>
      </c>
      <c r="R124">
        <v>279.7</v>
      </c>
      <c r="S124">
        <v>3594.15</v>
      </c>
      <c r="T124">
        <v>71882.899999999994</v>
      </c>
      <c r="U124">
        <v>5</v>
      </c>
      <c r="V124" t="s">
        <v>42</v>
      </c>
      <c r="W124" t="s">
        <v>474</v>
      </c>
      <c r="X124" s="6" t="str">
        <f t="shared" si="0"/>
        <v>441814959</v>
      </c>
      <c r="Y124" s="7" t="str">
        <f t="shared" si="1"/>
        <v>DC</v>
      </c>
      <c r="Z124" s="7">
        <f t="shared" si="2"/>
        <v>0</v>
      </c>
      <c r="AA124" s="7">
        <f t="shared" si="3"/>
        <v>0</v>
      </c>
      <c r="AB124" s="7">
        <f t="shared" si="4"/>
        <v>257</v>
      </c>
      <c r="AC124" s="7">
        <f t="shared" si="5"/>
        <v>0</v>
      </c>
      <c r="AD124" s="7">
        <f t="shared" si="6"/>
        <v>0</v>
      </c>
      <c r="AE124" s="8" t="str" cm="1">
        <f t="array" ref="AE124">IFERROR(_xlfn.XLOOKUP(H124,Sheet1!$G:$G,Sheet1!$F:$F),IFERROR(_xlfn.XLOOKUP(1,(--($X$2:$X$1074=X124))*(--ISNUMBER(MATCH($H$2:$H$1074,Sheet1!$G:$G,0))),_xlfn.XLOOKUP($H$2:$H$1074,Sheet1!$G:$G,Sheet1!$F:$F,"")),"NOT FOUND"))</f>
        <v>GETKRTSFUT6413</v>
      </c>
      <c r="AF124" s="9" t="str">
        <f t="shared" si="9"/>
        <v>Mauve</v>
      </c>
      <c r="AG124" s="10" t="str">
        <f t="shared" si="10"/>
        <v>Bangalore</v>
      </c>
      <c r="AH124" s="8" t="str" cm="1">
        <f t="array" ref="AH124">IF(OR(J124="",AE124="",AE124="NOT FOUND"),"",IF(Y124="RP",_xlfn.LET(_xlpm.desc,_xlfn.XLOOKUP(1,(--(Sheet1!$F$2:$F$754=AE124))*(--ISNUMBER(FIND("-",Sheet1!$W$2:$W$754,FIND("-",Sheet1!$W$2:$W$754)+1))),Sheet1!$W$2:$W$754,""),IF(_xlpm.desc="","NOT FOUND",LEFT(_xlpm.desc,FIND("-",_xlpm.desc,FIND("-",_xlpm.desc)+1))&amp;AE124)),LEFT(J124,FIND("-",J124,FIND("-",J124)+1))&amp;AE124))</f>
        <v>KRTS-APWN26-GETKRTSFUT6413</v>
      </c>
    </row>
    <row r="125" spans="1:34" ht="15.75" customHeight="1" x14ac:dyDescent="0.2">
      <c r="A125" t="s">
        <v>30</v>
      </c>
      <c r="B125" t="s">
        <v>799</v>
      </c>
      <c r="C125" t="s">
        <v>1152</v>
      </c>
      <c r="D125" t="s">
        <v>1154</v>
      </c>
      <c r="E125" t="s">
        <v>34</v>
      </c>
      <c r="F125" t="s">
        <v>35</v>
      </c>
      <c r="G125" t="s">
        <v>51</v>
      </c>
      <c r="H125" t="s">
        <v>810</v>
      </c>
      <c r="I125" t="s">
        <v>811</v>
      </c>
      <c r="J125" t="s">
        <v>812</v>
      </c>
      <c r="K125" t="s">
        <v>474</v>
      </c>
      <c r="L125" t="s">
        <v>40</v>
      </c>
      <c r="M125">
        <v>1</v>
      </c>
      <c r="N125">
        <v>273</v>
      </c>
      <c r="O125">
        <v>273</v>
      </c>
      <c r="P125" t="s">
        <v>41</v>
      </c>
      <c r="Q125">
        <v>279.7</v>
      </c>
      <c r="R125">
        <v>279.7</v>
      </c>
      <c r="S125">
        <v>3817.91</v>
      </c>
      <c r="T125">
        <v>76358.100000000006</v>
      </c>
      <c r="U125">
        <v>5</v>
      </c>
      <c r="V125" t="s">
        <v>42</v>
      </c>
      <c r="W125" t="s">
        <v>474</v>
      </c>
      <c r="X125" s="6" t="str">
        <f t="shared" si="0"/>
        <v>441814959</v>
      </c>
      <c r="Y125" s="7" t="str">
        <f t="shared" si="1"/>
        <v>DC</v>
      </c>
      <c r="Z125" s="7">
        <f t="shared" si="2"/>
        <v>0</v>
      </c>
      <c r="AA125" s="7">
        <f t="shared" si="3"/>
        <v>0</v>
      </c>
      <c r="AB125" s="7">
        <f t="shared" si="4"/>
        <v>0</v>
      </c>
      <c r="AC125" s="7">
        <f t="shared" si="5"/>
        <v>273</v>
      </c>
      <c r="AD125" s="7">
        <f t="shared" si="6"/>
        <v>0</v>
      </c>
      <c r="AE125" s="8" t="str" cm="1">
        <f t="array" ref="AE125">IFERROR(_xlfn.XLOOKUP(H125,Sheet1!$G:$G,Sheet1!$F:$F),IFERROR(_xlfn.XLOOKUP(1,(--($X$2:$X$1074=X125))*(--ISNUMBER(MATCH($H$2:$H$1074,Sheet1!$G:$G,0))),_xlfn.XLOOKUP($H$2:$H$1074,Sheet1!$G:$G,Sheet1!$F:$F,"")),"NOT FOUND"))</f>
        <v>GETKRTSFUT6413</v>
      </c>
      <c r="AF125" s="9" t="str">
        <f t="shared" si="9"/>
        <v>Mauve</v>
      </c>
      <c r="AG125" s="10" t="str">
        <f t="shared" si="10"/>
        <v>Bangalore</v>
      </c>
      <c r="AH125" s="8" t="str" cm="1">
        <f t="array" ref="AH125">IF(OR(J125="",AE125="",AE125="NOT FOUND"),"",IF(Y125="RP",_xlfn.LET(_xlpm.desc,_xlfn.XLOOKUP(1,(--(Sheet1!$F$2:$F$754=AE125))*(--ISNUMBER(FIND("-",Sheet1!$W$2:$W$754,FIND("-",Sheet1!$W$2:$W$754)+1))),Sheet1!$W$2:$W$754,""),IF(_xlpm.desc="","NOT FOUND",LEFT(_xlpm.desc,FIND("-",_xlpm.desc,FIND("-",_xlpm.desc)+1))&amp;AE125)),LEFT(J125,FIND("-",J125,FIND("-",J125)+1))&amp;AE125))</f>
        <v>KRTS-APWN26-GETKRTSFUT6413</v>
      </c>
    </row>
    <row r="126" spans="1:34" ht="15.75" customHeight="1" x14ac:dyDescent="0.2">
      <c r="A126" t="s">
        <v>30</v>
      </c>
      <c r="B126" t="s">
        <v>799</v>
      </c>
      <c r="C126" t="s">
        <v>1152</v>
      </c>
      <c r="D126" t="s">
        <v>1154</v>
      </c>
      <c r="E126" t="s">
        <v>34</v>
      </c>
      <c r="F126" t="s">
        <v>35</v>
      </c>
      <c r="G126" t="s">
        <v>55</v>
      </c>
      <c r="H126" t="s">
        <v>813</v>
      </c>
      <c r="I126" t="s">
        <v>814</v>
      </c>
      <c r="J126" t="s">
        <v>815</v>
      </c>
      <c r="K126" t="s">
        <v>474</v>
      </c>
      <c r="L126" t="s">
        <v>40</v>
      </c>
      <c r="M126">
        <v>1</v>
      </c>
      <c r="N126">
        <v>96</v>
      </c>
      <c r="O126">
        <v>96</v>
      </c>
      <c r="P126" t="s">
        <v>41</v>
      </c>
      <c r="Q126">
        <v>279.7</v>
      </c>
      <c r="R126">
        <v>279.7</v>
      </c>
      <c r="S126">
        <v>1342.56</v>
      </c>
      <c r="T126">
        <v>26851.200000000001</v>
      </c>
      <c r="U126">
        <v>5</v>
      </c>
      <c r="V126" t="s">
        <v>42</v>
      </c>
      <c r="W126" t="s">
        <v>474</v>
      </c>
      <c r="X126" s="6" t="str">
        <f t="shared" si="0"/>
        <v>441814959</v>
      </c>
      <c r="Y126" s="7" t="str">
        <f t="shared" si="1"/>
        <v>DC</v>
      </c>
      <c r="Z126" s="7">
        <f t="shared" si="2"/>
        <v>0</v>
      </c>
      <c r="AA126" s="7">
        <f t="shared" si="3"/>
        <v>0</v>
      </c>
      <c r="AB126" s="7">
        <f t="shared" si="4"/>
        <v>0</v>
      </c>
      <c r="AC126" s="7">
        <f t="shared" si="5"/>
        <v>0</v>
      </c>
      <c r="AD126" s="7">
        <f t="shared" si="6"/>
        <v>96</v>
      </c>
      <c r="AE126" s="8" t="str" cm="1">
        <f t="array" ref="AE126">IFERROR(_xlfn.XLOOKUP(H126,Sheet1!$G:$G,Sheet1!$F:$F),IFERROR(_xlfn.XLOOKUP(1,(--($X$2:$X$1074=X126))*(--ISNUMBER(MATCH($H$2:$H$1074,Sheet1!$G:$G,0))),_xlfn.XLOOKUP($H$2:$H$1074,Sheet1!$G:$G,Sheet1!$F:$F,"")),"NOT FOUND"))</f>
        <v>GETKRTSFUT6413</v>
      </c>
      <c r="AF126" s="9" t="str">
        <f t="shared" si="9"/>
        <v>Mauve</v>
      </c>
      <c r="AG126" s="10" t="str">
        <f t="shared" si="10"/>
        <v>Bangalore</v>
      </c>
      <c r="AH126" s="8" t="str" cm="1">
        <f t="array" ref="AH126">IF(OR(J126="",AE126="",AE126="NOT FOUND"),"",IF(Y126="RP",_xlfn.LET(_xlpm.desc,_xlfn.XLOOKUP(1,(--(Sheet1!$F$2:$F$754=AE126))*(--ISNUMBER(FIND("-",Sheet1!$W$2:$W$754,FIND("-",Sheet1!$W$2:$W$754)+1))),Sheet1!$W$2:$W$754,""),IF(_xlpm.desc="","NOT FOUND",LEFT(_xlpm.desc,FIND("-",_xlpm.desc,FIND("-",_xlpm.desc)+1))&amp;AE126)),LEFT(J126,FIND("-",J126,FIND("-",J126)+1))&amp;AE126))</f>
        <v>KRTS-APWN26-GETKRTSFUT6413</v>
      </c>
    </row>
    <row r="127" spans="1:34" ht="15.75" customHeight="1" x14ac:dyDescent="0.2">
      <c r="A127" t="s">
        <v>59</v>
      </c>
      <c r="B127" t="s">
        <v>816</v>
      </c>
      <c r="C127" t="s">
        <v>1152</v>
      </c>
      <c r="D127" t="s">
        <v>1154</v>
      </c>
      <c r="E127" t="s">
        <v>34</v>
      </c>
      <c r="F127" t="s">
        <v>35</v>
      </c>
      <c r="G127" t="s">
        <v>36</v>
      </c>
      <c r="H127" t="s">
        <v>732</v>
      </c>
      <c r="I127" t="s">
        <v>733</v>
      </c>
      <c r="J127" t="s">
        <v>734</v>
      </c>
      <c r="K127" t="s">
        <v>474</v>
      </c>
      <c r="L127" t="s">
        <v>40</v>
      </c>
      <c r="M127">
        <v>1</v>
      </c>
      <c r="N127">
        <v>42</v>
      </c>
      <c r="O127">
        <v>42</v>
      </c>
      <c r="P127" t="s">
        <v>41</v>
      </c>
      <c r="Q127">
        <v>279.7</v>
      </c>
      <c r="R127">
        <v>279.7</v>
      </c>
      <c r="S127">
        <v>587.37</v>
      </c>
      <c r="T127">
        <v>11747.4</v>
      </c>
      <c r="U127">
        <v>5</v>
      </c>
      <c r="V127" t="s">
        <v>42</v>
      </c>
      <c r="W127" t="s">
        <v>474</v>
      </c>
      <c r="X127" s="6" t="str">
        <f t="shared" si="0"/>
        <v>441814963</v>
      </c>
      <c r="Y127" s="7" t="str">
        <f t="shared" si="1"/>
        <v>DC</v>
      </c>
      <c r="Z127" s="7">
        <f t="shared" si="2"/>
        <v>42</v>
      </c>
      <c r="AA127" s="7">
        <f t="shared" si="3"/>
        <v>0</v>
      </c>
      <c r="AB127" s="7">
        <f t="shared" si="4"/>
        <v>0</v>
      </c>
      <c r="AC127" s="7">
        <f t="shared" si="5"/>
        <v>0</v>
      </c>
      <c r="AD127" s="7">
        <f t="shared" si="6"/>
        <v>0</v>
      </c>
      <c r="AE127" s="8" t="str" cm="1">
        <f t="array" ref="AE127">IFERROR(_xlfn.XLOOKUP(H127,Sheet1!$G:$G,Sheet1!$F:$F),IFERROR(_xlfn.XLOOKUP(1,(--($X$2:$X$1074=X127))*(--ISNUMBER(MATCH($H$2:$H$1074,Sheet1!$G:$G,0))),_xlfn.XLOOKUP($H$2:$H$1074,Sheet1!$G:$G,Sheet1!$F:$F,"")),"NOT FOUND"))</f>
        <v>GETKRTSFUT6416</v>
      </c>
      <c r="AF127" s="9" t="str">
        <f t="shared" si="9"/>
        <v>Mauve</v>
      </c>
      <c r="AG127" s="10" t="str">
        <f t="shared" si="10"/>
        <v>JHAJJAR</v>
      </c>
      <c r="AH127" s="8" t="str" cm="1">
        <f t="array" ref="AH127">IF(OR(J127="",AE127="",AE127="NOT FOUND"),"",IF(Y127="RP",_xlfn.LET(_xlpm.desc,_xlfn.XLOOKUP(1,(--(Sheet1!$F$2:$F$754=AE127))*(--ISNUMBER(FIND("-",Sheet1!$W$2:$W$754,FIND("-",Sheet1!$W$2:$W$754)+1))),Sheet1!$W$2:$W$754,""),IF(_xlpm.desc="","NOT FOUND",LEFT(_xlpm.desc,FIND("-",_xlpm.desc,FIND("-",_xlpm.desc)+1))&amp;AE127)),LEFT(J127,FIND("-",J127,FIND("-",J127)+1))&amp;AE127))</f>
        <v>KRTS-APWN26-GETKRTSFUT6416</v>
      </c>
    </row>
    <row r="128" spans="1:34" ht="15.75" customHeight="1" x14ac:dyDescent="0.2">
      <c r="A128" t="s">
        <v>59</v>
      </c>
      <c r="B128" t="s">
        <v>816</v>
      </c>
      <c r="C128" t="s">
        <v>1152</v>
      </c>
      <c r="D128" t="s">
        <v>1154</v>
      </c>
      <c r="E128" t="s">
        <v>34</v>
      </c>
      <c r="F128" t="s">
        <v>35</v>
      </c>
      <c r="G128" t="s">
        <v>43</v>
      </c>
      <c r="H128" t="s">
        <v>735</v>
      </c>
      <c r="I128" t="s">
        <v>736</v>
      </c>
      <c r="J128" t="s">
        <v>737</v>
      </c>
      <c r="K128" t="s">
        <v>474</v>
      </c>
      <c r="L128" t="s">
        <v>40</v>
      </c>
      <c r="M128">
        <v>1</v>
      </c>
      <c r="N128">
        <v>178</v>
      </c>
      <c r="O128">
        <v>178</v>
      </c>
      <c r="P128" t="s">
        <v>41</v>
      </c>
      <c r="Q128">
        <v>279.7</v>
      </c>
      <c r="R128">
        <v>279.7</v>
      </c>
      <c r="S128">
        <v>2489.33</v>
      </c>
      <c r="T128">
        <v>49786.6</v>
      </c>
      <c r="U128">
        <v>5</v>
      </c>
      <c r="V128" t="s">
        <v>42</v>
      </c>
      <c r="W128" t="s">
        <v>474</v>
      </c>
      <c r="X128" s="6" t="str">
        <f t="shared" si="0"/>
        <v>441814963</v>
      </c>
      <c r="Y128" s="7" t="str">
        <f t="shared" si="1"/>
        <v>DC</v>
      </c>
      <c r="Z128" s="7">
        <f t="shared" si="2"/>
        <v>0</v>
      </c>
      <c r="AA128" s="7">
        <f t="shared" si="3"/>
        <v>178</v>
      </c>
      <c r="AB128" s="7">
        <f t="shared" si="4"/>
        <v>0</v>
      </c>
      <c r="AC128" s="7">
        <f t="shared" si="5"/>
        <v>0</v>
      </c>
      <c r="AD128" s="7">
        <f t="shared" si="6"/>
        <v>0</v>
      </c>
      <c r="AE128" s="8" t="str" cm="1">
        <f t="array" ref="AE128">IFERROR(_xlfn.XLOOKUP(H128,Sheet1!$G:$G,Sheet1!$F:$F),IFERROR(_xlfn.XLOOKUP(1,(--($X$2:$X$1074=X128))*(--ISNUMBER(MATCH($H$2:$H$1074,Sheet1!$G:$G,0))),_xlfn.XLOOKUP($H$2:$H$1074,Sheet1!$G:$G,Sheet1!$F:$F,"")),"NOT FOUND"))</f>
        <v>GETKRTSFUT6416</v>
      </c>
      <c r="AF128" s="9" t="str">
        <f t="shared" si="9"/>
        <v>Mauve</v>
      </c>
      <c r="AG128" s="10" t="str">
        <f t="shared" si="10"/>
        <v>JHAJJAR</v>
      </c>
      <c r="AH128" s="8" t="str" cm="1">
        <f t="array" ref="AH128">IF(OR(J128="",AE128="",AE128="NOT FOUND"),"",IF(Y128="RP",_xlfn.LET(_xlpm.desc,_xlfn.XLOOKUP(1,(--(Sheet1!$F$2:$F$754=AE128))*(--ISNUMBER(FIND("-",Sheet1!$W$2:$W$754,FIND("-",Sheet1!$W$2:$W$754)+1))),Sheet1!$W$2:$W$754,""),IF(_xlpm.desc="","NOT FOUND",LEFT(_xlpm.desc,FIND("-",_xlpm.desc,FIND("-",_xlpm.desc)+1))&amp;AE128)),LEFT(J128,FIND("-",J128,FIND("-",J128)+1))&amp;AE128))</f>
        <v>KRTS-APWN26-GETKRTSFUT6416</v>
      </c>
    </row>
    <row r="129" spans="1:34" ht="15.75" customHeight="1" x14ac:dyDescent="0.2">
      <c r="A129" t="s">
        <v>59</v>
      </c>
      <c r="B129" t="s">
        <v>816</v>
      </c>
      <c r="C129" t="s">
        <v>1152</v>
      </c>
      <c r="D129" t="s">
        <v>1154</v>
      </c>
      <c r="E129" t="s">
        <v>34</v>
      </c>
      <c r="F129" t="s">
        <v>35</v>
      </c>
      <c r="G129" t="s">
        <v>47</v>
      </c>
      <c r="H129" t="s">
        <v>738</v>
      </c>
      <c r="I129" t="s">
        <v>739</v>
      </c>
      <c r="J129" t="s">
        <v>740</v>
      </c>
      <c r="K129" t="s">
        <v>474</v>
      </c>
      <c r="L129" t="s">
        <v>40</v>
      </c>
      <c r="M129">
        <v>1</v>
      </c>
      <c r="N129">
        <v>167</v>
      </c>
      <c r="O129">
        <v>167</v>
      </c>
      <c r="P129" t="s">
        <v>41</v>
      </c>
      <c r="Q129">
        <v>279.7</v>
      </c>
      <c r="R129">
        <v>279.7</v>
      </c>
      <c r="S129">
        <v>2335.5</v>
      </c>
      <c r="T129">
        <v>46709.9</v>
      </c>
      <c r="U129">
        <v>5</v>
      </c>
      <c r="V129" t="s">
        <v>42</v>
      </c>
      <c r="W129" t="s">
        <v>474</v>
      </c>
      <c r="X129" s="6" t="str">
        <f t="shared" si="0"/>
        <v>441814963</v>
      </c>
      <c r="Y129" s="7" t="str">
        <f t="shared" si="1"/>
        <v>DC</v>
      </c>
      <c r="Z129" s="7">
        <f t="shared" si="2"/>
        <v>0</v>
      </c>
      <c r="AA129" s="7">
        <f t="shared" si="3"/>
        <v>0</v>
      </c>
      <c r="AB129" s="7">
        <f t="shared" si="4"/>
        <v>167</v>
      </c>
      <c r="AC129" s="7">
        <f t="shared" si="5"/>
        <v>0</v>
      </c>
      <c r="AD129" s="7">
        <f t="shared" si="6"/>
        <v>0</v>
      </c>
      <c r="AE129" s="8" t="str" cm="1">
        <f t="array" ref="AE129">IFERROR(_xlfn.XLOOKUP(H129,Sheet1!$G:$G,Sheet1!$F:$F),IFERROR(_xlfn.XLOOKUP(1,(--($X$2:$X$1074=X129))*(--ISNUMBER(MATCH($H$2:$H$1074,Sheet1!$G:$G,0))),_xlfn.XLOOKUP($H$2:$H$1074,Sheet1!$G:$G,Sheet1!$F:$F,"")),"NOT FOUND"))</f>
        <v>GETKRTSFUT6416</v>
      </c>
      <c r="AF129" s="9" t="str">
        <f t="shared" si="9"/>
        <v>Mauve</v>
      </c>
      <c r="AG129" s="10" t="str">
        <f t="shared" si="10"/>
        <v>JHAJJAR</v>
      </c>
      <c r="AH129" s="8" t="str" cm="1">
        <f t="array" ref="AH129">IF(OR(J129="",AE129="",AE129="NOT FOUND"),"",IF(Y129="RP",_xlfn.LET(_xlpm.desc,_xlfn.XLOOKUP(1,(--(Sheet1!$F$2:$F$754=AE129))*(--ISNUMBER(FIND("-",Sheet1!$W$2:$W$754,FIND("-",Sheet1!$W$2:$W$754)+1))),Sheet1!$W$2:$W$754,""),IF(_xlpm.desc="","NOT FOUND",LEFT(_xlpm.desc,FIND("-",_xlpm.desc,FIND("-",_xlpm.desc)+1))&amp;AE129)),LEFT(J129,FIND("-",J129,FIND("-",J129)+1))&amp;AE129))</f>
        <v>KRTS-APWN26-GETKRTSFUT6416</v>
      </c>
    </row>
    <row r="130" spans="1:34" ht="15.75" customHeight="1" x14ac:dyDescent="0.2">
      <c r="A130" t="s">
        <v>59</v>
      </c>
      <c r="B130" t="s">
        <v>816</v>
      </c>
      <c r="C130" t="s">
        <v>1152</v>
      </c>
      <c r="D130" t="s">
        <v>1154</v>
      </c>
      <c r="E130" t="s">
        <v>34</v>
      </c>
      <c r="F130" t="s">
        <v>35</v>
      </c>
      <c r="G130" t="s">
        <v>51</v>
      </c>
      <c r="H130" t="s">
        <v>741</v>
      </c>
      <c r="I130" t="s">
        <v>742</v>
      </c>
      <c r="J130" t="s">
        <v>743</v>
      </c>
      <c r="K130" t="s">
        <v>474</v>
      </c>
      <c r="L130" t="s">
        <v>40</v>
      </c>
      <c r="M130">
        <v>1</v>
      </c>
      <c r="N130">
        <v>178</v>
      </c>
      <c r="O130">
        <v>178</v>
      </c>
      <c r="P130" t="s">
        <v>41</v>
      </c>
      <c r="Q130">
        <v>279.7</v>
      </c>
      <c r="R130">
        <v>279.7</v>
      </c>
      <c r="S130">
        <v>2489.33</v>
      </c>
      <c r="T130">
        <v>49786.6</v>
      </c>
      <c r="U130">
        <v>5</v>
      </c>
      <c r="V130" t="s">
        <v>42</v>
      </c>
      <c r="W130" t="s">
        <v>474</v>
      </c>
      <c r="X130" s="6" t="str">
        <f t="shared" si="0"/>
        <v>441814963</v>
      </c>
      <c r="Y130" s="7" t="str">
        <f t="shared" si="1"/>
        <v>DC</v>
      </c>
      <c r="Z130" s="7">
        <f t="shared" si="2"/>
        <v>0</v>
      </c>
      <c r="AA130" s="7">
        <f t="shared" si="3"/>
        <v>0</v>
      </c>
      <c r="AB130" s="7">
        <f t="shared" si="4"/>
        <v>0</v>
      </c>
      <c r="AC130" s="7">
        <f t="shared" si="5"/>
        <v>178</v>
      </c>
      <c r="AD130" s="7">
        <f t="shared" si="6"/>
        <v>0</v>
      </c>
      <c r="AE130" s="8" t="str" cm="1">
        <f t="array" ref="AE130">IFERROR(_xlfn.XLOOKUP(H130,Sheet1!$G:$G,Sheet1!$F:$F),IFERROR(_xlfn.XLOOKUP(1,(--($X$2:$X$1074=X130))*(--ISNUMBER(MATCH($H$2:$H$1074,Sheet1!$G:$G,0))),_xlfn.XLOOKUP($H$2:$H$1074,Sheet1!$G:$G,Sheet1!$F:$F,"")),"NOT FOUND"))</f>
        <v>GETKRTSFUT6416</v>
      </c>
      <c r="AF130" s="9" t="str">
        <f t="shared" si="9"/>
        <v>Mauve</v>
      </c>
      <c r="AG130" s="10" t="str">
        <f t="shared" si="10"/>
        <v>JHAJJAR</v>
      </c>
      <c r="AH130" s="8" t="str" cm="1">
        <f t="array" ref="AH130">IF(OR(J130="",AE130="",AE130="NOT FOUND"),"",IF(Y130="RP",_xlfn.LET(_xlpm.desc,_xlfn.XLOOKUP(1,(--(Sheet1!$F$2:$F$754=AE130))*(--ISNUMBER(FIND("-",Sheet1!$W$2:$W$754,FIND("-",Sheet1!$W$2:$W$754)+1))),Sheet1!$W$2:$W$754,""),IF(_xlpm.desc="","NOT FOUND",LEFT(_xlpm.desc,FIND("-",_xlpm.desc,FIND("-",_xlpm.desc)+1))&amp;AE130)),LEFT(J130,FIND("-",J130,FIND("-",J130)+1))&amp;AE130))</f>
        <v>KRTS-APWN26-GETKRTSFUT6416</v>
      </c>
    </row>
    <row r="131" spans="1:34" ht="15.75" customHeight="1" x14ac:dyDescent="0.2">
      <c r="A131" t="s">
        <v>59</v>
      </c>
      <c r="B131" t="s">
        <v>816</v>
      </c>
      <c r="C131" t="s">
        <v>1152</v>
      </c>
      <c r="D131" t="s">
        <v>1154</v>
      </c>
      <c r="E131" t="s">
        <v>34</v>
      </c>
      <c r="F131" t="s">
        <v>35</v>
      </c>
      <c r="G131" t="s">
        <v>55</v>
      </c>
      <c r="H131" t="s">
        <v>744</v>
      </c>
      <c r="I131" t="s">
        <v>745</v>
      </c>
      <c r="J131" t="s">
        <v>746</v>
      </c>
      <c r="K131" t="s">
        <v>474</v>
      </c>
      <c r="L131" t="s">
        <v>40</v>
      </c>
      <c r="M131">
        <v>1</v>
      </c>
      <c r="N131">
        <v>63</v>
      </c>
      <c r="O131">
        <v>63</v>
      </c>
      <c r="P131" t="s">
        <v>41</v>
      </c>
      <c r="Q131">
        <v>279.7</v>
      </c>
      <c r="R131">
        <v>279.7</v>
      </c>
      <c r="S131">
        <v>881.06</v>
      </c>
      <c r="T131">
        <v>17621.099999999999</v>
      </c>
      <c r="U131">
        <v>5</v>
      </c>
      <c r="V131" t="s">
        <v>42</v>
      </c>
      <c r="W131" t="s">
        <v>474</v>
      </c>
      <c r="X131" s="6" t="str">
        <f t="shared" si="0"/>
        <v>441814963</v>
      </c>
      <c r="Y131" s="7" t="str">
        <f t="shared" si="1"/>
        <v>DC</v>
      </c>
      <c r="Z131" s="7">
        <f t="shared" si="2"/>
        <v>0</v>
      </c>
      <c r="AA131" s="7">
        <f t="shared" si="3"/>
        <v>0</v>
      </c>
      <c r="AB131" s="7">
        <f t="shared" si="4"/>
        <v>0</v>
      </c>
      <c r="AC131" s="7">
        <f t="shared" si="5"/>
        <v>0</v>
      </c>
      <c r="AD131" s="7">
        <f t="shared" si="6"/>
        <v>63</v>
      </c>
      <c r="AE131" s="8" t="str" cm="1">
        <f t="array" ref="AE131">IFERROR(_xlfn.XLOOKUP(H131,Sheet1!$G:$G,Sheet1!$F:$F),IFERROR(_xlfn.XLOOKUP(1,(--($X$2:$X$1074=X131))*(--ISNUMBER(MATCH($H$2:$H$1074,Sheet1!$G:$G,0))),_xlfn.XLOOKUP($H$2:$H$1074,Sheet1!$G:$G,Sheet1!$F:$F,"")),"NOT FOUND"))</f>
        <v>GETKRTSFUT6416</v>
      </c>
      <c r="AF131" s="9" t="str">
        <f t="shared" ref="AF131:AF194" si="11">IFERROR(IF(ISNUMBER(SEARCH("(RP)",J131)),TRIM(SUBSTITUTE(MID(J131,10,LEN(J131)),"(RP)","")),TRIM(MID(J131,FIND(",",J131)+1,FIND(",",J131,FIND(",",J131)+1)-FIND(",",J131)-1))),"")</f>
        <v>Mauve</v>
      </c>
      <c r="AG131" s="10" t="str">
        <f t="shared" ref="AG131:AG194" si="12">IF(A131="SZAF","Bangalore",IF(A131="SAEX","JHAJJAR",IF(A131="S0EU","HARIPAL","")))</f>
        <v>JHAJJAR</v>
      </c>
      <c r="AH131" s="8" t="str" cm="1">
        <f t="array" ref="AH131">IF(OR(J131="",AE131="",AE131="NOT FOUND"),"",IF(Y131="RP",_xlfn.LET(_xlpm.desc,_xlfn.XLOOKUP(1,(--(Sheet1!$F$2:$F$754=AE131))*(--ISNUMBER(FIND("-",Sheet1!$W$2:$W$754,FIND("-",Sheet1!$W$2:$W$754)+1))),Sheet1!$W$2:$W$754,""),IF(_xlpm.desc="","NOT FOUND",LEFT(_xlpm.desc,FIND("-",_xlpm.desc,FIND("-",_xlpm.desc)+1))&amp;AE131)),LEFT(J131,FIND("-",J131,FIND("-",J131)+1))&amp;AE131))</f>
        <v>KRTS-APWN26-GETKRTSFUT6416</v>
      </c>
    </row>
    <row r="132" spans="1:34" ht="15.75" customHeight="1" x14ac:dyDescent="0.2">
      <c r="A132" t="s">
        <v>59</v>
      </c>
      <c r="B132" t="s">
        <v>817</v>
      </c>
      <c r="C132" t="s">
        <v>1152</v>
      </c>
      <c r="D132" t="s">
        <v>1154</v>
      </c>
      <c r="E132" t="s">
        <v>34</v>
      </c>
      <c r="F132" t="s">
        <v>35</v>
      </c>
      <c r="G132" t="s">
        <v>36</v>
      </c>
      <c r="H132" t="s">
        <v>749</v>
      </c>
      <c r="I132" t="s">
        <v>750</v>
      </c>
      <c r="J132" t="s">
        <v>751</v>
      </c>
      <c r="K132" t="s">
        <v>474</v>
      </c>
      <c r="L132" t="s">
        <v>40</v>
      </c>
      <c r="M132">
        <v>1</v>
      </c>
      <c r="N132">
        <v>42</v>
      </c>
      <c r="O132">
        <v>42</v>
      </c>
      <c r="P132" t="s">
        <v>41</v>
      </c>
      <c r="Q132">
        <v>279.7</v>
      </c>
      <c r="R132">
        <v>279.7</v>
      </c>
      <c r="S132">
        <v>587.37</v>
      </c>
      <c r="T132">
        <v>11747.4</v>
      </c>
      <c r="U132">
        <v>5</v>
      </c>
      <c r="V132" t="s">
        <v>42</v>
      </c>
      <c r="W132" t="s">
        <v>474</v>
      </c>
      <c r="X132" s="6" t="str">
        <f t="shared" si="0"/>
        <v>441814962</v>
      </c>
      <c r="Y132" s="7" t="str">
        <f t="shared" si="1"/>
        <v>DC</v>
      </c>
      <c r="Z132" s="7">
        <f t="shared" si="2"/>
        <v>42</v>
      </c>
      <c r="AA132" s="7">
        <f t="shared" si="3"/>
        <v>0</v>
      </c>
      <c r="AB132" s="7">
        <f t="shared" si="4"/>
        <v>0</v>
      </c>
      <c r="AC132" s="7">
        <f t="shared" si="5"/>
        <v>0</v>
      </c>
      <c r="AD132" s="7">
        <f t="shared" si="6"/>
        <v>0</v>
      </c>
      <c r="AE132" s="8" t="str" cm="1">
        <f t="array" ref="AE132">IFERROR(_xlfn.XLOOKUP(H132,Sheet1!$G:$G,Sheet1!$F:$F),IFERROR(_xlfn.XLOOKUP(1,(--($X$2:$X$1074=X132))*(--ISNUMBER(MATCH($H$2:$H$1074,Sheet1!$G:$G,0))),_xlfn.XLOOKUP($H$2:$H$1074,Sheet1!$G:$G,Sheet1!$F:$F,"")),"NOT FOUND"))</f>
        <v>GETKRTSFUT6415B</v>
      </c>
      <c r="AF132" s="9" t="str">
        <f t="shared" si="11"/>
        <v>RUST</v>
      </c>
      <c r="AG132" s="10" t="str">
        <f t="shared" si="12"/>
        <v>JHAJJAR</v>
      </c>
      <c r="AH132" s="8" t="str" cm="1">
        <f t="array" ref="AH132">IF(OR(J132="",AE132="",AE132="NOT FOUND"),"",IF(Y132="RP",_xlfn.LET(_xlpm.desc,_xlfn.XLOOKUP(1,(--(Sheet1!$F$2:$F$754=AE132))*(--ISNUMBER(FIND("-",Sheet1!$W$2:$W$754,FIND("-",Sheet1!$W$2:$W$754)+1))),Sheet1!$W$2:$W$754,""),IF(_xlpm.desc="","NOT FOUND",LEFT(_xlpm.desc,FIND("-",_xlpm.desc,FIND("-",_xlpm.desc)+1))&amp;AE132)),LEFT(J132,FIND("-",J132,FIND("-",J132)+1))&amp;AE132))</f>
        <v>KRTS-APWN26-GETKRTSFUT6415B</v>
      </c>
    </row>
    <row r="133" spans="1:34" ht="15.75" customHeight="1" x14ac:dyDescent="0.2">
      <c r="A133" t="s">
        <v>59</v>
      </c>
      <c r="B133" t="s">
        <v>817</v>
      </c>
      <c r="C133" t="s">
        <v>1152</v>
      </c>
      <c r="D133" t="s">
        <v>1154</v>
      </c>
      <c r="E133" t="s">
        <v>34</v>
      </c>
      <c r="F133" t="s">
        <v>35</v>
      </c>
      <c r="G133" t="s">
        <v>43</v>
      </c>
      <c r="H133" t="s">
        <v>752</v>
      </c>
      <c r="I133" t="s">
        <v>753</v>
      </c>
      <c r="J133" t="s">
        <v>754</v>
      </c>
      <c r="K133" t="s">
        <v>474</v>
      </c>
      <c r="L133" t="s">
        <v>40</v>
      </c>
      <c r="M133">
        <v>1</v>
      </c>
      <c r="N133">
        <v>178</v>
      </c>
      <c r="O133">
        <v>178</v>
      </c>
      <c r="P133" t="s">
        <v>41</v>
      </c>
      <c r="Q133">
        <v>279.7</v>
      </c>
      <c r="R133">
        <v>279.7</v>
      </c>
      <c r="S133">
        <v>2489.33</v>
      </c>
      <c r="T133">
        <v>49786.6</v>
      </c>
      <c r="U133">
        <v>5</v>
      </c>
      <c r="V133" t="s">
        <v>42</v>
      </c>
      <c r="W133" t="s">
        <v>474</v>
      </c>
      <c r="X133" s="6" t="str">
        <f t="shared" si="0"/>
        <v>441814962</v>
      </c>
      <c r="Y133" s="7" t="str">
        <f t="shared" si="1"/>
        <v>DC</v>
      </c>
      <c r="Z133" s="7">
        <f t="shared" si="2"/>
        <v>0</v>
      </c>
      <c r="AA133" s="7">
        <f t="shared" si="3"/>
        <v>178</v>
      </c>
      <c r="AB133" s="7">
        <f t="shared" si="4"/>
        <v>0</v>
      </c>
      <c r="AC133" s="7">
        <f t="shared" si="5"/>
        <v>0</v>
      </c>
      <c r="AD133" s="7">
        <f t="shared" si="6"/>
        <v>0</v>
      </c>
      <c r="AE133" s="8" t="str" cm="1">
        <f t="array" ref="AE133">IFERROR(_xlfn.XLOOKUP(H133,Sheet1!$G:$G,Sheet1!$F:$F),IFERROR(_xlfn.XLOOKUP(1,(--($X$2:$X$1074=X133))*(--ISNUMBER(MATCH($H$2:$H$1074,Sheet1!$G:$G,0))),_xlfn.XLOOKUP($H$2:$H$1074,Sheet1!$G:$G,Sheet1!$F:$F,"")),"NOT FOUND"))</f>
        <v>GETKRTSFUT6415B</v>
      </c>
      <c r="AF133" s="9" t="str">
        <f t="shared" si="11"/>
        <v>RUST</v>
      </c>
      <c r="AG133" s="10" t="str">
        <f t="shared" si="12"/>
        <v>JHAJJAR</v>
      </c>
      <c r="AH133" s="8" t="str" cm="1">
        <f t="array" ref="AH133">IF(OR(J133="",AE133="",AE133="NOT FOUND"),"",IF(Y133="RP",_xlfn.LET(_xlpm.desc,_xlfn.XLOOKUP(1,(--(Sheet1!$F$2:$F$754=AE133))*(--ISNUMBER(FIND("-",Sheet1!$W$2:$W$754,FIND("-",Sheet1!$W$2:$W$754)+1))),Sheet1!$W$2:$W$754,""),IF(_xlpm.desc="","NOT FOUND",LEFT(_xlpm.desc,FIND("-",_xlpm.desc,FIND("-",_xlpm.desc)+1))&amp;AE133)),LEFT(J133,FIND("-",J133,FIND("-",J133)+1))&amp;AE133))</f>
        <v>KRTS-APWN26-GETKRTSFUT6415B</v>
      </c>
    </row>
    <row r="134" spans="1:34" ht="15.75" customHeight="1" x14ac:dyDescent="0.2">
      <c r="A134" t="s">
        <v>59</v>
      </c>
      <c r="B134" t="s">
        <v>817</v>
      </c>
      <c r="C134" t="s">
        <v>1152</v>
      </c>
      <c r="D134" t="s">
        <v>1154</v>
      </c>
      <c r="E134" t="s">
        <v>34</v>
      </c>
      <c r="F134" t="s">
        <v>35</v>
      </c>
      <c r="G134" t="s">
        <v>47</v>
      </c>
      <c r="H134" t="s">
        <v>755</v>
      </c>
      <c r="I134" t="s">
        <v>756</v>
      </c>
      <c r="J134" t="s">
        <v>757</v>
      </c>
      <c r="K134" t="s">
        <v>474</v>
      </c>
      <c r="L134" t="s">
        <v>40</v>
      </c>
      <c r="M134">
        <v>1</v>
      </c>
      <c r="N134">
        <v>167</v>
      </c>
      <c r="O134">
        <v>167</v>
      </c>
      <c r="P134" t="s">
        <v>41</v>
      </c>
      <c r="Q134">
        <v>279.7</v>
      </c>
      <c r="R134">
        <v>279.7</v>
      </c>
      <c r="S134">
        <v>2335.5</v>
      </c>
      <c r="T134">
        <v>46709.9</v>
      </c>
      <c r="U134">
        <v>5</v>
      </c>
      <c r="V134" t="s">
        <v>42</v>
      </c>
      <c r="W134" t="s">
        <v>474</v>
      </c>
      <c r="X134" s="6" t="str">
        <f t="shared" si="0"/>
        <v>441814962</v>
      </c>
      <c r="Y134" s="7" t="str">
        <f t="shared" si="1"/>
        <v>DC</v>
      </c>
      <c r="Z134" s="7">
        <f t="shared" si="2"/>
        <v>0</v>
      </c>
      <c r="AA134" s="7">
        <f t="shared" si="3"/>
        <v>0</v>
      </c>
      <c r="AB134" s="7">
        <f t="shared" si="4"/>
        <v>167</v>
      </c>
      <c r="AC134" s="7">
        <f t="shared" si="5"/>
        <v>0</v>
      </c>
      <c r="AD134" s="7">
        <f t="shared" si="6"/>
        <v>0</v>
      </c>
      <c r="AE134" s="8" t="str" cm="1">
        <f t="array" ref="AE134">IFERROR(_xlfn.XLOOKUP(H134,Sheet1!$G:$G,Sheet1!$F:$F),IFERROR(_xlfn.XLOOKUP(1,(--($X$2:$X$1074=X134))*(--ISNUMBER(MATCH($H$2:$H$1074,Sheet1!$G:$G,0))),_xlfn.XLOOKUP($H$2:$H$1074,Sheet1!$G:$G,Sheet1!$F:$F,"")),"NOT FOUND"))</f>
        <v>GETKRTSFUT6415B</v>
      </c>
      <c r="AF134" s="9" t="str">
        <f t="shared" si="11"/>
        <v>RUST</v>
      </c>
      <c r="AG134" s="10" t="str">
        <f t="shared" si="12"/>
        <v>JHAJJAR</v>
      </c>
      <c r="AH134" s="8" t="str" cm="1">
        <f t="array" ref="AH134">IF(OR(J134="",AE134="",AE134="NOT FOUND"),"",IF(Y134="RP",_xlfn.LET(_xlpm.desc,_xlfn.XLOOKUP(1,(--(Sheet1!$F$2:$F$754=AE134))*(--ISNUMBER(FIND("-",Sheet1!$W$2:$W$754,FIND("-",Sheet1!$W$2:$W$754)+1))),Sheet1!$W$2:$W$754,""),IF(_xlpm.desc="","NOT FOUND",LEFT(_xlpm.desc,FIND("-",_xlpm.desc,FIND("-",_xlpm.desc)+1))&amp;AE134)),LEFT(J134,FIND("-",J134,FIND("-",J134)+1))&amp;AE134))</f>
        <v>KRTS-APWN26-GETKRTSFUT6415B</v>
      </c>
    </row>
    <row r="135" spans="1:34" ht="15.75" customHeight="1" x14ac:dyDescent="0.2">
      <c r="A135" t="s">
        <v>59</v>
      </c>
      <c r="B135" t="s">
        <v>817</v>
      </c>
      <c r="C135" t="s">
        <v>1152</v>
      </c>
      <c r="D135" t="s">
        <v>1154</v>
      </c>
      <c r="E135" t="s">
        <v>34</v>
      </c>
      <c r="F135" t="s">
        <v>35</v>
      </c>
      <c r="G135" t="s">
        <v>51</v>
      </c>
      <c r="H135" t="s">
        <v>758</v>
      </c>
      <c r="I135" t="s">
        <v>759</v>
      </c>
      <c r="J135" t="s">
        <v>760</v>
      </c>
      <c r="K135" t="s">
        <v>474</v>
      </c>
      <c r="L135" t="s">
        <v>40</v>
      </c>
      <c r="M135">
        <v>1</v>
      </c>
      <c r="N135">
        <v>178</v>
      </c>
      <c r="O135">
        <v>178</v>
      </c>
      <c r="P135" t="s">
        <v>41</v>
      </c>
      <c r="Q135">
        <v>279.7</v>
      </c>
      <c r="R135">
        <v>279.7</v>
      </c>
      <c r="S135">
        <v>2489.33</v>
      </c>
      <c r="T135">
        <v>49786.6</v>
      </c>
      <c r="U135">
        <v>5</v>
      </c>
      <c r="V135" t="s">
        <v>42</v>
      </c>
      <c r="W135" t="s">
        <v>474</v>
      </c>
      <c r="X135" s="6" t="str">
        <f t="shared" si="0"/>
        <v>441814962</v>
      </c>
      <c r="Y135" s="7" t="str">
        <f t="shared" si="1"/>
        <v>DC</v>
      </c>
      <c r="Z135" s="7">
        <f t="shared" si="2"/>
        <v>0</v>
      </c>
      <c r="AA135" s="7">
        <f t="shared" si="3"/>
        <v>0</v>
      </c>
      <c r="AB135" s="7">
        <f t="shared" si="4"/>
        <v>0</v>
      </c>
      <c r="AC135" s="7">
        <f t="shared" si="5"/>
        <v>178</v>
      </c>
      <c r="AD135" s="7">
        <f t="shared" si="6"/>
        <v>0</v>
      </c>
      <c r="AE135" s="8" t="str" cm="1">
        <f t="array" ref="AE135">IFERROR(_xlfn.XLOOKUP(H135,Sheet1!$G:$G,Sheet1!$F:$F),IFERROR(_xlfn.XLOOKUP(1,(--($X$2:$X$1074=X135))*(--ISNUMBER(MATCH($H$2:$H$1074,Sheet1!$G:$G,0))),_xlfn.XLOOKUP($H$2:$H$1074,Sheet1!$G:$G,Sheet1!$F:$F,"")),"NOT FOUND"))</f>
        <v>GETKRTSFUT6415B</v>
      </c>
      <c r="AF135" s="9" t="str">
        <f t="shared" si="11"/>
        <v>RUST</v>
      </c>
      <c r="AG135" s="10" t="str">
        <f t="shared" si="12"/>
        <v>JHAJJAR</v>
      </c>
      <c r="AH135" s="8" t="str" cm="1">
        <f t="array" ref="AH135">IF(OR(J135="",AE135="",AE135="NOT FOUND"),"",IF(Y135="RP",_xlfn.LET(_xlpm.desc,_xlfn.XLOOKUP(1,(--(Sheet1!$F$2:$F$754=AE135))*(--ISNUMBER(FIND("-",Sheet1!$W$2:$W$754,FIND("-",Sheet1!$W$2:$W$754)+1))),Sheet1!$W$2:$W$754,""),IF(_xlpm.desc="","NOT FOUND",LEFT(_xlpm.desc,FIND("-",_xlpm.desc,FIND("-",_xlpm.desc)+1))&amp;AE135)),LEFT(J135,FIND("-",J135,FIND("-",J135)+1))&amp;AE135))</f>
        <v>KRTS-APWN26-GETKRTSFUT6415B</v>
      </c>
    </row>
    <row r="136" spans="1:34" ht="15.75" customHeight="1" x14ac:dyDescent="0.2">
      <c r="A136" t="s">
        <v>59</v>
      </c>
      <c r="B136" t="s">
        <v>817</v>
      </c>
      <c r="C136" t="s">
        <v>1152</v>
      </c>
      <c r="D136" t="s">
        <v>1154</v>
      </c>
      <c r="E136" t="s">
        <v>34</v>
      </c>
      <c r="F136" t="s">
        <v>35</v>
      </c>
      <c r="G136" t="s">
        <v>55</v>
      </c>
      <c r="H136" t="s">
        <v>761</v>
      </c>
      <c r="I136" t="s">
        <v>762</v>
      </c>
      <c r="J136" t="s">
        <v>763</v>
      </c>
      <c r="K136" t="s">
        <v>474</v>
      </c>
      <c r="L136" t="s">
        <v>40</v>
      </c>
      <c r="M136">
        <v>1</v>
      </c>
      <c r="N136">
        <v>63</v>
      </c>
      <c r="O136">
        <v>63</v>
      </c>
      <c r="P136" t="s">
        <v>41</v>
      </c>
      <c r="Q136">
        <v>279.7</v>
      </c>
      <c r="R136">
        <v>279.7</v>
      </c>
      <c r="S136">
        <v>881.06</v>
      </c>
      <c r="T136">
        <v>17621.099999999999</v>
      </c>
      <c r="U136">
        <v>5</v>
      </c>
      <c r="V136" t="s">
        <v>42</v>
      </c>
      <c r="W136" t="s">
        <v>474</v>
      </c>
      <c r="X136" s="6" t="str">
        <f t="shared" si="0"/>
        <v>441814962</v>
      </c>
      <c r="Y136" s="7" t="str">
        <f t="shared" si="1"/>
        <v>DC</v>
      </c>
      <c r="Z136" s="7">
        <f t="shared" si="2"/>
        <v>0</v>
      </c>
      <c r="AA136" s="7">
        <f t="shared" si="3"/>
        <v>0</v>
      </c>
      <c r="AB136" s="7">
        <f t="shared" si="4"/>
        <v>0</v>
      </c>
      <c r="AC136" s="7">
        <f t="shared" si="5"/>
        <v>0</v>
      </c>
      <c r="AD136" s="7">
        <f t="shared" si="6"/>
        <v>63</v>
      </c>
      <c r="AE136" s="8" t="str" cm="1">
        <f t="array" ref="AE136">IFERROR(_xlfn.XLOOKUP(H136,Sheet1!$G:$G,Sheet1!$F:$F),IFERROR(_xlfn.XLOOKUP(1,(--($X$2:$X$1074=X136))*(--ISNUMBER(MATCH($H$2:$H$1074,Sheet1!$G:$G,0))),_xlfn.XLOOKUP($H$2:$H$1074,Sheet1!$G:$G,Sheet1!$F:$F,"")),"NOT FOUND"))</f>
        <v>GETKRTSFUT6415B</v>
      </c>
      <c r="AF136" s="9" t="str">
        <f t="shared" si="11"/>
        <v>RUST</v>
      </c>
      <c r="AG136" s="10" t="str">
        <f t="shared" si="12"/>
        <v>JHAJJAR</v>
      </c>
      <c r="AH136" s="8" t="str" cm="1">
        <f t="array" ref="AH136">IF(OR(J136="",AE136="",AE136="NOT FOUND"),"",IF(Y136="RP",_xlfn.LET(_xlpm.desc,_xlfn.XLOOKUP(1,(--(Sheet1!$F$2:$F$754=AE136))*(--ISNUMBER(FIND("-",Sheet1!$W$2:$W$754,FIND("-",Sheet1!$W$2:$W$754)+1))),Sheet1!$W$2:$W$754,""),IF(_xlpm.desc="","NOT FOUND",LEFT(_xlpm.desc,FIND("-",_xlpm.desc,FIND("-",_xlpm.desc)+1))&amp;AE136)),LEFT(J136,FIND("-",J136,FIND("-",J136)+1))&amp;AE136))</f>
        <v>KRTS-APWN26-GETKRTSFUT6415B</v>
      </c>
    </row>
    <row r="137" spans="1:34" ht="15.75" customHeight="1" x14ac:dyDescent="0.2">
      <c r="A137" t="s">
        <v>59</v>
      </c>
      <c r="B137" t="s">
        <v>818</v>
      </c>
      <c r="C137" t="s">
        <v>1152</v>
      </c>
      <c r="D137" t="s">
        <v>1154</v>
      </c>
      <c r="E137" t="s">
        <v>34</v>
      </c>
      <c r="F137" t="s">
        <v>35</v>
      </c>
      <c r="G137" t="s">
        <v>36</v>
      </c>
      <c r="H137" t="s">
        <v>766</v>
      </c>
      <c r="I137" t="s">
        <v>767</v>
      </c>
      <c r="J137" t="s">
        <v>768</v>
      </c>
      <c r="K137" t="s">
        <v>474</v>
      </c>
      <c r="L137" t="s">
        <v>40</v>
      </c>
      <c r="M137">
        <v>1</v>
      </c>
      <c r="N137">
        <v>42</v>
      </c>
      <c r="O137">
        <v>42</v>
      </c>
      <c r="P137" t="s">
        <v>41</v>
      </c>
      <c r="Q137">
        <v>279.7</v>
      </c>
      <c r="R137">
        <v>279.7</v>
      </c>
      <c r="S137">
        <v>587.37</v>
      </c>
      <c r="T137">
        <v>11747.4</v>
      </c>
      <c r="U137">
        <v>5</v>
      </c>
      <c r="V137" t="s">
        <v>42</v>
      </c>
      <c r="W137" t="s">
        <v>474</v>
      </c>
      <c r="X137" s="6" t="str">
        <f t="shared" si="0"/>
        <v>441814961</v>
      </c>
      <c r="Y137" s="7" t="str">
        <f t="shared" si="1"/>
        <v>DC</v>
      </c>
      <c r="Z137" s="7">
        <f t="shared" si="2"/>
        <v>42</v>
      </c>
      <c r="AA137" s="7">
        <f t="shared" si="3"/>
        <v>0</v>
      </c>
      <c r="AB137" s="7">
        <f t="shared" si="4"/>
        <v>0</v>
      </c>
      <c r="AC137" s="7">
        <f t="shared" si="5"/>
        <v>0</v>
      </c>
      <c r="AD137" s="7">
        <f t="shared" si="6"/>
        <v>0</v>
      </c>
      <c r="AE137" s="8" t="str" cm="1">
        <f t="array" ref="AE137">IFERROR(_xlfn.XLOOKUP(H137,Sheet1!$G:$G,Sheet1!$F:$F),IFERROR(_xlfn.XLOOKUP(1,(--($X$2:$X$1074=X137))*(--ISNUMBER(MATCH($H$2:$H$1074,Sheet1!$G:$G,0))),_xlfn.XLOOKUP($H$2:$H$1074,Sheet1!$G:$G,Sheet1!$F:$F,"")),"NOT FOUND"))</f>
        <v>GETKRTSFUT6415</v>
      </c>
      <c r="AF137" s="9" t="str">
        <f t="shared" si="11"/>
        <v>NAVY</v>
      </c>
      <c r="AG137" s="10" t="str">
        <f t="shared" si="12"/>
        <v>JHAJJAR</v>
      </c>
      <c r="AH137" s="8" t="str" cm="1">
        <f t="array" ref="AH137">IF(OR(J137="",AE137="",AE137="NOT FOUND"),"",IF(Y137="RP",_xlfn.LET(_xlpm.desc,_xlfn.XLOOKUP(1,(--(Sheet1!$F$2:$F$754=AE137))*(--ISNUMBER(FIND("-",Sheet1!$W$2:$W$754,FIND("-",Sheet1!$W$2:$W$754)+1))),Sheet1!$W$2:$W$754,""),IF(_xlpm.desc="","NOT FOUND",LEFT(_xlpm.desc,FIND("-",_xlpm.desc,FIND("-",_xlpm.desc)+1))&amp;AE137)),LEFT(J137,FIND("-",J137,FIND("-",J137)+1))&amp;AE137))</f>
        <v>KRTS-APWN26-GETKRTSFUT6415</v>
      </c>
    </row>
    <row r="138" spans="1:34" ht="15.75" customHeight="1" x14ac:dyDescent="0.2">
      <c r="A138" t="s">
        <v>59</v>
      </c>
      <c r="B138" t="s">
        <v>818</v>
      </c>
      <c r="C138" t="s">
        <v>1152</v>
      </c>
      <c r="D138" t="s">
        <v>1154</v>
      </c>
      <c r="E138" t="s">
        <v>34</v>
      </c>
      <c r="F138" t="s">
        <v>35</v>
      </c>
      <c r="G138" t="s">
        <v>43</v>
      </c>
      <c r="H138" t="s">
        <v>769</v>
      </c>
      <c r="I138" t="s">
        <v>770</v>
      </c>
      <c r="J138" t="s">
        <v>771</v>
      </c>
      <c r="K138" t="s">
        <v>474</v>
      </c>
      <c r="L138" t="s">
        <v>40</v>
      </c>
      <c r="M138">
        <v>1</v>
      </c>
      <c r="N138">
        <v>178</v>
      </c>
      <c r="O138">
        <v>178</v>
      </c>
      <c r="P138" t="s">
        <v>41</v>
      </c>
      <c r="Q138">
        <v>279.7</v>
      </c>
      <c r="R138">
        <v>279.7</v>
      </c>
      <c r="S138">
        <v>2489.33</v>
      </c>
      <c r="T138">
        <v>49786.6</v>
      </c>
      <c r="U138">
        <v>5</v>
      </c>
      <c r="V138" t="s">
        <v>42</v>
      </c>
      <c r="W138" t="s">
        <v>474</v>
      </c>
      <c r="X138" s="6" t="str">
        <f t="shared" si="0"/>
        <v>441814961</v>
      </c>
      <c r="Y138" s="7" t="str">
        <f t="shared" si="1"/>
        <v>DC</v>
      </c>
      <c r="Z138" s="7">
        <f t="shared" si="2"/>
        <v>0</v>
      </c>
      <c r="AA138" s="7">
        <f t="shared" si="3"/>
        <v>178</v>
      </c>
      <c r="AB138" s="7">
        <f t="shared" si="4"/>
        <v>0</v>
      </c>
      <c r="AC138" s="7">
        <f t="shared" si="5"/>
        <v>0</v>
      </c>
      <c r="AD138" s="7">
        <f t="shared" si="6"/>
        <v>0</v>
      </c>
      <c r="AE138" s="8" t="str" cm="1">
        <f t="array" ref="AE138">IFERROR(_xlfn.XLOOKUP(H138,Sheet1!$G:$G,Sheet1!$F:$F),IFERROR(_xlfn.XLOOKUP(1,(--($X$2:$X$1074=X138))*(--ISNUMBER(MATCH($H$2:$H$1074,Sheet1!$G:$G,0))),_xlfn.XLOOKUP($H$2:$H$1074,Sheet1!$G:$G,Sheet1!$F:$F,"")),"NOT FOUND"))</f>
        <v>GETKRTSFUT6415</v>
      </c>
      <c r="AF138" s="9" t="str">
        <f t="shared" si="11"/>
        <v>NAVY</v>
      </c>
      <c r="AG138" s="10" t="str">
        <f t="shared" si="12"/>
        <v>JHAJJAR</v>
      </c>
      <c r="AH138" s="8" t="str" cm="1">
        <f t="array" ref="AH138">IF(OR(J138="",AE138="",AE138="NOT FOUND"),"",IF(Y138="RP",_xlfn.LET(_xlpm.desc,_xlfn.XLOOKUP(1,(--(Sheet1!$F$2:$F$754=AE138))*(--ISNUMBER(FIND("-",Sheet1!$W$2:$W$754,FIND("-",Sheet1!$W$2:$W$754)+1))),Sheet1!$W$2:$W$754,""),IF(_xlpm.desc="","NOT FOUND",LEFT(_xlpm.desc,FIND("-",_xlpm.desc,FIND("-",_xlpm.desc)+1))&amp;AE138)),LEFT(J138,FIND("-",J138,FIND("-",J138)+1))&amp;AE138))</f>
        <v>KRTS-APWN26-GETKRTSFUT6415</v>
      </c>
    </row>
    <row r="139" spans="1:34" ht="15.75" customHeight="1" x14ac:dyDescent="0.2">
      <c r="A139" t="s">
        <v>59</v>
      </c>
      <c r="B139" t="s">
        <v>818</v>
      </c>
      <c r="C139" t="s">
        <v>1152</v>
      </c>
      <c r="D139" t="s">
        <v>1154</v>
      </c>
      <c r="E139" t="s">
        <v>34</v>
      </c>
      <c r="F139" t="s">
        <v>35</v>
      </c>
      <c r="G139" t="s">
        <v>47</v>
      </c>
      <c r="H139" t="s">
        <v>772</v>
      </c>
      <c r="I139" t="s">
        <v>773</v>
      </c>
      <c r="J139" t="s">
        <v>774</v>
      </c>
      <c r="K139" t="s">
        <v>474</v>
      </c>
      <c r="L139" t="s">
        <v>40</v>
      </c>
      <c r="M139">
        <v>1</v>
      </c>
      <c r="N139">
        <v>167</v>
      </c>
      <c r="O139">
        <v>167</v>
      </c>
      <c r="P139" t="s">
        <v>41</v>
      </c>
      <c r="Q139">
        <v>279.7</v>
      </c>
      <c r="R139">
        <v>279.7</v>
      </c>
      <c r="S139">
        <v>2335.5</v>
      </c>
      <c r="T139">
        <v>46709.9</v>
      </c>
      <c r="U139">
        <v>5</v>
      </c>
      <c r="V139" t="s">
        <v>42</v>
      </c>
      <c r="W139" t="s">
        <v>474</v>
      </c>
      <c r="X139" s="6" t="str">
        <f t="shared" si="0"/>
        <v>441814961</v>
      </c>
      <c r="Y139" s="7" t="str">
        <f t="shared" si="1"/>
        <v>DC</v>
      </c>
      <c r="Z139" s="7">
        <f t="shared" si="2"/>
        <v>0</v>
      </c>
      <c r="AA139" s="7">
        <f t="shared" si="3"/>
        <v>0</v>
      </c>
      <c r="AB139" s="7">
        <f t="shared" si="4"/>
        <v>167</v>
      </c>
      <c r="AC139" s="7">
        <f t="shared" si="5"/>
        <v>0</v>
      </c>
      <c r="AD139" s="7">
        <f t="shared" si="6"/>
        <v>0</v>
      </c>
      <c r="AE139" s="8" t="str" cm="1">
        <f t="array" ref="AE139">IFERROR(_xlfn.XLOOKUP(H139,Sheet1!$G:$G,Sheet1!$F:$F),IFERROR(_xlfn.XLOOKUP(1,(--($X$2:$X$1074=X139))*(--ISNUMBER(MATCH($H$2:$H$1074,Sheet1!$G:$G,0))),_xlfn.XLOOKUP($H$2:$H$1074,Sheet1!$G:$G,Sheet1!$F:$F,"")),"NOT FOUND"))</f>
        <v>GETKRTSFUT6415</v>
      </c>
      <c r="AF139" s="9" t="str">
        <f t="shared" si="11"/>
        <v>NAVY</v>
      </c>
      <c r="AG139" s="10" t="str">
        <f t="shared" si="12"/>
        <v>JHAJJAR</v>
      </c>
      <c r="AH139" s="8" t="str" cm="1">
        <f t="array" ref="AH139">IF(OR(J139="",AE139="",AE139="NOT FOUND"),"",IF(Y139="RP",_xlfn.LET(_xlpm.desc,_xlfn.XLOOKUP(1,(--(Sheet1!$F$2:$F$754=AE139))*(--ISNUMBER(FIND("-",Sheet1!$W$2:$W$754,FIND("-",Sheet1!$W$2:$W$754)+1))),Sheet1!$W$2:$W$754,""),IF(_xlpm.desc="","NOT FOUND",LEFT(_xlpm.desc,FIND("-",_xlpm.desc,FIND("-",_xlpm.desc)+1))&amp;AE139)),LEFT(J139,FIND("-",J139,FIND("-",J139)+1))&amp;AE139))</f>
        <v>KRTS-APWN26-GETKRTSFUT6415</v>
      </c>
    </row>
    <row r="140" spans="1:34" ht="15.75" customHeight="1" x14ac:dyDescent="0.2">
      <c r="A140" t="s">
        <v>59</v>
      </c>
      <c r="B140" t="s">
        <v>818</v>
      </c>
      <c r="C140" t="s">
        <v>1152</v>
      </c>
      <c r="D140" t="s">
        <v>1154</v>
      </c>
      <c r="E140" t="s">
        <v>34</v>
      </c>
      <c r="F140" t="s">
        <v>35</v>
      </c>
      <c r="G140" t="s">
        <v>51</v>
      </c>
      <c r="H140" t="s">
        <v>775</v>
      </c>
      <c r="I140" t="s">
        <v>776</v>
      </c>
      <c r="J140" t="s">
        <v>777</v>
      </c>
      <c r="K140" t="s">
        <v>474</v>
      </c>
      <c r="L140" t="s">
        <v>40</v>
      </c>
      <c r="M140">
        <v>1</v>
      </c>
      <c r="N140">
        <v>178</v>
      </c>
      <c r="O140">
        <v>178</v>
      </c>
      <c r="P140" t="s">
        <v>41</v>
      </c>
      <c r="Q140">
        <v>279.7</v>
      </c>
      <c r="R140">
        <v>279.7</v>
      </c>
      <c r="S140">
        <v>2489.33</v>
      </c>
      <c r="T140">
        <v>49786.6</v>
      </c>
      <c r="U140">
        <v>5</v>
      </c>
      <c r="V140" t="s">
        <v>42</v>
      </c>
      <c r="W140" t="s">
        <v>474</v>
      </c>
      <c r="X140" s="6" t="str">
        <f t="shared" si="0"/>
        <v>441814961</v>
      </c>
      <c r="Y140" s="7" t="str">
        <f t="shared" si="1"/>
        <v>DC</v>
      </c>
      <c r="Z140" s="7">
        <f t="shared" si="2"/>
        <v>0</v>
      </c>
      <c r="AA140" s="7">
        <f t="shared" si="3"/>
        <v>0</v>
      </c>
      <c r="AB140" s="7">
        <f t="shared" si="4"/>
        <v>0</v>
      </c>
      <c r="AC140" s="7">
        <f t="shared" si="5"/>
        <v>178</v>
      </c>
      <c r="AD140" s="7">
        <f t="shared" si="6"/>
        <v>0</v>
      </c>
      <c r="AE140" s="8" t="str" cm="1">
        <f t="array" ref="AE140">IFERROR(_xlfn.XLOOKUP(H140,Sheet1!$G:$G,Sheet1!$F:$F),IFERROR(_xlfn.XLOOKUP(1,(--($X$2:$X$1074=X140))*(--ISNUMBER(MATCH($H$2:$H$1074,Sheet1!$G:$G,0))),_xlfn.XLOOKUP($H$2:$H$1074,Sheet1!$G:$G,Sheet1!$F:$F,"")),"NOT FOUND"))</f>
        <v>GETKRTSFUT6415</v>
      </c>
      <c r="AF140" s="9" t="str">
        <f t="shared" si="11"/>
        <v>NAVY</v>
      </c>
      <c r="AG140" s="10" t="str">
        <f t="shared" si="12"/>
        <v>JHAJJAR</v>
      </c>
      <c r="AH140" s="8" t="str" cm="1">
        <f t="array" ref="AH140">IF(OR(J140="",AE140="",AE140="NOT FOUND"),"",IF(Y140="RP",_xlfn.LET(_xlpm.desc,_xlfn.XLOOKUP(1,(--(Sheet1!$F$2:$F$754=AE140))*(--ISNUMBER(FIND("-",Sheet1!$W$2:$W$754,FIND("-",Sheet1!$W$2:$W$754)+1))),Sheet1!$W$2:$W$754,""),IF(_xlpm.desc="","NOT FOUND",LEFT(_xlpm.desc,FIND("-",_xlpm.desc,FIND("-",_xlpm.desc)+1))&amp;AE140)),LEFT(J140,FIND("-",J140,FIND("-",J140)+1))&amp;AE140))</f>
        <v>KRTS-APWN26-GETKRTSFUT6415</v>
      </c>
    </row>
    <row r="141" spans="1:34" ht="15.75" customHeight="1" x14ac:dyDescent="0.2">
      <c r="A141" t="s">
        <v>59</v>
      </c>
      <c r="B141" t="s">
        <v>818</v>
      </c>
      <c r="C141" t="s">
        <v>1152</v>
      </c>
      <c r="D141" t="s">
        <v>1154</v>
      </c>
      <c r="E141" t="s">
        <v>34</v>
      </c>
      <c r="F141" t="s">
        <v>35</v>
      </c>
      <c r="G141" t="s">
        <v>55</v>
      </c>
      <c r="H141" t="s">
        <v>778</v>
      </c>
      <c r="I141" t="s">
        <v>779</v>
      </c>
      <c r="J141" t="s">
        <v>780</v>
      </c>
      <c r="K141" t="s">
        <v>474</v>
      </c>
      <c r="L141" t="s">
        <v>40</v>
      </c>
      <c r="M141">
        <v>1</v>
      </c>
      <c r="N141">
        <v>63</v>
      </c>
      <c r="O141">
        <v>63</v>
      </c>
      <c r="P141" t="s">
        <v>41</v>
      </c>
      <c r="Q141">
        <v>279.7</v>
      </c>
      <c r="R141">
        <v>279.7</v>
      </c>
      <c r="S141">
        <v>881.06</v>
      </c>
      <c r="T141">
        <v>17621.099999999999</v>
      </c>
      <c r="U141">
        <v>5</v>
      </c>
      <c r="V141" t="s">
        <v>42</v>
      </c>
      <c r="W141" t="s">
        <v>474</v>
      </c>
      <c r="X141" s="6" t="str">
        <f t="shared" si="0"/>
        <v>441814961</v>
      </c>
      <c r="Y141" s="7" t="str">
        <f t="shared" si="1"/>
        <v>DC</v>
      </c>
      <c r="Z141" s="7">
        <f t="shared" si="2"/>
        <v>0</v>
      </c>
      <c r="AA141" s="7">
        <f t="shared" si="3"/>
        <v>0</v>
      </c>
      <c r="AB141" s="7">
        <f t="shared" si="4"/>
        <v>0</v>
      </c>
      <c r="AC141" s="7">
        <f t="shared" si="5"/>
        <v>0</v>
      </c>
      <c r="AD141" s="7">
        <f t="shared" si="6"/>
        <v>63</v>
      </c>
      <c r="AE141" s="8" t="str" cm="1">
        <f t="array" ref="AE141">IFERROR(_xlfn.XLOOKUP(H141,Sheet1!$G:$G,Sheet1!$F:$F),IFERROR(_xlfn.XLOOKUP(1,(--($X$2:$X$1074=X141))*(--ISNUMBER(MATCH($H$2:$H$1074,Sheet1!$G:$G,0))),_xlfn.XLOOKUP($H$2:$H$1074,Sheet1!$G:$G,Sheet1!$F:$F,"")),"NOT FOUND"))</f>
        <v>GETKRTSFUT6415</v>
      </c>
      <c r="AF141" s="9" t="str">
        <f t="shared" si="11"/>
        <v>NAVY</v>
      </c>
      <c r="AG141" s="10" t="str">
        <f t="shared" si="12"/>
        <v>JHAJJAR</v>
      </c>
      <c r="AH141" s="8" t="str" cm="1">
        <f t="array" ref="AH141">IF(OR(J141="",AE141="",AE141="NOT FOUND"),"",IF(Y141="RP",_xlfn.LET(_xlpm.desc,_xlfn.XLOOKUP(1,(--(Sheet1!$F$2:$F$754=AE141))*(--ISNUMBER(FIND("-",Sheet1!$W$2:$W$754,FIND("-",Sheet1!$W$2:$W$754)+1))),Sheet1!$W$2:$W$754,""),IF(_xlpm.desc="","NOT FOUND",LEFT(_xlpm.desc,FIND("-",_xlpm.desc,FIND("-",_xlpm.desc)+1))&amp;AE141)),LEFT(J141,FIND("-",J141,FIND("-",J141)+1))&amp;AE141))</f>
        <v>KRTS-APWN26-GETKRTSFUT6415</v>
      </c>
    </row>
    <row r="142" spans="1:34" ht="15.75" customHeight="1" x14ac:dyDescent="0.2">
      <c r="A142" t="s">
        <v>61</v>
      </c>
      <c r="B142" t="s">
        <v>819</v>
      </c>
      <c r="C142" t="s">
        <v>1152</v>
      </c>
      <c r="D142" t="s">
        <v>1154</v>
      </c>
      <c r="E142" t="s">
        <v>34</v>
      </c>
      <c r="F142" t="s">
        <v>35</v>
      </c>
      <c r="G142" t="s">
        <v>36</v>
      </c>
      <c r="H142" t="s">
        <v>715</v>
      </c>
      <c r="I142" t="s">
        <v>716</v>
      </c>
      <c r="J142" t="s">
        <v>717</v>
      </c>
      <c r="K142" t="s">
        <v>474</v>
      </c>
      <c r="L142" t="s">
        <v>40</v>
      </c>
      <c r="M142">
        <v>1</v>
      </c>
      <c r="N142">
        <v>30</v>
      </c>
      <c r="O142">
        <v>30</v>
      </c>
      <c r="P142" t="s">
        <v>41</v>
      </c>
      <c r="Q142">
        <v>279.7</v>
      </c>
      <c r="R142">
        <v>279.7</v>
      </c>
      <c r="S142">
        <v>419.55</v>
      </c>
      <c r="T142">
        <v>8391</v>
      </c>
      <c r="U142">
        <v>5</v>
      </c>
      <c r="V142" t="s">
        <v>42</v>
      </c>
      <c r="W142" t="s">
        <v>474</v>
      </c>
      <c r="X142" s="6" t="str">
        <f t="shared" si="0"/>
        <v>441814964</v>
      </c>
      <c r="Y142" s="7" t="str">
        <f t="shared" si="1"/>
        <v>DC</v>
      </c>
      <c r="Z142" s="7">
        <f t="shared" si="2"/>
        <v>30</v>
      </c>
      <c r="AA142" s="7">
        <f t="shared" si="3"/>
        <v>0</v>
      </c>
      <c r="AB142" s="7">
        <f t="shared" si="4"/>
        <v>0</v>
      </c>
      <c r="AC142" s="7">
        <f t="shared" si="5"/>
        <v>0</v>
      </c>
      <c r="AD142" s="7">
        <f t="shared" si="6"/>
        <v>0</v>
      </c>
      <c r="AE142" s="8" t="str" cm="1">
        <f t="array" ref="AE142">IFERROR(_xlfn.XLOOKUP(H142,Sheet1!$G:$G,Sheet1!$F:$F),IFERROR(_xlfn.XLOOKUP(1,(--($X$2:$X$1074=X142))*(--ISNUMBER(MATCH($H$2:$H$1074,Sheet1!$G:$G,0))),_xlfn.XLOOKUP($H$2:$H$1074,Sheet1!$G:$G,Sheet1!$F:$F,"")),"NOT FOUND"))</f>
        <v>GETKRTSFUT6417</v>
      </c>
      <c r="AF142" s="9" t="str">
        <f t="shared" si="11"/>
        <v>MUSTARD</v>
      </c>
      <c r="AG142" s="10" t="str">
        <f t="shared" si="12"/>
        <v>HARIPAL</v>
      </c>
      <c r="AH142" s="8" t="str" cm="1">
        <f t="array" ref="AH142">IF(OR(J142="",AE142="",AE142="NOT FOUND"),"",IF(Y142="RP",_xlfn.LET(_xlpm.desc,_xlfn.XLOOKUP(1,(--(Sheet1!$F$2:$F$754=AE142))*(--ISNUMBER(FIND("-",Sheet1!$W$2:$W$754,FIND("-",Sheet1!$W$2:$W$754)+1))),Sheet1!$W$2:$W$754,""),IF(_xlpm.desc="","NOT FOUND",LEFT(_xlpm.desc,FIND("-",_xlpm.desc,FIND("-",_xlpm.desc)+1))&amp;AE142)),LEFT(J142,FIND("-",J142,FIND("-",J142)+1))&amp;AE142))</f>
        <v>KRTS-APWN26-GETKRTSFUT6417</v>
      </c>
    </row>
    <row r="143" spans="1:34" ht="15.75" customHeight="1" x14ac:dyDescent="0.2">
      <c r="A143" t="s">
        <v>61</v>
      </c>
      <c r="B143" t="s">
        <v>819</v>
      </c>
      <c r="C143" t="s">
        <v>1152</v>
      </c>
      <c r="D143" t="s">
        <v>1154</v>
      </c>
      <c r="E143" t="s">
        <v>34</v>
      </c>
      <c r="F143" t="s">
        <v>35</v>
      </c>
      <c r="G143" t="s">
        <v>43</v>
      </c>
      <c r="H143" t="s">
        <v>718</v>
      </c>
      <c r="I143" t="s">
        <v>719</v>
      </c>
      <c r="J143" t="s">
        <v>720</v>
      </c>
      <c r="K143" t="s">
        <v>474</v>
      </c>
      <c r="L143" t="s">
        <v>40</v>
      </c>
      <c r="M143">
        <v>1</v>
      </c>
      <c r="N143">
        <v>127</v>
      </c>
      <c r="O143">
        <v>127</v>
      </c>
      <c r="P143" t="s">
        <v>41</v>
      </c>
      <c r="Q143">
        <v>279.7</v>
      </c>
      <c r="R143">
        <v>279.7</v>
      </c>
      <c r="S143">
        <v>1776.1</v>
      </c>
      <c r="T143">
        <v>35521.9</v>
      </c>
      <c r="U143">
        <v>5</v>
      </c>
      <c r="V143" t="s">
        <v>42</v>
      </c>
      <c r="W143" t="s">
        <v>474</v>
      </c>
      <c r="X143" s="6" t="str">
        <f t="shared" si="0"/>
        <v>441814964</v>
      </c>
      <c r="Y143" s="7" t="str">
        <f t="shared" si="1"/>
        <v>DC</v>
      </c>
      <c r="Z143" s="7">
        <f t="shared" si="2"/>
        <v>0</v>
      </c>
      <c r="AA143" s="7">
        <f t="shared" si="3"/>
        <v>127</v>
      </c>
      <c r="AB143" s="7">
        <f t="shared" si="4"/>
        <v>0</v>
      </c>
      <c r="AC143" s="7">
        <f t="shared" si="5"/>
        <v>0</v>
      </c>
      <c r="AD143" s="7">
        <f t="shared" si="6"/>
        <v>0</v>
      </c>
      <c r="AE143" s="8" t="str" cm="1">
        <f t="array" ref="AE143">IFERROR(_xlfn.XLOOKUP(H143,Sheet1!$G:$G,Sheet1!$F:$F),IFERROR(_xlfn.XLOOKUP(1,(--($X$2:$X$1074=X143))*(--ISNUMBER(MATCH($H$2:$H$1074,Sheet1!$G:$G,0))),_xlfn.XLOOKUP($H$2:$H$1074,Sheet1!$G:$G,Sheet1!$F:$F,"")),"NOT FOUND"))</f>
        <v>GETKRTSFUT6417</v>
      </c>
      <c r="AF143" s="9" t="str">
        <f t="shared" si="11"/>
        <v>MUSTARD</v>
      </c>
      <c r="AG143" s="10" t="str">
        <f t="shared" si="12"/>
        <v>HARIPAL</v>
      </c>
      <c r="AH143" s="8" t="str" cm="1">
        <f t="array" ref="AH143">IF(OR(J143="",AE143="",AE143="NOT FOUND"),"",IF(Y143="RP",_xlfn.LET(_xlpm.desc,_xlfn.XLOOKUP(1,(--(Sheet1!$F$2:$F$754=AE143))*(--ISNUMBER(FIND("-",Sheet1!$W$2:$W$754,FIND("-",Sheet1!$W$2:$W$754)+1))),Sheet1!$W$2:$W$754,""),IF(_xlpm.desc="","NOT FOUND",LEFT(_xlpm.desc,FIND("-",_xlpm.desc,FIND("-",_xlpm.desc)+1))&amp;AE143)),LEFT(J143,FIND("-",J143,FIND("-",J143)+1))&amp;AE143))</f>
        <v>KRTS-APWN26-GETKRTSFUT6417</v>
      </c>
    </row>
    <row r="144" spans="1:34" ht="15.75" customHeight="1" x14ac:dyDescent="0.2">
      <c r="A144" t="s">
        <v>61</v>
      </c>
      <c r="B144" t="s">
        <v>819</v>
      </c>
      <c r="C144" t="s">
        <v>1152</v>
      </c>
      <c r="D144" t="s">
        <v>1154</v>
      </c>
      <c r="E144" t="s">
        <v>34</v>
      </c>
      <c r="F144" t="s">
        <v>35</v>
      </c>
      <c r="G144" t="s">
        <v>47</v>
      </c>
      <c r="H144" t="s">
        <v>721</v>
      </c>
      <c r="I144" t="s">
        <v>722</v>
      </c>
      <c r="J144" t="s">
        <v>723</v>
      </c>
      <c r="K144" t="s">
        <v>474</v>
      </c>
      <c r="L144" t="s">
        <v>40</v>
      </c>
      <c r="M144">
        <v>1</v>
      </c>
      <c r="N144">
        <v>120</v>
      </c>
      <c r="O144">
        <v>120</v>
      </c>
      <c r="P144" t="s">
        <v>41</v>
      </c>
      <c r="Q144">
        <v>279.7</v>
      </c>
      <c r="R144">
        <v>279.7</v>
      </c>
      <c r="S144">
        <v>1678.2</v>
      </c>
      <c r="T144">
        <v>33564</v>
      </c>
      <c r="U144">
        <v>5</v>
      </c>
      <c r="V144" t="s">
        <v>42</v>
      </c>
      <c r="W144" t="s">
        <v>474</v>
      </c>
      <c r="X144" s="6" t="str">
        <f t="shared" si="0"/>
        <v>441814964</v>
      </c>
      <c r="Y144" s="7" t="str">
        <f t="shared" si="1"/>
        <v>DC</v>
      </c>
      <c r="Z144" s="7">
        <f t="shared" si="2"/>
        <v>0</v>
      </c>
      <c r="AA144" s="7">
        <f t="shared" si="3"/>
        <v>0</v>
      </c>
      <c r="AB144" s="7">
        <f t="shared" si="4"/>
        <v>120</v>
      </c>
      <c r="AC144" s="7">
        <f t="shared" si="5"/>
        <v>0</v>
      </c>
      <c r="AD144" s="7">
        <f t="shared" si="6"/>
        <v>0</v>
      </c>
      <c r="AE144" s="8" t="str" cm="1">
        <f t="array" ref="AE144">IFERROR(_xlfn.XLOOKUP(H144,Sheet1!$G:$G,Sheet1!$F:$F),IFERROR(_xlfn.XLOOKUP(1,(--($X$2:$X$1074=X144))*(--ISNUMBER(MATCH($H$2:$H$1074,Sheet1!$G:$G,0))),_xlfn.XLOOKUP($H$2:$H$1074,Sheet1!$G:$G,Sheet1!$F:$F,"")),"NOT FOUND"))</f>
        <v>GETKRTSFUT6417</v>
      </c>
      <c r="AF144" s="9" t="str">
        <f t="shared" si="11"/>
        <v>MUSTARD</v>
      </c>
      <c r="AG144" s="10" t="str">
        <f t="shared" si="12"/>
        <v>HARIPAL</v>
      </c>
      <c r="AH144" s="8" t="str" cm="1">
        <f t="array" ref="AH144">IF(OR(J144="",AE144="",AE144="NOT FOUND"),"",IF(Y144="RP",_xlfn.LET(_xlpm.desc,_xlfn.XLOOKUP(1,(--(Sheet1!$F$2:$F$754=AE144))*(--ISNUMBER(FIND("-",Sheet1!$W$2:$W$754,FIND("-",Sheet1!$W$2:$W$754)+1))),Sheet1!$W$2:$W$754,""),IF(_xlpm.desc="","NOT FOUND",LEFT(_xlpm.desc,FIND("-",_xlpm.desc,FIND("-",_xlpm.desc)+1))&amp;AE144)),LEFT(J144,FIND("-",J144,FIND("-",J144)+1))&amp;AE144))</f>
        <v>KRTS-APWN26-GETKRTSFUT6417</v>
      </c>
    </row>
    <row r="145" spans="1:34" ht="15.75" customHeight="1" x14ac:dyDescent="0.2">
      <c r="A145" t="s">
        <v>61</v>
      </c>
      <c r="B145" t="s">
        <v>819</v>
      </c>
      <c r="C145" t="s">
        <v>1152</v>
      </c>
      <c r="D145" t="s">
        <v>1154</v>
      </c>
      <c r="E145" t="s">
        <v>34</v>
      </c>
      <c r="F145" t="s">
        <v>35</v>
      </c>
      <c r="G145" t="s">
        <v>51</v>
      </c>
      <c r="H145" t="s">
        <v>724</v>
      </c>
      <c r="I145" t="s">
        <v>725</v>
      </c>
      <c r="J145" t="s">
        <v>726</v>
      </c>
      <c r="K145" t="s">
        <v>474</v>
      </c>
      <c r="L145" t="s">
        <v>40</v>
      </c>
      <c r="M145">
        <v>1</v>
      </c>
      <c r="N145">
        <v>127</v>
      </c>
      <c r="O145">
        <v>127</v>
      </c>
      <c r="P145" t="s">
        <v>41</v>
      </c>
      <c r="Q145">
        <v>279.7</v>
      </c>
      <c r="R145">
        <v>279.7</v>
      </c>
      <c r="S145">
        <v>1776.1</v>
      </c>
      <c r="T145">
        <v>35521.9</v>
      </c>
      <c r="U145">
        <v>5</v>
      </c>
      <c r="V145" t="s">
        <v>42</v>
      </c>
      <c r="W145" t="s">
        <v>474</v>
      </c>
      <c r="X145" s="6" t="str">
        <f t="shared" si="0"/>
        <v>441814964</v>
      </c>
      <c r="Y145" s="7" t="str">
        <f t="shared" si="1"/>
        <v>DC</v>
      </c>
      <c r="Z145" s="7">
        <f t="shared" si="2"/>
        <v>0</v>
      </c>
      <c r="AA145" s="7">
        <f t="shared" si="3"/>
        <v>0</v>
      </c>
      <c r="AB145" s="7">
        <f t="shared" si="4"/>
        <v>0</v>
      </c>
      <c r="AC145" s="7">
        <f t="shared" si="5"/>
        <v>127</v>
      </c>
      <c r="AD145" s="7">
        <f t="shared" si="6"/>
        <v>0</v>
      </c>
      <c r="AE145" s="8" t="str" cm="1">
        <f t="array" ref="AE145">IFERROR(_xlfn.XLOOKUP(H145,Sheet1!$G:$G,Sheet1!$F:$F),IFERROR(_xlfn.XLOOKUP(1,(--($X$2:$X$1074=X145))*(--ISNUMBER(MATCH($H$2:$H$1074,Sheet1!$G:$G,0))),_xlfn.XLOOKUP($H$2:$H$1074,Sheet1!$G:$G,Sheet1!$F:$F,"")),"NOT FOUND"))</f>
        <v>GETKRTSFUT6417</v>
      </c>
      <c r="AF145" s="9" t="str">
        <f t="shared" si="11"/>
        <v>MUSTARD</v>
      </c>
      <c r="AG145" s="10" t="str">
        <f t="shared" si="12"/>
        <v>HARIPAL</v>
      </c>
      <c r="AH145" s="8" t="str" cm="1">
        <f t="array" ref="AH145">IF(OR(J145="",AE145="",AE145="NOT FOUND"),"",IF(Y145="RP",_xlfn.LET(_xlpm.desc,_xlfn.XLOOKUP(1,(--(Sheet1!$F$2:$F$754=AE145))*(--ISNUMBER(FIND("-",Sheet1!$W$2:$W$754,FIND("-",Sheet1!$W$2:$W$754)+1))),Sheet1!$W$2:$W$754,""),IF(_xlpm.desc="","NOT FOUND",LEFT(_xlpm.desc,FIND("-",_xlpm.desc,FIND("-",_xlpm.desc)+1))&amp;AE145)),LEFT(J145,FIND("-",J145,FIND("-",J145)+1))&amp;AE145))</f>
        <v>KRTS-APWN26-GETKRTSFUT6417</v>
      </c>
    </row>
    <row r="146" spans="1:34" ht="15.75" customHeight="1" x14ac:dyDescent="0.2">
      <c r="A146" t="s">
        <v>61</v>
      </c>
      <c r="B146" t="s">
        <v>819</v>
      </c>
      <c r="C146" t="s">
        <v>1152</v>
      </c>
      <c r="D146" t="s">
        <v>1154</v>
      </c>
      <c r="E146" t="s">
        <v>34</v>
      </c>
      <c r="F146" t="s">
        <v>35</v>
      </c>
      <c r="G146" t="s">
        <v>55</v>
      </c>
      <c r="H146" t="s">
        <v>727</v>
      </c>
      <c r="I146" t="s">
        <v>728</v>
      </c>
      <c r="J146" t="s">
        <v>729</v>
      </c>
      <c r="K146" t="s">
        <v>474</v>
      </c>
      <c r="L146" t="s">
        <v>40</v>
      </c>
      <c r="M146">
        <v>1</v>
      </c>
      <c r="N146">
        <v>45</v>
      </c>
      <c r="O146">
        <v>45</v>
      </c>
      <c r="P146" t="s">
        <v>41</v>
      </c>
      <c r="Q146">
        <v>279.7</v>
      </c>
      <c r="R146">
        <v>279.7</v>
      </c>
      <c r="S146">
        <v>629.33000000000004</v>
      </c>
      <c r="T146">
        <v>12586.5</v>
      </c>
      <c r="U146">
        <v>5</v>
      </c>
      <c r="V146" t="s">
        <v>42</v>
      </c>
      <c r="W146" t="s">
        <v>474</v>
      </c>
      <c r="X146" s="6" t="str">
        <f t="shared" si="0"/>
        <v>441814964</v>
      </c>
      <c r="Y146" s="7" t="str">
        <f t="shared" si="1"/>
        <v>DC</v>
      </c>
      <c r="Z146" s="7">
        <f t="shared" si="2"/>
        <v>0</v>
      </c>
      <c r="AA146" s="7">
        <f t="shared" si="3"/>
        <v>0</v>
      </c>
      <c r="AB146" s="7">
        <f t="shared" si="4"/>
        <v>0</v>
      </c>
      <c r="AC146" s="7">
        <f t="shared" si="5"/>
        <v>0</v>
      </c>
      <c r="AD146" s="7">
        <f t="shared" si="6"/>
        <v>45</v>
      </c>
      <c r="AE146" s="8" t="str" cm="1">
        <f t="array" ref="AE146">IFERROR(_xlfn.XLOOKUP(H146,Sheet1!$G:$G,Sheet1!$F:$F),IFERROR(_xlfn.XLOOKUP(1,(--($X$2:$X$1074=X146))*(--ISNUMBER(MATCH($H$2:$H$1074,Sheet1!$G:$G,0))),_xlfn.XLOOKUP($H$2:$H$1074,Sheet1!$G:$G,Sheet1!$F:$F,"")),"NOT FOUND"))</f>
        <v>GETKRTSFUT6417</v>
      </c>
      <c r="AF146" s="9" t="str">
        <f t="shared" si="11"/>
        <v>MUSTARD</v>
      </c>
      <c r="AG146" s="10" t="str">
        <f t="shared" si="12"/>
        <v>HARIPAL</v>
      </c>
      <c r="AH146" s="8" t="str" cm="1">
        <f t="array" ref="AH146">IF(OR(J146="",AE146="",AE146="NOT FOUND"),"",IF(Y146="RP",_xlfn.LET(_xlpm.desc,_xlfn.XLOOKUP(1,(--(Sheet1!$F$2:$F$754=AE146))*(--ISNUMBER(FIND("-",Sheet1!$W$2:$W$754,FIND("-",Sheet1!$W$2:$W$754)+1))),Sheet1!$W$2:$W$754,""),IF(_xlpm.desc="","NOT FOUND",LEFT(_xlpm.desc,FIND("-",_xlpm.desc,FIND("-",_xlpm.desc)+1))&amp;AE146)),LEFT(J146,FIND("-",J146,FIND("-",J146)+1))&amp;AE146))</f>
        <v>KRTS-APWN26-GETKRTSFUT6417</v>
      </c>
    </row>
    <row r="147" spans="1:34" ht="15.75" customHeight="1" x14ac:dyDescent="0.2">
      <c r="A147" t="s">
        <v>59</v>
      </c>
      <c r="B147" t="s">
        <v>820</v>
      </c>
      <c r="C147" t="s">
        <v>1152</v>
      </c>
      <c r="D147" t="s">
        <v>1154</v>
      </c>
      <c r="E147" t="s">
        <v>34</v>
      </c>
      <c r="F147" t="s">
        <v>35</v>
      </c>
      <c r="G147" t="s">
        <v>36</v>
      </c>
      <c r="H147" t="s">
        <v>784</v>
      </c>
      <c r="I147" t="s">
        <v>785</v>
      </c>
      <c r="J147" t="s">
        <v>786</v>
      </c>
      <c r="K147" t="s">
        <v>474</v>
      </c>
      <c r="L147" t="s">
        <v>40</v>
      </c>
      <c r="M147">
        <v>1</v>
      </c>
      <c r="N147">
        <v>42</v>
      </c>
      <c r="O147">
        <v>42</v>
      </c>
      <c r="P147" t="s">
        <v>41</v>
      </c>
      <c r="Q147">
        <v>279.7</v>
      </c>
      <c r="R147">
        <v>279.7</v>
      </c>
      <c r="S147">
        <v>587.37</v>
      </c>
      <c r="T147">
        <v>11747.4</v>
      </c>
      <c r="U147">
        <v>5</v>
      </c>
      <c r="V147" t="s">
        <v>42</v>
      </c>
      <c r="W147" t="s">
        <v>474</v>
      </c>
      <c r="X147" s="6" t="str">
        <f t="shared" si="0"/>
        <v>441814960</v>
      </c>
      <c r="Y147" s="7" t="str">
        <f t="shared" si="1"/>
        <v>DC</v>
      </c>
      <c r="Z147" s="7">
        <f t="shared" si="2"/>
        <v>42</v>
      </c>
      <c r="AA147" s="7">
        <f t="shared" si="3"/>
        <v>0</v>
      </c>
      <c r="AB147" s="7">
        <f t="shared" si="4"/>
        <v>0</v>
      </c>
      <c r="AC147" s="7">
        <f t="shared" si="5"/>
        <v>0</v>
      </c>
      <c r="AD147" s="7">
        <f t="shared" si="6"/>
        <v>0</v>
      </c>
      <c r="AE147" s="8" t="str" cm="1">
        <f t="array" ref="AE147">IFERROR(_xlfn.XLOOKUP(H147,Sheet1!$G:$G,Sheet1!$F:$F),IFERROR(_xlfn.XLOOKUP(1,(--($X$2:$X$1074=X147))*(--ISNUMBER(MATCH($H$2:$H$1074,Sheet1!$G:$G,0))),_xlfn.XLOOKUP($H$2:$H$1074,Sheet1!$G:$G,Sheet1!$F:$F,"")),"NOT FOUND"))</f>
        <v>GETKRTSFUT6414</v>
      </c>
      <c r="AF147" s="9" t="str">
        <f t="shared" si="11"/>
        <v>FUCHSIA</v>
      </c>
      <c r="AG147" s="10" t="str">
        <f t="shared" si="12"/>
        <v>JHAJJAR</v>
      </c>
      <c r="AH147" s="8" t="str" cm="1">
        <f t="array" ref="AH147">IF(OR(J147="",AE147="",AE147="NOT FOUND"),"",IF(Y147="RP",_xlfn.LET(_xlpm.desc,_xlfn.XLOOKUP(1,(--(Sheet1!$F$2:$F$754=AE147))*(--ISNUMBER(FIND("-",Sheet1!$W$2:$W$754,FIND("-",Sheet1!$W$2:$W$754)+1))),Sheet1!$W$2:$W$754,""),IF(_xlpm.desc="","NOT FOUND",LEFT(_xlpm.desc,FIND("-",_xlpm.desc,FIND("-",_xlpm.desc)+1))&amp;AE147)),LEFT(J147,FIND("-",J147,FIND("-",J147)+1))&amp;AE147))</f>
        <v>KRTS-APWN26-GETKRTSFUT6414</v>
      </c>
    </row>
    <row r="148" spans="1:34" ht="15.75" customHeight="1" x14ac:dyDescent="0.2">
      <c r="A148" t="s">
        <v>59</v>
      </c>
      <c r="B148" t="s">
        <v>820</v>
      </c>
      <c r="C148" t="s">
        <v>1152</v>
      </c>
      <c r="D148" t="s">
        <v>1154</v>
      </c>
      <c r="E148" t="s">
        <v>34</v>
      </c>
      <c r="F148" t="s">
        <v>35</v>
      </c>
      <c r="G148" t="s">
        <v>43</v>
      </c>
      <c r="H148" t="s">
        <v>787</v>
      </c>
      <c r="I148" t="s">
        <v>788</v>
      </c>
      <c r="J148" t="s">
        <v>789</v>
      </c>
      <c r="K148" t="s">
        <v>474</v>
      </c>
      <c r="L148" t="s">
        <v>40</v>
      </c>
      <c r="M148">
        <v>1</v>
      </c>
      <c r="N148">
        <v>178</v>
      </c>
      <c r="O148">
        <v>178</v>
      </c>
      <c r="P148" t="s">
        <v>41</v>
      </c>
      <c r="Q148">
        <v>279.7</v>
      </c>
      <c r="R148">
        <v>279.7</v>
      </c>
      <c r="S148">
        <v>2489.33</v>
      </c>
      <c r="T148">
        <v>49786.6</v>
      </c>
      <c r="U148">
        <v>5</v>
      </c>
      <c r="V148" t="s">
        <v>42</v>
      </c>
      <c r="W148" t="s">
        <v>474</v>
      </c>
      <c r="X148" s="6" t="str">
        <f t="shared" si="0"/>
        <v>441814960</v>
      </c>
      <c r="Y148" s="7" t="str">
        <f t="shared" si="1"/>
        <v>DC</v>
      </c>
      <c r="Z148" s="7">
        <f t="shared" si="2"/>
        <v>0</v>
      </c>
      <c r="AA148" s="7">
        <f t="shared" si="3"/>
        <v>178</v>
      </c>
      <c r="AB148" s="7">
        <f t="shared" si="4"/>
        <v>0</v>
      </c>
      <c r="AC148" s="7">
        <f t="shared" si="5"/>
        <v>0</v>
      </c>
      <c r="AD148" s="7">
        <f t="shared" si="6"/>
        <v>0</v>
      </c>
      <c r="AE148" s="8" t="str" cm="1">
        <f t="array" ref="AE148">IFERROR(_xlfn.XLOOKUP(H148,Sheet1!$G:$G,Sheet1!$F:$F),IFERROR(_xlfn.XLOOKUP(1,(--($X$2:$X$1074=X148))*(--ISNUMBER(MATCH($H$2:$H$1074,Sheet1!$G:$G,0))),_xlfn.XLOOKUP($H$2:$H$1074,Sheet1!$G:$G,Sheet1!$F:$F,"")),"NOT FOUND"))</f>
        <v>GETKRTSFUT6414</v>
      </c>
      <c r="AF148" s="9" t="str">
        <f t="shared" si="11"/>
        <v>FUCHSIA</v>
      </c>
      <c r="AG148" s="10" t="str">
        <f t="shared" si="12"/>
        <v>JHAJJAR</v>
      </c>
      <c r="AH148" s="8" t="str" cm="1">
        <f t="array" ref="AH148">IF(OR(J148="",AE148="",AE148="NOT FOUND"),"",IF(Y148="RP",_xlfn.LET(_xlpm.desc,_xlfn.XLOOKUP(1,(--(Sheet1!$F$2:$F$754=AE148))*(--ISNUMBER(FIND("-",Sheet1!$W$2:$W$754,FIND("-",Sheet1!$W$2:$W$754)+1))),Sheet1!$W$2:$W$754,""),IF(_xlpm.desc="","NOT FOUND",LEFT(_xlpm.desc,FIND("-",_xlpm.desc,FIND("-",_xlpm.desc)+1))&amp;AE148)),LEFT(J148,FIND("-",J148,FIND("-",J148)+1))&amp;AE148))</f>
        <v>KRTS-APWN26-GETKRTSFUT6414</v>
      </c>
    </row>
    <row r="149" spans="1:34" ht="15.75" customHeight="1" x14ac:dyDescent="0.2">
      <c r="A149" t="s">
        <v>59</v>
      </c>
      <c r="B149" t="s">
        <v>820</v>
      </c>
      <c r="C149" t="s">
        <v>1152</v>
      </c>
      <c r="D149" t="s">
        <v>1154</v>
      </c>
      <c r="E149" t="s">
        <v>34</v>
      </c>
      <c r="F149" t="s">
        <v>35</v>
      </c>
      <c r="G149" t="s">
        <v>47</v>
      </c>
      <c r="H149" t="s">
        <v>790</v>
      </c>
      <c r="I149" t="s">
        <v>791</v>
      </c>
      <c r="J149" t="s">
        <v>792</v>
      </c>
      <c r="K149" t="s">
        <v>474</v>
      </c>
      <c r="L149" t="s">
        <v>40</v>
      </c>
      <c r="M149">
        <v>1</v>
      </c>
      <c r="N149">
        <v>167</v>
      </c>
      <c r="O149">
        <v>167</v>
      </c>
      <c r="P149" t="s">
        <v>41</v>
      </c>
      <c r="Q149">
        <v>279.7</v>
      </c>
      <c r="R149">
        <v>279.7</v>
      </c>
      <c r="S149">
        <v>2335.5</v>
      </c>
      <c r="T149">
        <v>46709.9</v>
      </c>
      <c r="U149">
        <v>5</v>
      </c>
      <c r="V149" t="s">
        <v>42</v>
      </c>
      <c r="W149" t="s">
        <v>474</v>
      </c>
      <c r="X149" s="6" t="str">
        <f t="shared" si="0"/>
        <v>441814960</v>
      </c>
      <c r="Y149" s="7" t="str">
        <f t="shared" si="1"/>
        <v>DC</v>
      </c>
      <c r="Z149" s="7">
        <f t="shared" si="2"/>
        <v>0</v>
      </c>
      <c r="AA149" s="7">
        <f t="shared" si="3"/>
        <v>0</v>
      </c>
      <c r="AB149" s="7">
        <f t="shared" si="4"/>
        <v>167</v>
      </c>
      <c r="AC149" s="7">
        <f t="shared" si="5"/>
        <v>0</v>
      </c>
      <c r="AD149" s="7">
        <f t="shared" si="6"/>
        <v>0</v>
      </c>
      <c r="AE149" s="8" t="str" cm="1">
        <f t="array" ref="AE149">IFERROR(_xlfn.XLOOKUP(H149,Sheet1!$G:$G,Sheet1!$F:$F),IFERROR(_xlfn.XLOOKUP(1,(--($X$2:$X$1074=X149))*(--ISNUMBER(MATCH($H$2:$H$1074,Sheet1!$G:$G,0))),_xlfn.XLOOKUP($H$2:$H$1074,Sheet1!$G:$G,Sheet1!$F:$F,"")),"NOT FOUND"))</f>
        <v>GETKRTSFUT6414</v>
      </c>
      <c r="AF149" s="9" t="str">
        <f t="shared" si="11"/>
        <v>FUCHSIA</v>
      </c>
      <c r="AG149" s="10" t="str">
        <f t="shared" si="12"/>
        <v>JHAJJAR</v>
      </c>
      <c r="AH149" s="8" t="str" cm="1">
        <f t="array" ref="AH149">IF(OR(J149="",AE149="",AE149="NOT FOUND"),"",IF(Y149="RP",_xlfn.LET(_xlpm.desc,_xlfn.XLOOKUP(1,(--(Sheet1!$F$2:$F$754=AE149))*(--ISNUMBER(FIND("-",Sheet1!$W$2:$W$754,FIND("-",Sheet1!$W$2:$W$754)+1))),Sheet1!$W$2:$W$754,""),IF(_xlpm.desc="","NOT FOUND",LEFT(_xlpm.desc,FIND("-",_xlpm.desc,FIND("-",_xlpm.desc)+1))&amp;AE149)),LEFT(J149,FIND("-",J149,FIND("-",J149)+1))&amp;AE149))</f>
        <v>KRTS-APWN26-GETKRTSFUT6414</v>
      </c>
    </row>
    <row r="150" spans="1:34" ht="15.75" customHeight="1" x14ac:dyDescent="0.2">
      <c r="A150" t="s">
        <v>59</v>
      </c>
      <c r="B150" t="s">
        <v>820</v>
      </c>
      <c r="C150" t="s">
        <v>1152</v>
      </c>
      <c r="D150" t="s">
        <v>1154</v>
      </c>
      <c r="E150" t="s">
        <v>34</v>
      </c>
      <c r="F150" t="s">
        <v>35</v>
      </c>
      <c r="G150" t="s">
        <v>51</v>
      </c>
      <c r="H150" t="s">
        <v>793</v>
      </c>
      <c r="I150" t="s">
        <v>794</v>
      </c>
      <c r="J150" t="s">
        <v>795</v>
      </c>
      <c r="K150" t="s">
        <v>474</v>
      </c>
      <c r="L150" t="s">
        <v>40</v>
      </c>
      <c r="M150">
        <v>1</v>
      </c>
      <c r="N150">
        <v>178</v>
      </c>
      <c r="O150">
        <v>178</v>
      </c>
      <c r="P150" t="s">
        <v>41</v>
      </c>
      <c r="Q150">
        <v>279.7</v>
      </c>
      <c r="R150">
        <v>279.7</v>
      </c>
      <c r="S150">
        <v>2489.33</v>
      </c>
      <c r="T150">
        <v>49786.6</v>
      </c>
      <c r="U150">
        <v>5</v>
      </c>
      <c r="V150" t="s">
        <v>42</v>
      </c>
      <c r="W150" t="s">
        <v>474</v>
      </c>
      <c r="X150" s="6" t="str">
        <f t="shared" si="0"/>
        <v>441814960</v>
      </c>
      <c r="Y150" s="7" t="str">
        <f t="shared" si="1"/>
        <v>DC</v>
      </c>
      <c r="Z150" s="7">
        <f t="shared" si="2"/>
        <v>0</v>
      </c>
      <c r="AA150" s="7">
        <f t="shared" si="3"/>
        <v>0</v>
      </c>
      <c r="AB150" s="7">
        <f t="shared" si="4"/>
        <v>0</v>
      </c>
      <c r="AC150" s="7">
        <f t="shared" si="5"/>
        <v>178</v>
      </c>
      <c r="AD150" s="7">
        <f t="shared" si="6"/>
        <v>0</v>
      </c>
      <c r="AE150" s="8" t="str" cm="1">
        <f t="array" ref="AE150">IFERROR(_xlfn.XLOOKUP(H150,Sheet1!$G:$G,Sheet1!$F:$F),IFERROR(_xlfn.XLOOKUP(1,(--($X$2:$X$1074=X150))*(--ISNUMBER(MATCH($H$2:$H$1074,Sheet1!$G:$G,0))),_xlfn.XLOOKUP($H$2:$H$1074,Sheet1!$G:$G,Sheet1!$F:$F,"")),"NOT FOUND"))</f>
        <v>GETKRTSFUT6414</v>
      </c>
      <c r="AF150" s="9" t="str">
        <f t="shared" si="11"/>
        <v>FUCHSIA</v>
      </c>
      <c r="AG150" s="10" t="str">
        <f t="shared" si="12"/>
        <v>JHAJJAR</v>
      </c>
      <c r="AH150" s="8" t="str" cm="1">
        <f t="array" ref="AH150">IF(OR(J150="",AE150="",AE150="NOT FOUND"),"",IF(Y150="RP",_xlfn.LET(_xlpm.desc,_xlfn.XLOOKUP(1,(--(Sheet1!$F$2:$F$754=AE150))*(--ISNUMBER(FIND("-",Sheet1!$W$2:$W$754,FIND("-",Sheet1!$W$2:$W$754)+1))),Sheet1!$W$2:$W$754,""),IF(_xlpm.desc="","NOT FOUND",LEFT(_xlpm.desc,FIND("-",_xlpm.desc,FIND("-",_xlpm.desc)+1))&amp;AE150)),LEFT(J150,FIND("-",J150,FIND("-",J150)+1))&amp;AE150))</f>
        <v>KRTS-APWN26-GETKRTSFUT6414</v>
      </c>
    </row>
    <row r="151" spans="1:34" ht="15.75" customHeight="1" x14ac:dyDescent="0.2">
      <c r="A151" t="s">
        <v>59</v>
      </c>
      <c r="B151" t="s">
        <v>820</v>
      </c>
      <c r="C151" t="s">
        <v>1152</v>
      </c>
      <c r="D151" t="s">
        <v>1154</v>
      </c>
      <c r="E151" t="s">
        <v>34</v>
      </c>
      <c r="F151" t="s">
        <v>35</v>
      </c>
      <c r="G151" t="s">
        <v>55</v>
      </c>
      <c r="H151" t="s">
        <v>796</v>
      </c>
      <c r="I151" t="s">
        <v>797</v>
      </c>
      <c r="J151" t="s">
        <v>798</v>
      </c>
      <c r="K151" t="s">
        <v>474</v>
      </c>
      <c r="L151" t="s">
        <v>40</v>
      </c>
      <c r="M151">
        <v>1</v>
      </c>
      <c r="N151">
        <v>63</v>
      </c>
      <c r="O151">
        <v>63</v>
      </c>
      <c r="P151" t="s">
        <v>41</v>
      </c>
      <c r="Q151">
        <v>279.7</v>
      </c>
      <c r="R151">
        <v>279.7</v>
      </c>
      <c r="S151">
        <v>881.06</v>
      </c>
      <c r="T151">
        <v>17621.099999999999</v>
      </c>
      <c r="U151">
        <v>5</v>
      </c>
      <c r="V151" t="s">
        <v>42</v>
      </c>
      <c r="W151" t="s">
        <v>474</v>
      </c>
      <c r="X151" s="6" t="str">
        <f t="shared" si="0"/>
        <v>441814960</v>
      </c>
      <c r="Y151" s="7" t="str">
        <f t="shared" si="1"/>
        <v>DC</v>
      </c>
      <c r="Z151" s="7">
        <f t="shared" si="2"/>
        <v>0</v>
      </c>
      <c r="AA151" s="7">
        <f t="shared" si="3"/>
        <v>0</v>
      </c>
      <c r="AB151" s="7">
        <f t="shared" si="4"/>
        <v>0</v>
      </c>
      <c r="AC151" s="7">
        <f t="shared" si="5"/>
        <v>0</v>
      </c>
      <c r="AD151" s="7">
        <f t="shared" si="6"/>
        <v>63</v>
      </c>
      <c r="AE151" s="8" t="str" cm="1">
        <f t="array" ref="AE151">IFERROR(_xlfn.XLOOKUP(H151,Sheet1!$G:$G,Sheet1!$F:$F),IFERROR(_xlfn.XLOOKUP(1,(--($X$2:$X$1074=X151))*(--ISNUMBER(MATCH($H$2:$H$1074,Sheet1!$G:$G,0))),_xlfn.XLOOKUP($H$2:$H$1074,Sheet1!$G:$G,Sheet1!$F:$F,"")),"NOT FOUND"))</f>
        <v>GETKRTSFUT6414</v>
      </c>
      <c r="AF151" s="9" t="str">
        <f t="shared" si="11"/>
        <v>FUCHSIA</v>
      </c>
      <c r="AG151" s="10" t="str">
        <f t="shared" si="12"/>
        <v>JHAJJAR</v>
      </c>
      <c r="AH151" s="8" t="str" cm="1">
        <f t="array" ref="AH151">IF(OR(J151="",AE151="",AE151="NOT FOUND"),"",IF(Y151="RP",_xlfn.LET(_xlpm.desc,_xlfn.XLOOKUP(1,(--(Sheet1!$F$2:$F$754=AE151))*(--ISNUMBER(FIND("-",Sheet1!$W$2:$W$754,FIND("-",Sheet1!$W$2:$W$754)+1))),Sheet1!$W$2:$W$754,""),IF(_xlpm.desc="","NOT FOUND",LEFT(_xlpm.desc,FIND("-",_xlpm.desc,FIND("-",_xlpm.desc)+1))&amp;AE151)),LEFT(J151,FIND("-",J151,FIND("-",J151)+1))&amp;AE151))</f>
        <v>KRTS-APWN26-GETKRTSFUT6414</v>
      </c>
    </row>
    <row r="152" spans="1:34" ht="15.75" customHeight="1" x14ac:dyDescent="0.2">
      <c r="A152" t="s">
        <v>59</v>
      </c>
      <c r="B152" t="s">
        <v>821</v>
      </c>
      <c r="C152" t="s">
        <v>1152</v>
      </c>
      <c r="D152" t="s">
        <v>1154</v>
      </c>
      <c r="E152" t="s">
        <v>34</v>
      </c>
      <c r="F152" t="s">
        <v>35</v>
      </c>
      <c r="G152" t="s">
        <v>36</v>
      </c>
      <c r="H152" t="s">
        <v>801</v>
      </c>
      <c r="I152" t="s">
        <v>802</v>
      </c>
      <c r="J152" t="s">
        <v>803</v>
      </c>
      <c r="K152" t="s">
        <v>474</v>
      </c>
      <c r="L152" t="s">
        <v>40</v>
      </c>
      <c r="M152">
        <v>1</v>
      </c>
      <c r="N152">
        <v>42</v>
      </c>
      <c r="O152">
        <v>42</v>
      </c>
      <c r="P152" t="s">
        <v>41</v>
      </c>
      <c r="Q152">
        <v>279.7</v>
      </c>
      <c r="R152">
        <v>279.7</v>
      </c>
      <c r="S152">
        <v>587.37</v>
      </c>
      <c r="T152">
        <v>11747.4</v>
      </c>
      <c r="U152">
        <v>5</v>
      </c>
      <c r="V152" t="s">
        <v>42</v>
      </c>
      <c r="W152" t="s">
        <v>474</v>
      </c>
      <c r="X152" s="6" t="str">
        <f t="shared" si="0"/>
        <v>441814959</v>
      </c>
      <c r="Y152" s="7" t="str">
        <f t="shared" si="1"/>
        <v>DC</v>
      </c>
      <c r="Z152" s="7">
        <f t="shared" si="2"/>
        <v>42</v>
      </c>
      <c r="AA152" s="7">
        <f t="shared" si="3"/>
        <v>0</v>
      </c>
      <c r="AB152" s="7">
        <f t="shared" si="4"/>
        <v>0</v>
      </c>
      <c r="AC152" s="7">
        <f t="shared" si="5"/>
        <v>0</v>
      </c>
      <c r="AD152" s="7">
        <f t="shared" si="6"/>
        <v>0</v>
      </c>
      <c r="AE152" s="8" t="str" cm="1">
        <f t="array" ref="AE152">IFERROR(_xlfn.XLOOKUP(H152,Sheet1!$G:$G,Sheet1!$F:$F),IFERROR(_xlfn.XLOOKUP(1,(--($X$2:$X$1074=X152))*(--ISNUMBER(MATCH($H$2:$H$1074,Sheet1!$G:$G,0))),_xlfn.XLOOKUP($H$2:$H$1074,Sheet1!$G:$G,Sheet1!$F:$F,"")),"NOT FOUND"))</f>
        <v>GETKRTSFUT6413</v>
      </c>
      <c r="AF152" s="9" t="str">
        <f t="shared" si="11"/>
        <v>Mauve</v>
      </c>
      <c r="AG152" s="10" t="str">
        <f t="shared" si="12"/>
        <v>JHAJJAR</v>
      </c>
      <c r="AH152" s="8" t="str" cm="1">
        <f t="array" ref="AH152">IF(OR(J152="",AE152="",AE152="NOT FOUND"),"",IF(Y152="RP",_xlfn.LET(_xlpm.desc,_xlfn.XLOOKUP(1,(--(Sheet1!$F$2:$F$754=AE152))*(--ISNUMBER(FIND("-",Sheet1!$W$2:$W$754,FIND("-",Sheet1!$W$2:$W$754)+1))),Sheet1!$W$2:$W$754,""),IF(_xlpm.desc="","NOT FOUND",LEFT(_xlpm.desc,FIND("-",_xlpm.desc,FIND("-",_xlpm.desc)+1))&amp;AE152)),LEFT(J152,FIND("-",J152,FIND("-",J152)+1))&amp;AE152))</f>
        <v>KRTS-APWN26-GETKRTSFUT6413</v>
      </c>
    </row>
    <row r="153" spans="1:34" ht="15.75" customHeight="1" x14ac:dyDescent="0.2">
      <c r="A153" t="s">
        <v>59</v>
      </c>
      <c r="B153" t="s">
        <v>821</v>
      </c>
      <c r="C153" t="s">
        <v>1152</v>
      </c>
      <c r="D153" t="s">
        <v>1154</v>
      </c>
      <c r="E153" t="s">
        <v>34</v>
      </c>
      <c r="F153" t="s">
        <v>35</v>
      </c>
      <c r="G153" t="s">
        <v>43</v>
      </c>
      <c r="H153" t="s">
        <v>804</v>
      </c>
      <c r="I153" t="s">
        <v>805</v>
      </c>
      <c r="J153" t="s">
        <v>806</v>
      </c>
      <c r="K153" t="s">
        <v>474</v>
      </c>
      <c r="L153" t="s">
        <v>40</v>
      </c>
      <c r="M153">
        <v>1</v>
      </c>
      <c r="N153">
        <v>178</v>
      </c>
      <c r="O153">
        <v>178</v>
      </c>
      <c r="P153" t="s">
        <v>41</v>
      </c>
      <c r="Q153">
        <v>279.7</v>
      </c>
      <c r="R153">
        <v>279.7</v>
      </c>
      <c r="S153">
        <v>2489.33</v>
      </c>
      <c r="T153">
        <v>49786.6</v>
      </c>
      <c r="U153">
        <v>5</v>
      </c>
      <c r="V153" t="s">
        <v>42</v>
      </c>
      <c r="W153" t="s">
        <v>474</v>
      </c>
      <c r="X153" s="6" t="str">
        <f t="shared" si="0"/>
        <v>441814959</v>
      </c>
      <c r="Y153" s="7" t="str">
        <f t="shared" si="1"/>
        <v>DC</v>
      </c>
      <c r="Z153" s="7">
        <f t="shared" si="2"/>
        <v>0</v>
      </c>
      <c r="AA153" s="7">
        <f t="shared" si="3"/>
        <v>178</v>
      </c>
      <c r="AB153" s="7">
        <f t="shared" si="4"/>
        <v>0</v>
      </c>
      <c r="AC153" s="7">
        <f t="shared" si="5"/>
        <v>0</v>
      </c>
      <c r="AD153" s="7">
        <f t="shared" si="6"/>
        <v>0</v>
      </c>
      <c r="AE153" s="8" t="str" cm="1">
        <f t="array" ref="AE153">IFERROR(_xlfn.XLOOKUP(H153,Sheet1!$G:$G,Sheet1!$F:$F),IFERROR(_xlfn.XLOOKUP(1,(--($X$2:$X$1074=X153))*(--ISNUMBER(MATCH($H$2:$H$1074,Sheet1!$G:$G,0))),_xlfn.XLOOKUP($H$2:$H$1074,Sheet1!$G:$G,Sheet1!$F:$F,"")),"NOT FOUND"))</f>
        <v>GETKRTSFUT6413</v>
      </c>
      <c r="AF153" s="9" t="str">
        <f t="shared" si="11"/>
        <v>Mauve</v>
      </c>
      <c r="AG153" s="10" t="str">
        <f t="shared" si="12"/>
        <v>JHAJJAR</v>
      </c>
      <c r="AH153" s="8" t="str" cm="1">
        <f t="array" ref="AH153">IF(OR(J153="",AE153="",AE153="NOT FOUND"),"",IF(Y153="RP",_xlfn.LET(_xlpm.desc,_xlfn.XLOOKUP(1,(--(Sheet1!$F$2:$F$754=AE153))*(--ISNUMBER(FIND("-",Sheet1!$W$2:$W$754,FIND("-",Sheet1!$W$2:$W$754)+1))),Sheet1!$W$2:$W$754,""),IF(_xlpm.desc="","NOT FOUND",LEFT(_xlpm.desc,FIND("-",_xlpm.desc,FIND("-",_xlpm.desc)+1))&amp;AE153)),LEFT(J153,FIND("-",J153,FIND("-",J153)+1))&amp;AE153))</f>
        <v>KRTS-APWN26-GETKRTSFUT6413</v>
      </c>
    </row>
    <row r="154" spans="1:34" ht="15.75" customHeight="1" x14ac:dyDescent="0.2">
      <c r="A154" t="s">
        <v>59</v>
      </c>
      <c r="B154" t="s">
        <v>821</v>
      </c>
      <c r="C154" t="s">
        <v>1152</v>
      </c>
      <c r="D154" t="s">
        <v>1154</v>
      </c>
      <c r="E154" t="s">
        <v>34</v>
      </c>
      <c r="F154" t="s">
        <v>35</v>
      </c>
      <c r="G154" t="s">
        <v>47</v>
      </c>
      <c r="H154" t="s">
        <v>807</v>
      </c>
      <c r="I154" t="s">
        <v>808</v>
      </c>
      <c r="J154" t="s">
        <v>809</v>
      </c>
      <c r="K154" t="s">
        <v>474</v>
      </c>
      <c r="L154" t="s">
        <v>40</v>
      </c>
      <c r="M154">
        <v>1</v>
      </c>
      <c r="N154">
        <v>167</v>
      </c>
      <c r="O154">
        <v>167</v>
      </c>
      <c r="P154" t="s">
        <v>41</v>
      </c>
      <c r="Q154">
        <v>279.7</v>
      </c>
      <c r="R154">
        <v>279.7</v>
      </c>
      <c r="S154">
        <v>2335.5</v>
      </c>
      <c r="T154">
        <v>46709.9</v>
      </c>
      <c r="U154">
        <v>5</v>
      </c>
      <c r="V154" t="s">
        <v>42</v>
      </c>
      <c r="W154" t="s">
        <v>474</v>
      </c>
      <c r="X154" s="6" t="str">
        <f t="shared" si="0"/>
        <v>441814959</v>
      </c>
      <c r="Y154" s="7" t="str">
        <f t="shared" si="1"/>
        <v>DC</v>
      </c>
      <c r="Z154" s="7">
        <f t="shared" si="2"/>
        <v>0</v>
      </c>
      <c r="AA154" s="7">
        <f t="shared" si="3"/>
        <v>0</v>
      </c>
      <c r="AB154" s="7">
        <f t="shared" si="4"/>
        <v>167</v>
      </c>
      <c r="AC154" s="7">
        <f t="shared" si="5"/>
        <v>0</v>
      </c>
      <c r="AD154" s="7">
        <f t="shared" si="6"/>
        <v>0</v>
      </c>
      <c r="AE154" s="8" t="str" cm="1">
        <f t="array" ref="AE154">IFERROR(_xlfn.XLOOKUP(H154,Sheet1!$G:$G,Sheet1!$F:$F),IFERROR(_xlfn.XLOOKUP(1,(--($X$2:$X$1074=X154))*(--ISNUMBER(MATCH($H$2:$H$1074,Sheet1!$G:$G,0))),_xlfn.XLOOKUP($H$2:$H$1074,Sheet1!$G:$G,Sheet1!$F:$F,"")),"NOT FOUND"))</f>
        <v>GETKRTSFUT6413</v>
      </c>
      <c r="AF154" s="9" t="str">
        <f t="shared" si="11"/>
        <v>Mauve</v>
      </c>
      <c r="AG154" s="10" t="str">
        <f t="shared" si="12"/>
        <v>JHAJJAR</v>
      </c>
      <c r="AH154" s="8" t="str" cm="1">
        <f t="array" ref="AH154">IF(OR(J154="",AE154="",AE154="NOT FOUND"),"",IF(Y154="RP",_xlfn.LET(_xlpm.desc,_xlfn.XLOOKUP(1,(--(Sheet1!$F$2:$F$754=AE154))*(--ISNUMBER(FIND("-",Sheet1!$W$2:$W$754,FIND("-",Sheet1!$W$2:$W$754)+1))),Sheet1!$W$2:$W$754,""),IF(_xlpm.desc="","NOT FOUND",LEFT(_xlpm.desc,FIND("-",_xlpm.desc,FIND("-",_xlpm.desc)+1))&amp;AE154)),LEFT(J154,FIND("-",J154,FIND("-",J154)+1))&amp;AE154))</f>
        <v>KRTS-APWN26-GETKRTSFUT6413</v>
      </c>
    </row>
    <row r="155" spans="1:34" ht="15.75" customHeight="1" x14ac:dyDescent="0.2">
      <c r="A155" t="s">
        <v>59</v>
      </c>
      <c r="B155" t="s">
        <v>821</v>
      </c>
      <c r="C155" t="s">
        <v>1152</v>
      </c>
      <c r="D155" t="s">
        <v>1154</v>
      </c>
      <c r="E155" t="s">
        <v>34</v>
      </c>
      <c r="F155" t="s">
        <v>35</v>
      </c>
      <c r="G155" t="s">
        <v>51</v>
      </c>
      <c r="H155" t="s">
        <v>810</v>
      </c>
      <c r="I155" t="s">
        <v>811</v>
      </c>
      <c r="J155" t="s">
        <v>812</v>
      </c>
      <c r="K155" t="s">
        <v>474</v>
      </c>
      <c r="L155" t="s">
        <v>40</v>
      </c>
      <c r="M155">
        <v>1</v>
      </c>
      <c r="N155">
        <v>178</v>
      </c>
      <c r="O155">
        <v>178</v>
      </c>
      <c r="P155" t="s">
        <v>41</v>
      </c>
      <c r="Q155">
        <v>279.7</v>
      </c>
      <c r="R155">
        <v>279.7</v>
      </c>
      <c r="S155">
        <v>2489.33</v>
      </c>
      <c r="T155">
        <v>49786.6</v>
      </c>
      <c r="U155">
        <v>5</v>
      </c>
      <c r="V155" t="s">
        <v>42</v>
      </c>
      <c r="W155" t="s">
        <v>474</v>
      </c>
      <c r="X155" s="6" t="str">
        <f t="shared" si="0"/>
        <v>441814959</v>
      </c>
      <c r="Y155" s="7" t="str">
        <f t="shared" si="1"/>
        <v>DC</v>
      </c>
      <c r="Z155" s="7">
        <f t="shared" si="2"/>
        <v>0</v>
      </c>
      <c r="AA155" s="7">
        <f t="shared" si="3"/>
        <v>0</v>
      </c>
      <c r="AB155" s="7">
        <f t="shared" si="4"/>
        <v>0</v>
      </c>
      <c r="AC155" s="7">
        <f t="shared" si="5"/>
        <v>178</v>
      </c>
      <c r="AD155" s="7">
        <f t="shared" si="6"/>
        <v>0</v>
      </c>
      <c r="AE155" s="8" t="str" cm="1">
        <f t="array" ref="AE155">IFERROR(_xlfn.XLOOKUP(H155,Sheet1!$G:$G,Sheet1!$F:$F),IFERROR(_xlfn.XLOOKUP(1,(--($X$2:$X$1074=X155))*(--ISNUMBER(MATCH($H$2:$H$1074,Sheet1!$G:$G,0))),_xlfn.XLOOKUP($H$2:$H$1074,Sheet1!$G:$G,Sheet1!$F:$F,"")),"NOT FOUND"))</f>
        <v>GETKRTSFUT6413</v>
      </c>
      <c r="AF155" s="9" t="str">
        <f t="shared" si="11"/>
        <v>Mauve</v>
      </c>
      <c r="AG155" s="10" t="str">
        <f t="shared" si="12"/>
        <v>JHAJJAR</v>
      </c>
      <c r="AH155" s="8" t="str" cm="1">
        <f t="array" ref="AH155">IF(OR(J155="",AE155="",AE155="NOT FOUND"),"",IF(Y155="RP",_xlfn.LET(_xlpm.desc,_xlfn.XLOOKUP(1,(--(Sheet1!$F$2:$F$754=AE155))*(--ISNUMBER(FIND("-",Sheet1!$W$2:$W$754,FIND("-",Sheet1!$W$2:$W$754)+1))),Sheet1!$W$2:$W$754,""),IF(_xlpm.desc="","NOT FOUND",LEFT(_xlpm.desc,FIND("-",_xlpm.desc,FIND("-",_xlpm.desc)+1))&amp;AE155)),LEFT(J155,FIND("-",J155,FIND("-",J155)+1))&amp;AE155))</f>
        <v>KRTS-APWN26-GETKRTSFUT6413</v>
      </c>
    </row>
    <row r="156" spans="1:34" ht="15.75" customHeight="1" x14ac:dyDescent="0.2">
      <c r="A156" t="s">
        <v>59</v>
      </c>
      <c r="B156" t="s">
        <v>821</v>
      </c>
      <c r="C156" t="s">
        <v>1152</v>
      </c>
      <c r="D156" t="s">
        <v>1154</v>
      </c>
      <c r="E156" t="s">
        <v>34</v>
      </c>
      <c r="F156" t="s">
        <v>35</v>
      </c>
      <c r="G156" t="s">
        <v>55</v>
      </c>
      <c r="H156" t="s">
        <v>813</v>
      </c>
      <c r="I156" t="s">
        <v>814</v>
      </c>
      <c r="J156" t="s">
        <v>815</v>
      </c>
      <c r="K156" t="s">
        <v>474</v>
      </c>
      <c r="L156" t="s">
        <v>40</v>
      </c>
      <c r="M156">
        <v>1</v>
      </c>
      <c r="N156">
        <v>63</v>
      </c>
      <c r="O156">
        <v>63</v>
      </c>
      <c r="P156" t="s">
        <v>41</v>
      </c>
      <c r="Q156">
        <v>279.7</v>
      </c>
      <c r="R156">
        <v>279.7</v>
      </c>
      <c r="S156">
        <v>881.06</v>
      </c>
      <c r="T156">
        <v>17621.099999999999</v>
      </c>
      <c r="U156">
        <v>5</v>
      </c>
      <c r="V156" t="s">
        <v>42</v>
      </c>
      <c r="W156" t="s">
        <v>474</v>
      </c>
      <c r="X156" s="6" t="str">
        <f t="shared" si="0"/>
        <v>441814959</v>
      </c>
      <c r="Y156" s="7" t="str">
        <f t="shared" si="1"/>
        <v>DC</v>
      </c>
      <c r="Z156" s="7">
        <f t="shared" si="2"/>
        <v>0</v>
      </c>
      <c r="AA156" s="7">
        <f t="shared" si="3"/>
        <v>0</v>
      </c>
      <c r="AB156" s="7">
        <f t="shared" si="4"/>
        <v>0</v>
      </c>
      <c r="AC156" s="7">
        <f t="shared" si="5"/>
        <v>0</v>
      </c>
      <c r="AD156" s="7">
        <f t="shared" si="6"/>
        <v>63</v>
      </c>
      <c r="AE156" s="8" t="str" cm="1">
        <f t="array" ref="AE156">IFERROR(_xlfn.XLOOKUP(H156,Sheet1!$G:$G,Sheet1!$F:$F),IFERROR(_xlfn.XLOOKUP(1,(--($X$2:$X$1074=X156))*(--ISNUMBER(MATCH($H$2:$H$1074,Sheet1!$G:$G,0))),_xlfn.XLOOKUP($H$2:$H$1074,Sheet1!$G:$G,Sheet1!$F:$F,"")),"NOT FOUND"))</f>
        <v>GETKRTSFUT6413</v>
      </c>
      <c r="AF156" s="9" t="str">
        <f t="shared" si="11"/>
        <v>Mauve</v>
      </c>
      <c r="AG156" s="10" t="str">
        <f t="shared" si="12"/>
        <v>JHAJJAR</v>
      </c>
      <c r="AH156" s="8" t="str" cm="1">
        <f t="array" ref="AH156">IF(OR(J156="",AE156="",AE156="NOT FOUND"),"",IF(Y156="RP",_xlfn.LET(_xlpm.desc,_xlfn.XLOOKUP(1,(--(Sheet1!$F$2:$F$754=AE156))*(--ISNUMBER(FIND("-",Sheet1!$W$2:$W$754,FIND("-",Sheet1!$W$2:$W$754)+1))),Sheet1!$W$2:$W$754,""),IF(_xlpm.desc="","NOT FOUND",LEFT(_xlpm.desc,FIND("-",_xlpm.desc,FIND("-",_xlpm.desc)+1))&amp;AE156)),LEFT(J156,FIND("-",J156,FIND("-",J156)+1))&amp;AE156))</f>
        <v>KRTS-APWN26-GETKRTSFUT6413</v>
      </c>
    </row>
    <row r="157" spans="1:34" ht="15.75" customHeight="1" x14ac:dyDescent="0.2">
      <c r="A157" t="s">
        <v>61</v>
      </c>
      <c r="B157" t="s">
        <v>822</v>
      </c>
      <c r="C157" t="s">
        <v>1152</v>
      </c>
      <c r="D157" t="s">
        <v>1154</v>
      </c>
      <c r="E157" t="s">
        <v>34</v>
      </c>
      <c r="F157" t="s">
        <v>35</v>
      </c>
      <c r="G157" t="s">
        <v>36</v>
      </c>
      <c r="H157" t="s">
        <v>732</v>
      </c>
      <c r="I157" t="s">
        <v>733</v>
      </c>
      <c r="J157" t="s">
        <v>734</v>
      </c>
      <c r="K157" t="s">
        <v>474</v>
      </c>
      <c r="L157" t="s">
        <v>40</v>
      </c>
      <c r="M157">
        <v>1</v>
      </c>
      <c r="N157">
        <v>30</v>
      </c>
      <c r="O157">
        <v>30</v>
      </c>
      <c r="P157" t="s">
        <v>41</v>
      </c>
      <c r="Q157">
        <v>279.7</v>
      </c>
      <c r="R157">
        <v>279.7</v>
      </c>
      <c r="S157">
        <v>419.55</v>
      </c>
      <c r="T157">
        <v>8391</v>
      </c>
      <c r="U157">
        <v>5</v>
      </c>
      <c r="V157" t="s">
        <v>42</v>
      </c>
      <c r="W157" t="s">
        <v>474</v>
      </c>
      <c r="X157" s="6" t="str">
        <f t="shared" si="0"/>
        <v>441814963</v>
      </c>
      <c r="Y157" s="7" t="str">
        <f t="shared" si="1"/>
        <v>DC</v>
      </c>
      <c r="Z157" s="7">
        <f t="shared" si="2"/>
        <v>30</v>
      </c>
      <c r="AA157" s="7">
        <f t="shared" si="3"/>
        <v>0</v>
      </c>
      <c r="AB157" s="7">
        <f t="shared" si="4"/>
        <v>0</v>
      </c>
      <c r="AC157" s="7">
        <f t="shared" si="5"/>
        <v>0</v>
      </c>
      <c r="AD157" s="7">
        <f t="shared" si="6"/>
        <v>0</v>
      </c>
      <c r="AE157" s="8" t="str" cm="1">
        <f t="array" ref="AE157">IFERROR(_xlfn.XLOOKUP(H157,Sheet1!$G:$G,Sheet1!$F:$F),IFERROR(_xlfn.XLOOKUP(1,(--($X$2:$X$1074=X157))*(--ISNUMBER(MATCH($H$2:$H$1074,Sheet1!$G:$G,0))),_xlfn.XLOOKUP($H$2:$H$1074,Sheet1!$G:$G,Sheet1!$F:$F,"")),"NOT FOUND"))</f>
        <v>GETKRTSFUT6416</v>
      </c>
      <c r="AF157" s="9" t="str">
        <f t="shared" si="11"/>
        <v>Mauve</v>
      </c>
      <c r="AG157" s="10" t="str">
        <f t="shared" si="12"/>
        <v>HARIPAL</v>
      </c>
      <c r="AH157" s="8" t="str" cm="1">
        <f t="array" ref="AH157">IF(OR(J157="",AE157="",AE157="NOT FOUND"),"",IF(Y157="RP",_xlfn.LET(_xlpm.desc,_xlfn.XLOOKUP(1,(--(Sheet1!$F$2:$F$754=AE157))*(--ISNUMBER(FIND("-",Sheet1!$W$2:$W$754,FIND("-",Sheet1!$W$2:$W$754)+1))),Sheet1!$W$2:$W$754,""),IF(_xlpm.desc="","NOT FOUND",LEFT(_xlpm.desc,FIND("-",_xlpm.desc,FIND("-",_xlpm.desc)+1))&amp;AE157)),LEFT(J157,FIND("-",J157,FIND("-",J157)+1))&amp;AE157))</f>
        <v>KRTS-APWN26-GETKRTSFUT6416</v>
      </c>
    </row>
    <row r="158" spans="1:34" ht="15.75" customHeight="1" x14ac:dyDescent="0.2">
      <c r="A158" t="s">
        <v>61</v>
      </c>
      <c r="B158" t="s">
        <v>822</v>
      </c>
      <c r="C158" t="s">
        <v>1152</v>
      </c>
      <c r="D158" t="s">
        <v>1154</v>
      </c>
      <c r="E158" t="s">
        <v>34</v>
      </c>
      <c r="F158" t="s">
        <v>35</v>
      </c>
      <c r="G158" t="s">
        <v>43</v>
      </c>
      <c r="H158" t="s">
        <v>735</v>
      </c>
      <c r="I158" t="s">
        <v>736</v>
      </c>
      <c r="J158" t="s">
        <v>737</v>
      </c>
      <c r="K158" t="s">
        <v>474</v>
      </c>
      <c r="L158" t="s">
        <v>40</v>
      </c>
      <c r="M158">
        <v>1</v>
      </c>
      <c r="N158">
        <v>127</v>
      </c>
      <c r="O158">
        <v>127</v>
      </c>
      <c r="P158" t="s">
        <v>41</v>
      </c>
      <c r="Q158">
        <v>279.7</v>
      </c>
      <c r="R158">
        <v>279.7</v>
      </c>
      <c r="S158">
        <v>1776.1</v>
      </c>
      <c r="T158">
        <v>35521.9</v>
      </c>
      <c r="U158">
        <v>5</v>
      </c>
      <c r="V158" t="s">
        <v>42</v>
      </c>
      <c r="W158" t="s">
        <v>474</v>
      </c>
      <c r="X158" s="6" t="str">
        <f t="shared" si="0"/>
        <v>441814963</v>
      </c>
      <c r="Y158" s="7" t="str">
        <f t="shared" si="1"/>
        <v>DC</v>
      </c>
      <c r="Z158" s="7">
        <f t="shared" si="2"/>
        <v>0</v>
      </c>
      <c r="AA158" s="7">
        <f t="shared" si="3"/>
        <v>127</v>
      </c>
      <c r="AB158" s="7">
        <f t="shared" si="4"/>
        <v>0</v>
      </c>
      <c r="AC158" s="7">
        <f t="shared" si="5"/>
        <v>0</v>
      </c>
      <c r="AD158" s="7">
        <f t="shared" si="6"/>
        <v>0</v>
      </c>
      <c r="AE158" s="8" t="str" cm="1">
        <f t="array" ref="AE158">IFERROR(_xlfn.XLOOKUP(H158,Sheet1!$G:$G,Sheet1!$F:$F),IFERROR(_xlfn.XLOOKUP(1,(--($X$2:$X$1074=X158))*(--ISNUMBER(MATCH($H$2:$H$1074,Sheet1!$G:$G,0))),_xlfn.XLOOKUP($H$2:$H$1074,Sheet1!$G:$G,Sheet1!$F:$F,"")),"NOT FOUND"))</f>
        <v>GETKRTSFUT6416</v>
      </c>
      <c r="AF158" s="9" t="str">
        <f t="shared" si="11"/>
        <v>Mauve</v>
      </c>
      <c r="AG158" s="10" t="str">
        <f t="shared" si="12"/>
        <v>HARIPAL</v>
      </c>
      <c r="AH158" s="8" t="str" cm="1">
        <f t="array" ref="AH158">IF(OR(J158="",AE158="",AE158="NOT FOUND"),"",IF(Y158="RP",_xlfn.LET(_xlpm.desc,_xlfn.XLOOKUP(1,(--(Sheet1!$F$2:$F$754=AE158))*(--ISNUMBER(FIND("-",Sheet1!$W$2:$W$754,FIND("-",Sheet1!$W$2:$W$754)+1))),Sheet1!$W$2:$W$754,""),IF(_xlpm.desc="","NOT FOUND",LEFT(_xlpm.desc,FIND("-",_xlpm.desc,FIND("-",_xlpm.desc)+1))&amp;AE158)),LEFT(J158,FIND("-",J158,FIND("-",J158)+1))&amp;AE158))</f>
        <v>KRTS-APWN26-GETKRTSFUT6416</v>
      </c>
    </row>
    <row r="159" spans="1:34" ht="15.75" customHeight="1" x14ac:dyDescent="0.2">
      <c r="A159" t="s">
        <v>61</v>
      </c>
      <c r="B159" t="s">
        <v>822</v>
      </c>
      <c r="C159" t="s">
        <v>1152</v>
      </c>
      <c r="D159" t="s">
        <v>1154</v>
      </c>
      <c r="E159" t="s">
        <v>34</v>
      </c>
      <c r="F159" t="s">
        <v>35</v>
      </c>
      <c r="G159" t="s">
        <v>47</v>
      </c>
      <c r="H159" t="s">
        <v>738</v>
      </c>
      <c r="I159" t="s">
        <v>739</v>
      </c>
      <c r="J159" t="s">
        <v>740</v>
      </c>
      <c r="K159" t="s">
        <v>474</v>
      </c>
      <c r="L159" t="s">
        <v>40</v>
      </c>
      <c r="M159">
        <v>1</v>
      </c>
      <c r="N159">
        <v>120</v>
      </c>
      <c r="O159">
        <v>120</v>
      </c>
      <c r="P159" t="s">
        <v>41</v>
      </c>
      <c r="Q159">
        <v>279.7</v>
      </c>
      <c r="R159">
        <v>279.7</v>
      </c>
      <c r="S159">
        <v>1678.2</v>
      </c>
      <c r="T159">
        <v>33564</v>
      </c>
      <c r="U159">
        <v>5</v>
      </c>
      <c r="V159" t="s">
        <v>42</v>
      </c>
      <c r="W159" t="s">
        <v>474</v>
      </c>
      <c r="X159" s="6" t="str">
        <f t="shared" si="0"/>
        <v>441814963</v>
      </c>
      <c r="Y159" s="7" t="str">
        <f t="shared" si="1"/>
        <v>DC</v>
      </c>
      <c r="Z159" s="7">
        <f t="shared" si="2"/>
        <v>0</v>
      </c>
      <c r="AA159" s="7">
        <f t="shared" si="3"/>
        <v>0</v>
      </c>
      <c r="AB159" s="7">
        <f t="shared" si="4"/>
        <v>120</v>
      </c>
      <c r="AC159" s="7">
        <f t="shared" si="5"/>
        <v>0</v>
      </c>
      <c r="AD159" s="7">
        <f t="shared" si="6"/>
        <v>0</v>
      </c>
      <c r="AE159" s="8" t="str" cm="1">
        <f t="array" ref="AE159">IFERROR(_xlfn.XLOOKUP(H159,Sheet1!$G:$G,Sheet1!$F:$F),IFERROR(_xlfn.XLOOKUP(1,(--($X$2:$X$1074=X159))*(--ISNUMBER(MATCH($H$2:$H$1074,Sheet1!$G:$G,0))),_xlfn.XLOOKUP($H$2:$H$1074,Sheet1!$G:$G,Sheet1!$F:$F,"")),"NOT FOUND"))</f>
        <v>GETKRTSFUT6416</v>
      </c>
      <c r="AF159" s="9" t="str">
        <f t="shared" si="11"/>
        <v>Mauve</v>
      </c>
      <c r="AG159" s="10" t="str">
        <f t="shared" si="12"/>
        <v>HARIPAL</v>
      </c>
      <c r="AH159" s="8" t="str" cm="1">
        <f t="array" ref="AH159">IF(OR(J159="",AE159="",AE159="NOT FOUND"),"",IF(Y159="RP",_xlfn.LET(_xlpm.desc,_xlfn.XLOOKUP(1,(--(Sheet1!$F$2:$F$754=AE159))*(--ISNUMBER(FIND("-",Sheet1!$W$2:$W$754,FIND("-",Sheet1!$W$2:$W$754)+1))),Sheet1!$W$2:$W$754,""),IF(_xlpm.desc="","NOT FOUND",LEFT(_xlpm.desc,FIND("-",_xlpm.desc,FIND("-",_xlpm.desc)+1))&amp;AE159)),LEFT(J159,FIND("-",J159,FIND("-",J159)+1))&amp;AE159))</f>
        <v>KRTS-APWN26-GETKRTSFUT6416</v>
      </c>
    </row>
    <row r="160" spans="1:34" ht="15.75" customHeight="1" x14ac:dyDescent="0.2">
      <c r="A160" t="s">
        <v>61</v>
      </c>
      <c r="B160" t="s">
        <v>822</v>
      </c>
      <c r="C160" t="s">
        <v>1152</v>
      </c>
      <c r="D160" t="s">
        <v>1154</v>
      </c>
      <c r="E160" t="s">
        <v>34</v>
      </c>
      <c r="F160" t="s">
        <v>35</v>
      </c>
      <c r="G160" t="s">
        <v>51</v>
      </c>
      <c r="H160" t="s">
        <v>741</v>
      </c>
      <c r="I160" t="s">
        <v>742</v>
      </c>
      <c r="J160" t="s">
        <v>743</v>
      </c>
      <c r="K160" t="s">
        <v>474</v>
      </c>
      <c r="L160" t="s">
        <v>40</v>
      </c>
      <c r="M160">
        <v>1</v>
      </c>
      <c r="N160">
        <v>127</v>
      </c>
      <c r="O160">
        <v>127</v>
      </c>
      <c r="P160" t="s">
        <v>41</v>
      </c>
      <c r="Q160">
        <v>279.7</v>
      </c>
      <c r="R160">
        <v>279.7</v>
      </c>
      <c r="S160">
        <v>1776.1</v>
      </c>
      <c r="T160">
        <v>35521.9</v>
      </c>
      <c r="U160">
        <v>5</v>
      </c>
      <c r="V160" t="s">
        <v>42</v>
      </c>
      <c r="W160" t="s">
        <v>474</v>
      </c>
      <c r="X160" s="6" t="str">
        <f t="shared" si="0"/>
        <v>441814963</v>
      </c>
      <c r="Y160" s="7" t="str">
        <f t="shared" si="1"/>
        <v>DC</v>
      </c>
      <c r="Z160" s="7">
        <f t="shared" si="2"/>
        <v>0</v>
      </c>
      <c r="AA160" s="7">
        <f t="shared" si="3"/>
        <v>0</v>
      </c>
      <c r="AB160" s="7">
        <f t="shared" si="4"/>
        <v>0</v>
      </c>
      <c r="AC160" s="7">
        <f t="shared" si="5"/>
        <v>127</v>
      </c>
      <c r="AD160" s="7">
        <f t="shared" si="6"/>
        <v>0</v>
      </c>
      <c r="AE160" s="8" t="str" cm="1">
        <f t="array" ref="AE160">IFERROR(_xlfn.XLOOKUP(H160,Sheet1!$G:$G,Sheet1!$F:$F),IFERROR(_xlfn.XLOOKUP(1,(--($X$2:$X$1074=X160))*(--ISNUMBER(MATCH($H$2:$H$1074,Sheet1!$G:$G,0))),_xlfn.XLOOKUP($H$2:$H$1074,Sheet1!$G:$G,Sheet1!$F:$F,"")),"NOT FOUND"))</f>
        <v>GETKRTSFUT6416</v>
      </c>
      <c r="AF160" s="9" t="str">
        <f t="shared" si="11"/>
        <v>Mauve</v>
      </c>
      <c r="AG160" s="10" t="str">
        <f t="shared" si="12"/>
        <v>HARIPAL</v>
      </c>
      <c r="AH160" s="8" t="str" cm="1">
        <f t="array" ref="AH160">IF(OR(J160="",AE160="",AE160="NOT FOUND"),"",IF(Y160="RP",_xlfn.LET(_xlpm.desc,_xlfn.XLOOKUP(1,(--(Sheet1!$F$2:$F$754=AE160))*(--ISNUMBER(FIND("-",Sheet1!$W$2:$W$754,FIND("-",Sheet1!$W$2:$W$754)+1))),Sheet1!$W$2:$W$754,""),IF(_xlpm.desc="","NOT FOUND",LEFT(_xlpm.desc,FIND("-",_xlpm.desc,FIND("-",_xlpm.desc)+1))&amp;AE160)),LEFT(J160,FIND("-",J160,FIND("-",J160)+1))&amp;AE160))</f>
        <v>KRTS-APWN26-GETKRTSFUT6416</v>
      </c>
    </row>
    <row r="161" spans="1:34" ht="15.75" customHeight="1" x14ac:dyDescent="0.2">
      <c r="A161" t="s">
        <v>61</v>
      </c>
      <c r="B161" t="s">
        <v>822</v>
      </c>
      <c r="C161" t="s">
        <v>1152</v>
      </c>
      <c r="D161" t="s">
        <v>1154</v>
      </c>
      <c r="E161" t="s">
        <v>34</v>
      </c>
      <c r="F161" t="s">
        <v>35</v>
      </c>
      <c r="G161" t="s">
        <v>55</v>
      </c>
      <c r="H161" t="s">
        <v>744</v>
      </c>
      <c r="I161" t="s">
        <v>745</v>
      </c>
      <c r="J161" t="s">
        <v>746</v>
      </c>
      <c r="K161" t="s">
        <v>474</v>
      </c>
      <c r="L161" t="s">
        <v>40</v>
      </c>
      <c r="M161">
        <v>1</v>
      </c>
      <c r="N161">
        <v>45</v>
      </c>
      <c r="O161">
        <v>45</v>
      </c>
      <c r="P161" t="s">
        <v>41</v>
      </c>
      <c r="Q161">
        <v>279.7</v>
      </c>
      <c r="R161">
        <v>279.7</v>
      </c>
      <c r="S161">
        <v>629.33000000000004</v>
      </c>
      <c r="T161">
        <v>12586.5</v>
      </c>
      <c r="U161">
        <v>5</v>
      </c>
      <c r="V161" t="s">
        <v>42</v>
      </c>
      <c r="W161" t="s">
        <v>474</v>
      </c>
      <c r="X161" s="6" t="str">
        <f t="shared" si="0"/>
        <v>441814963</v>
      </c>
      <c r="Y161" s="7" t="str">
        <f t="shared" si="1"/>
        <v>DC</v>
      </c>
      <c r="Z161" s="7">
        <f t="shared" si="2"/>
        <v>0</v>
      </c>
      <c r="AA161" s="7">
        <f t="shared" si="3"/>
        <v>0</v>
      </c>
      <c r="AB161" s="7">
        <f t="shared" si="4"/>
        <v>0</v>
      </c>
      <c r="AC161" s="7">
        <f t="shared" si="5"/>
        <v>0</v>
      </c>
      <c r="AD161" s="7">
        <f t="shared" si="6"/>
        <v>45</v>
      </c>
      <c r="AE161" s="8" t="str" cm="1">
        <f t="array" ref="AE161">IFERROR(_xlfn.XLOOKUP(H161,Sheet1!$G:$G,Sheet1!$F:$F),IFERROR(_xlfn.XLOOKUP(1,(--($X$2:$X$1074=X161))*(--ISNUMBER(MATCH($H$2:$H$1074,Sheet1!$G:$G,0))),_xlfn.XLOOKUP($H$2:$H$1074,Sheet1!$G:$G,Sheet1!$F:$F,"")),"NOT FOUND"))</f>
        <v>GETKRTSFUT6416</v>
      </c>
      <c r="AF161" s="9" t="str">
        <f t="shared" si="11"/>
        <v>Mauve</v>
      </c>
      <c r="AG161" s="10" t="str">
        <f t="shared" si="12"/>
        <v>HARIPAL</v>
      </c>
      <c r="AH161" s="8" t="str" cm="1">
        <f t="array" ref="AH161">IF(OR(J161="",AE161="",AE161="NOT FOUND"),"",IF(Y161="RP",_xlfn.LET(_xlpm.desc,_xlfn.XLOOKUP(1,(--(Sheet1!$F$2:$F$754=AE161))*(--ISNUMBER(FIND("-",Sheet1!$W$2:$W$754,FIND("-",Sheet1!$W$2:$W$754)+1))),Sheet1!$W$2:$W$754,""),IF(_xlpm.desc="","NOT FOUND",LEFT(_xlpm.desc,FIND("-",_xlpm.desc,FIND("-",_xlpm.desc)+1))&amp;AE161)),LEFT(J161,FIND("-",J161,FIND("-",J161)+1))&amp;AE161))</f>
        <v>KRTS-APWN26-GETKRTSFUT6416</v>
      </c>
    </row>
    <row r="162" spans="1:34" ht="15.75" customHeight="1" x14ac:dyDescent="0.2">
      <c r="A162" t="s">
        <v>61</v>
      </c>
      <c r="B162" t="s">
        <v>823</v>
      </c>
      <c r="C162" t="s">
        <v>1152</v>
      </c>
      <c r="D162" t="s">
        <v>1154</v>
      </c>
      <c r="E162" t="s">
        <v>34</v>
      </c>
      <c r="F162" t="s">
        <v>35</v>
      </c>
      <c r="G162" t="s">
        <v>36</v>
      </c>
      <c r="H162" t="s">
        <v>749</v>
      </c>
      <c r="I162" t="s">
        <v>750</v>
      </c>
      <c r="J162" t="s">
        <v>751</v>
      </c>
      <c r="K162" t="s">
        <v>474</v>
      </c>
      <c r="L162" t="s">
        <v>40</v>
      </c>
      <c r="M162">
        <v>1</v>
      </c>
      <c r="N162">
        <v>30</v>
      </c>
      <c r="O162">
        <v>30</v>
      </c>
      <c r="P162" t="s">
        <v>41</v>
      </c>
      <c r="Q162">
        <v>279.7</v>
      </c>
      <c r="R162">
        <v>279.7</v>
      </c>
      <c r="S162">
        <v>419.55</v>
      </c>
      <c r="T162">
        <v>8391</v>
      </c>
      <c r="U162">
        <v>5</v>
      </c>
      <c r="V162" t="s">
        <v>42</v>
      </c>
      <c r="W162" t="s">
        <v>474</v>
      </c>
      <c r="X162" s="6" t="str">
        <f t="shared" si="0"/>
        <v>441814962</v>
      </c>
      <c r="Y162" s="7" t="str">
        <f t="shared" si="1"/>
        <v>DC</v>
      </c>
      <c r="Z162" s="7">
        <f t="shared" si="2"/>
        <v>30</v>
      </c>
      <c r="AA162" s="7">
        <f t="shared" si="3"/>
        <v>0</v>
      </c>
      <c r="AB162" s="7">
        <f t="shared" si="4"/>
        <v>0</v>
      </c>
      <c r="AC162" s="7">
        <f t="shared" si="5"/>
        <v>0</v>
      </c>
      <c r="AD162" s="7">
        <f t="shared" si="6"/>
        <v>0</v>
      </c>
      <c r="AE162" s="8" t="str" cm="1">
        <f t="array" ref="AE162">IFERROR(_xlfn.XLOOKUP(H162,Sheet1!$G:$G,Sheet1!$F:$F),IFERROR(_xlfn.XLOOKUP(1,(--($X$2:$X$1074=X162))*(--ISNUMBER(MATCH($H$2:$H$1074,Sheet1!$G:$G,0))),_xlfn.XLOOKUP($H$2:$H$1074,Sheet1!$G:$G,Sheet1!$F:$F,"")),"NOT FOUND"))</f>
        <v>GETKRTSFUT6415B</v>
      </c>
      <c r="AF162" s="9" t="str">
        <f t="shared" si="11"/>
        <v>RUST</v>
      </c>
      <c r="AG162" s="10" t="str">
        <f t="shared" si="12"/>
        <v>HARIPAL</v>
      </c>
      <c r="AH162" s="8" t="str" cm="1">
        <f t="array" ref="AH162">IF(OR(J162="",AE162="",AE162="NOT FOUND"),"",IF(Y162="RP",_xlfn.LET(_xlpm.desc,_xlfn.XLOOKUP(1,(--(Sheet1!$F$2:$F$754=AE162))*(--ISNUMBER(FIND("-",Sheet1!$W$2:$W$754,FIND("-",Sheet1!$W$2:$W$754)+1))),Sheet1!$W$2:$W$754,""),IF(_xlpm.desc="","NOT FOUND",LEFT(_xlpm.desc,FIND("-",_xlpm.desc,FIND("-",_xlpm.desc)+1))&amp;AE162)),LEFT(J162,FIND("-",J162,FIND("-",J162)+1))&amp;AE162))</f>
        <v>KRTS-APWN26-GETKRTSFUT6415B</v>
      </c>
    </row>
    <row r="163" spans="1:34" ht="15.75" customHeight="1" x14ac:dyDescent="0.2">
      <c r="A163" t="s">
        <v>61</v>
      </c>
      <c r="B163" t="s">
        <v>823</v>
      </c>
      <c r="C163" t="s">
        <v>1152</v>
      </c>
      <c r="D163" t="s">
        <v>1154</v>
      </c>
      <c r="E163" t="s">
        <v>34</v>
      </c>
      <c r="F163" t="s">
        <v>35</v>
      </c>
      <c r="G163" t="s">
        <v>43</v>
      </c>
      <c r="H163" t="s">
        <v>752</v>
      </c>
      <c r="I163" t="s">
        <v>753</v>
      </c>
      <c r="J163" t="s">
        <v>754</v>
      </c>
      <c r="K163" t="s">
        <v>474</v>
      </c>
      <c r="L163" t="s">
        <v>40</v>
      </c>
      <c r="M163">
        <v>1</v>
      </c>
      <c r="N163">
        <v>127</v>
      </c>
      <c r="O163">
        <v>127</v>
      </c>
      <c r="P163" t="s">
        <v>41</v>
      </c>
      <c r="Q163">
        <v>279.7</v>
      </c>
      <c r="R163">
        <v>279.7</v>
      </c>
      <c r="S163">
        <v>1776.1</v>
      </c>
      <c r="T163">
        <v>35521.9</v>
      </c>
      <c r="U163">
        <v>5</v>
      </c>
      <c r="V163" t="s">
        <v>42</v>
      </c>
      <c r="W163" t="s">
        <v>474</v>
      </c>
      <c r="X163" s="6" t="str">
        <f t="shared" si="0"/>
        <v>441814962</v>
      </c>
      <c r="Y163" s="7" t="str">
        <f t="shared" si="1"/>
        <v>DC</v>
      </c>
      <c r="Z163" s="7">
        <f t="shared" si="2"/>
        <v>0</v>
      </c>
      <c r="AA163" s="7">
        <f t="shared" si="3"/>
        <v>127</v>
      </c>
      <c r="AB163" s="7">
        <f t="shared" si="4"/>
        <v>0</v>
      </c>
      <c r="AC163" s="7">
        <f t="shared" si="5"/>
        <v>0</v>
      </c>
      <c r="AD163" s="7">
        <f t="shared" si="6"/>
        <v>0</v>
      </c>
      <c r="AE163" s="8" t="str" cm="1">
        <f t="array" ref="AE163">IFERROR(_xlfn.XLOOKUP(H163,Sheet1!$G:$G,Sheet1!$F:$F),IFERROR(_xlfn.XLOOKUP(1,(--($X$2:$X$1074=X163))*(--ISNUMBER(MATCH($H$2:$H$1074,Sheet1!$G:$G,0))),_xlfn.XLOOKUP($H$2:$H$1074,Sheet1!$G:$G,Sheet1!$F:$F,"")),"NOT FOUND"))</f>
        <v>GETKRTSFUT6415B</v>
      </c>
      <c r="AF163" s="9" t="str">
        <f t="shared" si="11"/>
        <v>RUST</v>
      </c>
      <c r="AG163" s="10" t="str">
        <f t="shared" si="12"/>
        <v>HARIPAL</v>
      </c>
      <c r="AH163" s="8" t="str" cm="1">
        <f t="array" ref="AH163">IF(OR(J163="",AE163="",AE163="NOT FOUND"),"",IF(Y163="RP",_xlfn.LET(_xlpm.desc,_xlfn.XLOOKUP(1,(--(Sheet1!$F$2:$F$754=AE163))*(--ISNUMBER(FIND("-",Sheet1!$W$2:$W$754,FIND("-",Sheet1!$W$2:$W$754)+1))),Sheet1!$W$2:$W$754,""),IF(_xlpm.desc="","NOT FOUND",LEFT(_xlpm.desc,FIND("-",_xlpm.desc,FIND("-",_xlpm.desc)+1))&amp;AE163)),LEFT(J163,FIND("-",J163,FIND("-",J163)+1))&amp;AE163))</f>
        <v>KRTS-APWN26-GETKRTSFUT6415B</v>
      </c>
    </row>
    <row r="164" spans="1:34" ht="15.75" customHeight="1" x14ac:dyDescent="0.2">
      <c r="A164" t="s">
        <v>61</v>
      </c>
      <c r="B164" t="s">
        <v>823</v>
      </c>
      <c r="C164" t="s">
        <v>1152</v>
      </c>
      <c r="D164" t="s">
        <v>1154</v>
      </c>
      <c r="E164" t="s">
        <v>34</v>
      </c>
      <c r="F164" t="s">
        <v>35</v>
      </c>
      <c r="G164" t="s">
        <v>47</v>
      </c>
      <c r="H164" t="s">
        <v>755</v>
      </c>
      <c r="I164" t="s">
        <v>756</v>
      </c>
      <c r="J164" t="s">
        <v>757</v>
      </c>
      <c r="K164" t="s">
        <v>474</v>
      </c>
      <c r="L164" t="s">
        <v>40</v>
      </c>
      <c r="M164">
        <v>1</v>
      </c>
      <c r="N164">
        <v>120</v>
      </c>
      <c r="O164">
        <v>120</v>
      </c>
      <c r="P164" t="s">
        <v>41</v>
      </c>
      <c r="Q164">
        <v>279.7</v>
      </c>
      <c r="R164">
        <v>279.7</v>
      </c>
      <c r="S164">
        <v>1678.2</v>
      </c>
      <c r="T164">
        <v>33564</v>
      </c>
      <c r="U164">
        <v>5</v>
      </c>
      <c r="V164" t="s">
        <v>42</v>
      </c>
      <c r="W164" t="s">
        <v>474</v>
      </c>
      <c r="X164" s="6" t="str">
        <f t="shared" si="0"/>
        <v>441814962</v>
      </c>
      <c r="Y164" s="7" t="str">
        <f t="shared" si="1"/>
        <v>DC</v>
      </c>
      <c r="Z164" s="7">
        <f t="shared" si="2"/>
        <v>0</v>
      </c>
      <c r="AA164" s="7">
        <f t="shared" si="3"/>
        <v>0</v>
      </c>
      <c r="AB164" s="7">
        <f t="shared" si="4"/>
        <v>120</v>
      </c>
      <c r="AC164" s="7">
        <f t="shared" si="5"/>
        <v>0</v>
      </c>
      <c r="AD164" s="7">
        <f t="shared" si="6"/>
        <v>0</v>
      </c>
      <c r="AE164" s="8" t="str" cm="1">
        <f t="array" ref="AE164">IFERROR(_xlfn.XLOOKUP(H164,Sheet1!$G:$G,Sheet1!$F:$F),IFERROR(_xlfn.XLOOKUP(1,(--($X$2:$X$1074=X164))*(--ISNUMBER(MATCH($H$2:$H$1074,Sheet1!$G:$G,0))),_xlfn.XLOOKUP($H$2:$H$1074,Sheet1!$G:$G,Sheet1!$F:$F,"")),"NOT FOUND"))</f>
        <v>GETKRTSFUT6415B</v>
      </c>
      <c r="AF164" s="9" t="str">
        <f t="shared" si="11"/>
        <v>RUST</v>
      </c>
      <c r="AG164" s="10" t="str">
        <f t="shared" si="12"/>
        <v>HARIPAL</v>
      </c>
      <c r="AH164" s="8" t="str" cm="1">
        <f t="array" ref="AH164">IF(OR(J164="",AE164="",AE164="NOT FOUND"),"",IF(Y164="RP",_xlfn.LET(_xlpm.desc,_xlfn.XLOOKUP(1,(--(Sheet1!$F$2:$F$754=AE164))*(--ISNUMBER(FIND("-",Sheet1!$W$2:$W$754,FIND("-",Sheet1!$W$2:$W$754)+1))),Sheet1!$W$2:$W$754,""),IF(_xlpm.desc="","NOT FOUND",LEFT(_xlpm.desc,FIND("-",_xlpm.desc,FIND("-",_xlpm.desc)+1))&amp;AE164)),LEFT(J164,FIND("-",J164,FIND("-",J164)+1))&amp;AE164))</f>
        <v>KRTS-APWN26-GETKRTSFUT6415B</v>
      </c>
    </row>
    <row r="165" spans="1:34" ht="15.75" customHeight="1" x14ac:dyDescent="0.2">
      <c r="A165" t="s">
        <v>61</v>
      </c>
      <c r="B165" t="s">
        <v>823</v>
      </c>
      <c r="C165" t="s">
        <v>1152</v>
      </c>
      <c r="D165" t="s">
        <v>1154</v>
      </c>
      <c r="E165" t="s">
        <v>34</v>
      </c>
      <c r="F165" t="s">
        <v>35</v>
      </c>
      <c r="G165" t="s">
        <v>51</v>
      </c>
      <c r="H165" t="s">
        <v>758</v>
      </c>
      <c r="I165" t="s">
        <v>759</v>
      </c>
      <c r="J165" t="s">
        <v>760</v>
      </c>
      <c r="K165" t="s">
        <v>474</v>
      </c>
      <c r="L165" t="s">
        <v>40</v>
      </c>
      <c r="M165">
        <v>1</v>
      </c>
      <c r="N165">
        <v>127</v>
      </c>
      <c r="O165">
        <v>127</v>
      </c>
      <c r="P165" t="s">
        <v>41</v>
      </c>
      <c r="Q165">
        <v>279.7</v>
      </c>
      <c r="R165">
        <v>279.7</v>
      </c>
      <c r="S165">
        <v>1776.1</v>
      </c>
      <c r="T165">
        <v>35521.9</v>
      </c>
      <c r="U165">
        <v>5</v>
      </c>
      <c r="V165" t="s">
        <v>42</v>
      </c>
      <c r="W165" t="s">
        <v>474</v>
      </c>
      <c r="X165" s="6" t="str">
        <f t="shared" si="0"/>
        <v>441814962</v>
      </c>
      <c r="Y165" s="7" t="str">
        <f t="shared" si="1"/>
        <v>DC</v>
      </c>
      <c r="Z165" s="7">
        <f t="shared" si="2"/>
        <v>0</v>
      </c>
      <c r="AA165" s="7">
        <f t="shared" si="3"/>
        <v>0</v>
      </c>
      <c r="AB165" s="7">
        <f t="shared" si="4"/>
        <v>0</v>
      </c>
      <c r="AC165" s="7">
        <f t="shared" si="5"/>
        <v>127</v>
      </c>
      <c r="AD165" s="7">
        <f t="shared" si="6"/>
        <v>0</v>
      </c>
      <c r="AE165" s="8" t="str" cm="1">
        <f t="array" ref="AE165">IFERROR(_xlfn.XLOOKUP(H165,Sheet1!$G:$G,Sheet1!$F:$F),IFERROR(_xlfn.XLOOKUP(1,(--($X$2:$X$1074=X165))*(--ISNUMBER(MATCH($H$2:$H$1074,Sheet1!$G:$G,0))),_xlfn.XLOOKUP($H$2:$H$1074,Sheet1!$G:$G,Sheet1!$F:$F,"")),"NOT FOUND"))</f>
        <v>GETKRTSFUT6415B</v>
      </c>
      <c r="AF165" s="9" t="str">
        <f t="shared" si="11"/>
        <v>RUST</v>
      </c>
      <c r="AG165" s="10" t="str">
        <f t="shared" si="12"/>
        <v>HARIPAL</v>
      </c>
      <c r="AH165" s="8" t="str" cm="1">
        <f t="array" ref="AH165">IF(OR(J165="",AE165="",AE165="NOT FOUND"),"",IF(Y165="RP",_xlfn.LET(_xlpm.desc,_xlfn.XLOOKUP(1,(--(Sheet1!$F$2:$F$754=AE165))*(--ISNUMBER(FIND("-",Sheet1!$W$2:$W$754,FIND("-",Sheet1!$W$2:$W$754)+1))),Sheet1!$W$2:$W$754,""),IF(_xlpm.desc="","NOT FOUND",LEFT(_xlpm.desc,FIND("-",_xlpm.desc,FIND("-",_xlpm.desc)+1))&amp;AE165)),LEFT(J165,FIND("-",J165,FIND("-",J165)+1))&amp;AE165))</f>
        <v>KRTS-APWN26-GETKRTSFUT6415B</v>
      </c>
    </row>
    <row r="166" spans="1:34" ht="15.75" customHeight="1" x14ac:dyDescent="0.2">
      <c r="A166" t="s">
        <v>61</v>
      </c>
      <c r="B166" t="s">
        <v>823</v>
      </c>
      <c r="C166" t="s">
        <v>1152</v>
      </c>
      <c r="D166" t="s">
        <v>1154</v>
      </c>
      <c r="E166" t="s">
        <v>34</v>
      </c>
      <c r="F166" t="s">
        <v>35</v>
      </c>
      <c r="G166" t="s">
        <v>55</v>
      </c>
      <c r="H166" t="s">
        <v>761</v>
      </c>
      <c r="I166" t="s">
        <v>762</v>
      </c>
      <c r="J166" t="s">
        <v>763</v>
      </c>
      <c r="K166" t="s">
        <v>474</v>
      </c>
      <c r="L166" t="s">
        <v>40</v>
      </c>
      <c r="M166">
        <v>1</v>
      </c>
      <c r="N166">
        <v>45</v>
      </c>
      <c r="O166">
        <v>45</v>
      </c>
      <c r="P166" t="s">
        <v>41</v>
      </c>
      <c r="Q166">
        <v>279.7</v>
      </c>
      <c r="R166">
        <v>279.7</v>
      </c>
      <c r="S166">
        <v>629.33000000000004</v>
      </c>
      <c r="T166">
        <v>12586.5</v>
      </c>
      <c r="U166">
        <v>5</v>
      </c>
      <c r="V166" t="s">
        <v>42</v>
      </c>
      <c r="W166" t="s">
        <v>474</v>
      </c>
      <c r="X166" s="6" t="str">
        <f t="shared" si="0"/>
        <v>441814962</v>
      </c>
      <c r="Y166" s="7" t="str">
        <f t="shared" si="1"/>
        <v>DC</v>
      </c>
      <c r="Z166" s="7">
        <f t="shared" si="2"/>
        <v>0</v>
      </c>
      <c r="AA166" s="7">
        <f t="shared" si="3"/>
        <v>0</v>
      </c>
      <c r="AB166" s="7">
        <f t="shared" si="4"/>
        <v>0</v>
      </c>
      <c r="AC166" s="7">
        <f t="shared" si="5"/>
        <v>0</v>
      </c>
      <c r="AD166" s="7">
        <f t="shared" si="6"/>
        <v>45</v>
      </c>
      <c r="AE166" s="8" t="str" cm="1">
        <f t="array" ref="AE166">IFERROR(_xlfn.XLOOKUP(H166,Sheet1!$G:$G,Sheet1!$F:$F),IFERROR(_xlfn.XLOOKUP(1,(--($X$2:$X$1074=X166))*(--ISNUMBER(MATCH($H$2:$H$1074,Sheet1!$G:$G,0))),_xlfn.XLOOKUP($H$2:$H$1074,Sheet1!$G:$G,Sheet1!$F:$F,"")),"NOT FOUND"))</f>
        <v>GETKRTSFUT6415B</v>
      </c>
      <c r="AF166" s="9" t="str">
        <f t="shared" si="11"/>
        <v>RUST</v>
      </c>
      <c r="AG166" s="10" t="str">
        <f t="shared" si="12"/>
        <v>HARIPAL</v>
      </c>
      <c r="AH166" s="8" t="str" cm="1">
        <f t="array" ref="AH166">IF(OR(J166="",AE166="",AE166="NOT FOUND"),"",IF(Y166="RP",_xlfn.LET(_xlpm.desc,_xlfn.XLOOKUP(1,(--(Sheet1!$F$2:$F$754=AE166))*(--ISNUMBER(FIND("-",Sheet1!$W$2:$W$754,FIND("-",Sheet1!$W$2:$W$754)+1))),Sheet1!$W$2:$W$754,""),IF(_xlpm.desc="","NOT FOUND",LEFT(_xlpm.desc,FIND("-",_xlpm.desc,FIND("-",_xlpm.desc)+1))&amp;AE166)),LEFT(J166,FIND("-",J166,FIND("-",J166)+1))&amp;AE166))</f>
        <v>KRTS-APWN26-GETKRTSFUT6415B</v>
      </c>
    </row>
    <row r="167" spans="1:34" ht="15.75" customHeight="1" x14ac:dyDescent="0.2">
      <c r="A167" t="s">
        <v>61</v>
      </c>
      <c r="B167" t="s">
        <v>824</v>
      </c>
      <c r="C167" t="s">
        <v>1152</v>
      </c>
      <c r="D167" t="s">
        <v>1154</v>
      </c>
      <c r="E167" t="s">
        <v>34</v>
      </c>
      <c r="F167" t="s">
        <v>35</v>
      </c>
      <c r="G167" t="s">
        <v>36</v>
      </c>
      <c r="H167" t="s">
        <v>766</v>
      </c>
      <c r="I167" t="s">
        <v>767</v>
      </c>
      <c r="J167" t="s">
        <v>768</v>
      </c>
      <c r="K167" t="s">
        <v>474</v>
      </c>
      <c r="L167" t="s">
        <v>40</v>
      </c>
      <c r="M167">
        <v>1</v>
      </c>
      <c r="N167">
        <v>30</v>
      </c>
      <c r="O167">
        <v>30</v>
      </c>
      <c r="P167" t="s">
        <v>41</v>
      </c>
      <c r="Q167">
        <v>279.7</v>
      </c>
      <c r="R167">
        <v>279.7</v>
      </c>
      <c r="S167">
        <v>419.55</v>
      </c>
      <c r="T167">
        <v>8391</v>
      </c>
      <c r="U167">
        <v>5</v>
      </c>
      <c r="V167" t="s">
        <v>42</v>
      </c>
      <c r="W167" t="s">
        <v>474</v>
      </c>
      <c r="X167" s="6" t="str">
        <f t="shared" si="0"/>
        <v>441814961</v>
      </c>
      <c r="Y167" s="7" t="str">
        <f t="shared" si="1"/>
        <v>DC</v>
      </c>
      <c r="Z167" s="7">
        <f t="shared" si="2"/>
        <v>30</v>
      </c>
      <c r="AA167" s="7">
        <f t="shared" si="3"/>
        <v>0</v>
      </c>
      <c r="AB167" s="7">
        <f t="shared" si="4"/>
        <v>0</v>
      </c>
      <c r="AC167" s="7">
        <f t="shared" si="5"/>
        <v>0</v>
      </c>
      <c r="AD167" s="7">
        <f t="shared" si="6"/>
        <v>0</v>
      </c>
      <c r="AE167" s="8" t="str" cm="1">
        <f t="array" ref="AE167">IFERROR(_xlfn.XLOOKUP(H167,Sheet1!$G:$G,Sheet1!$F:$F),IFERROR(_xlfn.XLOOKUP(1,(--($X$2:$X$1074=X167))*(--ISNUMBER(MATCH($H$2:$H$1074,Sheet1!$G:$G,0))),_xlfn.XLOOKUP($H$2:$H$1074,Sheet1!$G:$G,Sheet1!$F:$F,"")),"NOT FOUND"))</f>
        <v>GETKRTSFUT6415</v>
      </c>
      <c r="AF167" s="9" t="str">
        <f t="shared" si="11"/>
        <v>NAVY</v>
      </c>
      <c r="AG167" s="10" t="str">
        <f t="shared" si="12"/>
        <v>HARIPAL</v>
      </c>
      <c r="AH167" s="8" t="str" cm="1">
        <f t="array" ref="AH167">IF(OR(J167="",AE167="",AE167="NOT FOUND"),"",IF(Y167="RP",_xlfn.LET(_xlpm.desc,_xlfn.XLOOKUP(1,(--(Sheet1!$F$2:$F$754=AE167))*(--ISNUMBER(FIND("-",Sheet1!$W$2:$W$754,FIND("-",Sheet1!$W$2:$W$754)+1))),Sheet1!$W$2:$W$754,""),IF(_xlpm.desc="","NOT FOUND",LEFT(_xlpm.desc,FIND("-",_xlpm.desc,FIND("-",_xlpm.desc)+1))&amp;AE167)),LEFT(J167,FIND("-",J167,FIND("-",J167)+1))&amp;AE167))</f>
        <v>KRTS-APWN26-GETKRTSFUT6415</v>
      </c>
    </row>
    <row r="168" spans="1:34" ht="15.75" customHeight="1" x14ac:dyDescent="0.2">
      <c r="A168" t="s">
        <v>61</v>
      </c>
      <c r="B168" t="s">
        <v>824</v>
      </c>
      <c r="C168" t="s">
        <v>1152</v>
      </c>
      <c r="D168" t="s">
        <v>1154</v>
      </c>
      <c r="E168" t="s">
        <v>34</v>
      </c>
      <c r="F168" t="s">
        <v>35</v>
      </c>
      <c r="G168" t="s">
        <v>43</v>
      </c>
      <c r="H168" t="s">
        <v>769</v>
      </c>
      <c r="I168" t="s">
        <v>770</v>
      </c>
      <c r="J168" t="s">
        <v>771</v>
      </c>
      <c r="K168" t="s">
        <v>474</v>
      </c>
      <c r="L168" t="s">
        <v>40</v>
      </c>
      <c r="M168">
        <v>1</v>
      </c>
      <c r="N168">
        <v>127</v>
      </c>
      <c r="O168">
        <v>127</v>
      </c>
      <c r="P168" t="s">
        <v>41</v>
      </c>
      <c r="Q168">
        <v>279.7</v>
      </c>
      <c r="R168">
        <v>279.7</v>
      </c>
      <c r="S168">
        <v>1776.1</v>
      </c>
      <c r="T168">
        <v>35521.9</v>
      </c>
      <c r="U168">
        <v>5</v>
      </c>
      <c r="V168" t="s">
        <v>42</v>
      </c>
      <c r="W168" t="s">
        <v>474</v>
      </c>
      <c r="X168" s="6" t="str">
        <f t="shared" si="0"/>
        <v>441814961</v>
      </c>
      <c r="Y168" s="7" t="str">
        <f t="shared" si="1"/>
        <v>DC</v>
      </c>
      <c r="Z168" s="7">
        <f t="shared" si="2"/>
        <v>0</v>
      </c>
      <c r="AA168" s="7">
        <f t="shared" si="3"/>
        <v>127</v>
      </c>
      <c r="AB168" s="7">
        <f t="shared" si="4"/>
        <v>0</v>
      </c>
      <c r="AC168" s="7">
        <f t="shared" si="5"/>
        <v>0</v>
      </c>
      <c r="AD168" s="7">
        <f t="shared" si="6"/>
        <v>0</v>
      </c>
      <c r="AE168" s="8" t="str" cm="1">
        <f t="array" ref="AE168">IFERROR(_xlfn.XLOOKUP(H168,Sheet1!$G:$G,Sheet1!$F:$F),IFERROR(_xlfn.XLOOKUP(1,(--($X$2:$X$1074=X168))*(--ISNUMBER(MATCH($H$2:$H$1074,Sheet1!$G:$G,0))),_xlfn.XLOOKUP($H$2:$H$1074,Sheet1!$G:$G,Sheet1!$F:$F,"")),"NOT FOUND"))</f>
        <v>GETKRTSFUT6415</v>
      </c>
      <c r="AF168" s="9" t="str">
        <f t="shared" si="11"/>
        <v>NAVY</v>
      </c>
      <c r="AG168" s="10" t="str">
        <f t="shared" si="12"/>
        <v>HARIPAL</v>
      </c>
      <c r="AH168" s="8" t="str" cm="1">
        <f t="array" ref="AH168">IF(OR(J168="",AE168="",AE168="NOT FOUND"),"",IF(Y168="RP",_xlfn.LET(_xlpm.desc,_xlfn.XLOOKUP(1,(--(Sheet1!$F$2:$F$754=AE168))*(--ISNUMBER(FIND("-",Sheet1!$W$2:$W$754,FIND("-",Sheet1!$W$2:$W$754)+1))),Sheet1!$W$2:$W$754,""),IF(_xlpm.desc="","NOT FOUND",LEFT(_xlpm.desc,FIND("-",_xlpm.desc,FIND("-",_xlpm.desc)+1))&amp;AE168)),LEFT(J168,FIND("-",J168,FIND("-",J168)+1))&amp;AE168))</f>
        <v>KRTS-APWN26-GETKRTSFUT6415</v>
      </c>
    </row>
    <row r="169" spans="1:34" ht="15.75" customHeight="1" x14ac:dyDescent="0.2">
      <c r="A169" t="s">
        <v>61</v>
      </c>
      <c r="B169" t="s">
        <v>824</v>
      </c>
      <c r="C169" t="s">
        <v>1152</v>
      </c>
      <c r="D169" t="s">
        <v>1154</v>
      </c>
      <c r="E169" t="s">
        <v>34</v>
      </c>
      <c r="F169" t="s">
        <v>35</v>
      </c>
      <c r="G169" t="s">
        <v>47</v>
      </c>
      <c r="H169" t="s">
        <v>772</v>
      </c>
      <c r="I169" t="s">
        <v>773</v>
      </c>
      <c r="J169" t="s">
        <v>774</v>
      </c>
      <c r="K169" t="s">
        <v>474</v>
      </c>
      <c r="L169" t="s">
        <v>40</v>
      </c>
      <c r="M169">
        <v>1</v>
      </c>
      <c r="N169">
        <v>120</v>
      </c>
      <c r="O169">
        <v>120</v>
      </c>
      <c r="P169" t="s">
        <v>41</v>
      </c>
      <c r="Q169">
        <v>279.7</v>
      </c>
      <c r="R169">
        <v>279.7</v>
      </c>
      <c r="S169">
        <v>1678.2</v>
      </c>
      <c r="T169">
        <v>33564</v>
      </c>
      <c r="U169">
        <v>5</v>
      </c>
      <c r="V169" t="s">
        <v>42</v>
      </c>
      <c r="W169" t="s">
        <v>474</v>
      </c>
      <c r="X169" s="6" t="str">
        <f t="shared" si="0"/>
        <v>441814961</v>
      </c>
      <c r="Y169" s="7" t="str">
        <f t="shared" si="1"/>
        <v>DC</v>
      </c>
      <c r="Z169" s="7">
        <f t="shared" si="2"/>
        <v>0</v>
      </c>
      <c r="AA169" s="7">
        <f t="shared" si="3"/>
        <v>0</v>
      </c>
      <c r="AB169" s="7">
        <f t="shared" si="4"/>
        <v>120</v>
      </c>
      <c r="AC169" s="7">
        <f t="shared" si="5"/>
        <v>0</v>
      </c>
      <c r="AD169" s="7">
        <f t="shared" si="6"/>
        <v>0</v>
      </c>
      <c r="AE169" s="8" t="str" cm="1">
        <f t="array" ref="AE169">IFERROR(_xlfn.XLOOKUP(H169,Sheet1!$G:$G,Sheet1!$F:$F),IFERROR(_xlfn.XLOOKUP(1,(--($X$2:$X$1074=X169))*(--ISNUMBER(MATCH($H$2:$H$1074,Sheet1!$G:$G,0))),_xlfn.XLOOKUP($H$2:$H$1074,Sheet1!$G:$G,Sheet1!$F:$F,"")),"NOT FOUND"))</f>
        <v>GETKRTSFUT6415</v>
      </c>
      <c r="AF169" s="9" t="str">
        <f t="shared" si="11"/>
        <v>NAVY</v>
      </c>
      <c r="AG169" s="10" t="str">
        <f t="shared" si="12"/>
        <v>HARIPAL</v>
      </c>
      <c r="AH169" s="8" t="str" cm="1">
        <f t="array" ref="AH169">IF(OR(J169="",AE169="",AE169="NOT FOUND"),"",IF(Y169="RP",_xlfn.LET(_xlpm.desc,_xlfn.XLOOKUP(1,(--(Sheet1!$F$2:$F$754=AE169))*(--ISNUMBER(FIND("-",Sheet1!$W$2:$W$754,FIND("-",Sheet1!$W$2:$W$754)+1))),Sheet1!$W$2:$W$754,""),IF(_xlpm.desc="","NOT FOUND",LEFT(_xlpm.desc,FIND("-",_xlpm.desc,FIND("-",_xlpm.desc)+1))&amp;AE169)),LEFT(J169,FIND("-",J169,FIND("-",J169)+1))&amp;AE169))</f>
        <v>KRTS-APWN26-GETKRTSFUT6415</v>
      </c>
    </row>
    <row r="170" spans="1:34" ht="15.75" customHeight="1" x14ac:dyDescent="0.2">
      <c r="A170" t="s">
        <v>61</v>
      </c>
      <c r="B170" t="s">
        <v>824</v>
      </c>
      <c r="C170" t="s">
        <v>1152</v>
      </c>
      <c r="D170" t="s">
        <v>1154</v>
      </c>
      <c r="E170" t="s">
        <v>34</v>
      </c>
      <c r="F170" t="s">
        <v>35</v>
      </c>
      <c r="G170" t="s">
        <v>51</v>
      </c>
      <c r="H170" t="s">
        <v>775</v>
      </c>
      <c r="I170" t="s">
        <v>776</v>
      </c>
      <c r="J170" t="s">
        <v>777</v>
      </c>
      <c r="K170" t="s">
        <v>474</v>
      </c>
      <c r="L170" t="s">
        <v>40</v>
      </c>
      <c r="M170">
        <v>1</v>
      </c>
      <c r="N170">
        <v>127</v>
      </c>
      <c r="O170">
        <v>127</v>
      </c>
      <c r="P170" t="s">
        <v>41</v>
      </c>
      <c r="Q170">
        <v>279.7</v>
      </c>
      <c r="R170">
        <v>279.7</v>
      </c>
      <c r="S170">
        <v>1776.1</v>
      </c>
      <c r="T170">
        <v>35521.9</v>
      </c>
      <c r="U170">
        <v>5</v>
      </c>
      <c r="V170" t="s">
        <v>42</v>
      </c>
      <c r="W170" t="s">
        <v>474</v>
      </c>
      <c r="X170" s="6" t="str">
        <f t="shared" si="0"/>
        <v>441814961</v>
      </c>
      <c r="Y170" s="7" t="str">
        <f t="shared" si="1"/>
        <v>DC</v>
      </c>
      <c r="Z170" s="7">
        <f t="shared" si="2"/>
        <v>0</v>
      </c>
      <c r="AA170" s="7">
        <f t="shared" si="3"/>
        <v>0</v>
      </c>
      <c r="AB170" s="7">
        <f t="shared" si="4"/>
        <v>0</v>
      </c>
      <c r="AC170" s="7">
        <f t="shared" si="5"/>
        <v>127</v>
      </c>
      <c r="AD170" s="7">
        <f t="shared" si="6"/>
        <v>0</v>
      </c>
      <c r="AE170" s="8" t="str" cm="1">
        <f t="array" ref="AE170">IFERROR(_xlfn.XLOOKUP(H170,Sheet1!$G:$G,Sheet1!$F:$F),IFERROR(_xlfn.XLOOKUP(1,(--($X$2:$X$1074=X170))*(--ISNUMBER(MATCH($H$2:$H$1074,Sheet1!$G:$G,0))),_xlfn.XLOOKUP($H$2:$H$1074,Sheet1!$G:$G,Sheet1!$F:$F,"")),"NOT FOUND"))</f>
        <v>GETKRTSFUT6415</v>
      </c>
      <c r="AF170" s="9" t="str">
        <f t="shared" si="11"/>
        <v>NAVY</v>
      </c>
      <c r="AG170" s="10" t="str">
        <f t="shared" si="12"/>
        <v>HARIPAL</v>
      </c>
      <c r="AH170" s="8" t="str" cm="1">
        <f t="array" ref="AH170">IF(OR(J170="",AE170="",AE170="NOT FOUND"),"",IF(Y170="RP",_xlfn.LET(_xlpm.desc,_xlfn.XLOOKUP(1,(--(Sheet1!$F$2:$F$754=AE170))*(--ISNUMBER(FIND("-",Sheet1!$W$2:$W$754,FIND("-",Sheet1!$W$2:$W$754)+1))),Sheet1!$W$2:$W$754,""),IF(_xlpm.desc="","NOT FOUND",LEFT(_xlpm.desc,FIND("-",_xlpm.desc,FIND("-",_xlpm.desc)+1))&amp;AE170)),LEFT(J170,FIND("-",J170,FIND("-",J170)+1))&amp;AE170))</f>
        <v>KRTS-APWN26-GETKRTSFUT6415</v>
      </c>
    </row>
    <row r="171" spans="1:34" ht="15.75" customHeight="1" x14ac:dyDescent="0.2">
      <c r="A171" t="s">
        <v>61</v>
      </c>
      <c r="B171" t="s">
        <v>824</v>
      </c>
      <c r="C171" t="s">
        <v>1152</v>
      </c>
      <c r="D171" t="s">
        <v>1154</v>
      </c>
      <c r="E171" t="s">
        <v>34</v>
      </c>
      <c r="F171" t="s">
        <v>35</v>
      </c>
      <c r="G171" t="s">
        <v>55</v>
      </c>
      <c r="H171" t="s">
        <v>778</v>
      </c>
      <c r="I171" t="s">
        <v>779</v>
      </c>
      <c r="J171" t="s">
        <v>780</v>
      </c>
      <c r="K171" t="s">
        <v>474</v>
      </c>
      <c r="L171" t="s">
        <v>40</v>
      </c>
      <c r="M171">
        <v>1</v>
      </c>
      <c r="N171">
        <v>45</v>
      </c>
      <c r="O171">
        <v>45</v>
      </c>
      <c r="P171" t="s">
        <v>41</v>
      </c>
      <c r="Q171">
        <v>279.7</v>
      </c>
      <c r="R171">
        <v>279.7</v>
      </c>
      <c r="S171">
        <v>629.33000000000004</v>
      </c>
      <c r="T171">
        <v>12586.5</v>
      </c>
      <c r="U171">
        <v>5</v>
      </c>
      <c r="V171" t="s">
        <v>42</v>
      </c>
      <c r="W171" t="s">
        <v>474</v>
      </c>
      <c r="X171" s="6" t="str">
        <f t="shared" si="0"/>
        <v>441814961</v>
      </c>
      <c r="Y171" s="7" t="str">
        <f t="shared" si="1"/>
        <v>DC</v>
      </c>
      <c r="Z171" s="7">
        <f t="shared" si="2"/>
        <v>0</v>
      </c>
      <c r="AA171" s="7">
        <f t="shared" si="3"/>
        <v>0</v>
      </c>
      <c r="AB171" s="7">
        <f t="shared" si="4"/>
        <v>0</v>
      </c>
      <c r="AC171" s="7">
        <f t="shared" si="5"/>
        <v>0</v>
      </c>
      <c r="AD171" s="7">
        <f t="shared" si="6"/>
        <v>45</v>
      </c>
      <c r="AE171" s="8" t="str" cm="1">
        <f t="array" ref="AE171">IFERROR(_xlfn.XLOOKUP(H171,Sheet1!$G:$G,Sheet1!$F:$F),IFERROR(_xlfn.XLOOKUP(1,(--($X$2:$X$1074=X171))*(--ISNUMBER(MATCH($H$2:$H$1074,Sheet1!$G:$G,0))),_xlfn.XLOOKUP($H$2:$H$1074,Sheet1!$G:$G,Sheet1!$F:$F,"")),"NOT FOUND"))</f>
        <v>GETKRTSFUT6415</v>
      </c>
      <c r="AF171" s="9" t="str">
        <f t="shared" si="11"/>
        <v>NAVY</v>
      </c>
      <c r="AG171" s="10" t="str">
        <f t="shared" si="12"/>
        <v>HARIPAL</v>
      </c>
      <c r="AH171" s="8" t="str" cm="1">
        <f t="array" ref="AH171">IF(OR(J171="",AE171="",AE171="NOT FOUND"),"",IF(Y171="RP",_xlfn.LET(_xlpm.desc,_xlfn.XLOOKUP(1,(--(Sheet1!$F$2:$F$754=AE171))*(--ISNUMBER(FIND("-",Sheet1!$W$2:$W$754,FIND("-",Sheet1!$W$2:$W$754)+1))),Sheet1!$W$2:$W$754,""),IF(_xlpm.desc="","NOT FOUND",LEFT(_xlpm.desc,FIND("-",_xlpm.desc,FIND("-",_xlpm.desc)+1))&amp;AE171)),LEFT(J171,FIND("-",J171,FIND("-",J171)+1))&amp;AE171))</f>
        <v>KRTS-APWN26-GETKRTSFUT6415</v>
      </c>
    </row>
    <row r="172" spans="1:34" ht="15.75" customHeight="1" x14ac:dyDescent="0.2">
      <c r="A172" t="s">
        <v>61</v>
      </c>
      <c r="B172" t="s">
        <v>825</v>
      </c>
      <c r="C172" t="s">
        <v>1152</v>
      </c>
      <c r="D172" t="s">
        <v>1154</v>
      </c>
      <c r="E172" t="s">
        <v>34</v>
      </c>
      <c r="F172" t="s">
        <v>35</v>
      </c>
      <c r="G172" t="s">
        <v>36</v>
      </c>
      <c r="H172" t="s">
        <v>784</v>
      </c>
      <c r="I172" t="s">
        <v>785</v>
      </c>
      <c r="J172" t="s">
        <v>786</v>
      </c>
      <c r="K172" t="s">
        <v>474</v>
      </c>
      <c r="L172" t="s">
        <v>40</v>
      </c>
      <c r="M172">
        <v>1</v>
      </c>
      <c r="N172">
        <v>30</v>
      </c>
      <c r="O172">
        <v>30</v>
      </c>
      <c r="P172" t="s">
        <v>41</v>
      </c>
      <c r="Q172">
        <v>279.7</v>
      </c>
      <c r="R172">
        <v>279.7</v>
      </c>
      <c r="S172">
        <v>419.55</v>
      </c>
      <c r="T172">
        <v>8391</v>
      </c>
      <c r="U172">
        <v>5</v>
      </c>
      <c r="V172" t="s">
        <v>42</v>
      </c>
      <c r="W172" t="s">
        <v>474</v>
      </c>
      <c r="X172" s="6" t="str">
        <f t="shared" si="0"/>
        <v>441814960</v>
      </c>
      <c r="Y172" s="7" t="str">
        <f t="shared" si="1"/>
        <v>DC</v>
      </c>
      <c r="Z172" s="7">
        <f t="shared" si="2"/>
        <v>30</v>
      </c>
      <c r="AA172" s="7">
        <f t="shared" si="3"/>
        <v>0</v>
      </c>
      <c r="AB172" s="7">
        <f t="shared" si="4"/>
        <v>0</v>
      </c>
      <c r="AC172" s="7">
        <f t="shared" si="5"/>
        <v>0</v>
      </c>
      <c r="AD172" s="7">
        <f t="shared" si="6"/>
        <v>0</v>
      </c>
      <c r="AE172" s="8" t="str" cm="1">
        <f t="array" ref="AE172">IFERROR(_xlfn.XLOOKUP(H172,Sheet1!$G:$G,Sheet1!$F:$F),IFERROR(_xlfn.XLOOKUP(1,(--($X$2:$X$1074=X172))*(--ISNUMBER(MATCH($H$2:$H$1074,Sheet1!$G:$G,0))),_xlfn.XLOOKUP($H$2:$H$1074,Sheet1!$G:$G,Sheet1!$F:$F,"")),"NOT FOUND"))</f>
        <v>GETKRTSFUT6414</v>
      </c>
      <c r="AF172" s="9" t="str">
        <f t="shared" si="11"/>
        <v>FUCHSIA</v>
      </c>
      <c r="AG172" s="10" t="str">
        <f t="shared" si="12"/>
        <v>HARIPAL</v>
      </c>
      <c r="AH172" s="8" t="str" cm="1">
        <f t="array" ref="AH172">IF(OR(J172="",AE172="",AE172="NOT FOUND"),"",IF(Y172="RP",_xlfn.LET(_xlpm.desc,_xlfn.XLOOKUP(1,(--(Sheet1!$F$2:$F$754=AE172))*(--ISNUMBER(FIND("-",Sheet1!$W$2:$W$754,FIND("-",Sheet1!$W$2:$W$754)+1))),Sheet1!$W$2:$W$754,""),IF(_xlpm.desc="","NOT FOUND",LEFT(_xlpm.desc,FIND("-",_xlpm.desc,FIND("-",_xlpm.desc)+1))&amp;AE172)),LEFT(J172,FIND("-",J172,FIND("-",J172)+1))&amp;AE172))</f>
        <v>KRTS-APWN26-GETKRTSFUT6414</v>
      </c>
    </row>
    <row r="173" spans="1:34" ht="15.75" customHeight="1" x14ac:dyDescent="0.2">
      <c r="A173" t="s">
        <v>61</v>
      </c>
      <c r="B173" t="s">
        <v>825</v>
      </c>
      <c r="C173" t="s">
        <v>1152</v>
      </c>
      <c r="D173" t="s">
        <v>1154</v>
      </c>
      <c r="E173" t="s">
        <v>34</v>
      </c>
      <c r="F173" t="s">
        <v>35</v>
      </c>
      <c r="G173" t="s">
        <v>43</v>
      </c>
      <c r="H173" t="s">
        <v>787</v>
      </c>
      <c r="I173" t="s">
        <v>788</v>
      </c>
      <c r="J173" t="s">
        <v>789</v>
      </c>
      <c r="K173" t="s">
        <v>474</v>
      </c>
      <c r="L173" t="s">
        <v>40</v>
      </c>
      <c r="M173">
        <v>1</v>
      </c>
      <c r="N173">
        <v>127</v>
      </c>
      <c r="O173">
        <v>127</v>
      </c>
      <c r="P173" t="s">
        <v>41</v>
      </c>
      <c r="Q173">
        <v>279.7</v>
      </c>
      <c r="R173">
        <v>279.7</v>
      </c>
      <c r="S173">
        <v>1776.1</v>
      </c>
      <c r="T173">
        <v>35521.9</v>
      </c>
      <c r="U173">
        <v>5</v>
      </c>
      <c r="V173" t="s">
        <v>42</v>
      </c>
      <c r="W173" t="s">
        <v>474</v>
      </c>
      <c r="X173" s="6" t="str">
        <f t="shared" si="0"/>
        <v>441814960</v>
      </c>
      <c r="Y173" s="7" t="str">
        <f t="shared" si="1"/>
        <v>DC</v>
      </c>
      <c r="Z173" s="7">
        <f t="shared" si="2"/>
        <v>0</v>
      </c>
      <c r="AA173" s="7">
        <f t="shared" si="3"/>
        <v>127</v>
      </c>
      <c r="AB173" s="7">
        <f t="shared" si="4"/>
        <v>0</v>
      </c>
      <c r="AC173" s="7">
        <f t="shared" si="5"/>
        <v>0</v>
      </c>
      <c r="AD173" s="7">
        <f t="shared" si="6"/>
        <v>0</v>
      </c>
      <c r="AE173" s="8" t="str" cm="1">
        <f t="array" ref="AE173">IFERROR(_xlfn.XLOOKUP(H173,Sheet1!$G:$G,Sheet1!$F:$F),IFERROR(_xlfn.XLOOKUP(1,(--($X$2:$X$1074=X173))*(--ISNUMBER(MATCH($H$2:$H$1074,Sheet1!$G:$G,0))),_xlfn.XLOOKUP($H$2:$H$1074,Sheet1!$G:$G,Sheet1!$F:$F,"")),"NOT FOUND"))</f>
        <v>GETKRTSFUT6414</v>
      </c>
      <c r="AF173" s="9" t="str">
        <f t="shared" si="11"/>
        <v>FUCHSIA</v>
      </c>
      <c r="AG173" s="10" t="str">
        <f t="shared" si="12"/>
        <v>HARIPAL</v>
      </c>
      <c r="AH173" s="8" t="str" cm="1">
        <f t="array" ref="AH173">IF(OR(J173="",AE173="",AE173="NOT FOUND"),"",IF(Y173="RP",_xlfn.LET(_xlpm.desc,_xlfn.XLOOKUP(1,(--(Sheet1!$F$2:$F$754=AE173))*(--ISNUMBER(FIND("-",Sheet1!$W$2:$W$754,FIND("-",Sheet1!$W$2:$W$754)+1))),Sheet1!$W$2:$W$754,""),IF(_xlpm.desc="","NOT FOUND",LEFT(_xlpm.desc,FIND("-",_xlpm.desc,FIND("-",_xlpm.desc)+1))&amp;AE173)),LEFT(J173,FIND("-",J173,FIND("-",J173)+1))&amp;AE173))</f>
        <v>KRTS-APWN26-GETKRTSFUT6414</v>
      </c>
    </row>
    <row r="174" spans="1:34" ht="15.75" customHeight="1" x14ac:dyDescent="0.2">
      <c r="A174" t="s">
        <v>61</v>
      </c>
      <c r="B174" t="s">
        <v>825</v>
      </c>
      <c r="C174" t="s">
        <v>1152</v>
      </c>
      <c r="D174" t="s">
        <v>1154</v>
      </c>
      <c r="E174" t="s">
        <v>34</v>
      </c>
      <c r="F174" t="s">
        <v>35</v>
      </c>
      <c r="G174" t="s">
        <v>47</v>
      </c>
      <c r="H174" t="s">
        <v>790</v>
      </c>
      <c r="I174" t="s">
        <v>791</v>
      </c>
      <c r="J174" t="s">
        <v>792</v>
      </c>
      <c r="K174" t="s">
        <v>474</v>
      </c>
      <c r="L174" t="s">
        <v>40</v>
      </c>
      <c r="M174">
        <v>1</v>
      </c>
      <c r="N174">
        <v>120</v>
      </c>
      <c r="O174">
        <v>120</v>
      </c>
      <c r="P174" t="s">
        <v>41</v>
      </c>
      <c r="Q174">
        <v>279.7</v>
      </c>
      <c r="R174">
        <v>279.7</v>
      </c>
      <c r="S174">
        <v>1678.2</v>
      </c>
      <c r="T174">
        <v>33564</v>
      </c>
      <c r="U174">
        <v>5</v>
      </c>
      <c r="V174" t="s">
        <v>42</v>
      </c>
      <c r="W174" t="s">
        <v>474</v>
      </c>
      <c r="X174" s="6" t="str">
        <f t="shared" si="0"/>
        <v>441814960</v>
      </c>
      <c r="Y174" s="7" t="str">
        <f t="shared" si="1"/>
        <v>DC</v>
      </c>
      <c r="Z174" s="7">
        <f t="shared" si="2"/>
        <v>0</v>
      </c>
      <c r="AA174" s="7">
        <f t="shared" si="3"/>
        <v>0</v>
      </c>
      <c r="AB174" s="7">
        <f t="shared" si="4"/>
        <v>120</v>
      </c>
      <c r="AC174" s="7">
        <f t="shared" si="5"/>
        <v>0</v>
      </c>
      <c r="AD174" s="7">
        <f t="shared" si="6"/>
        <v>0</v>
      </c>
      <c r="AE174" s="8" t="str" cm="1">
        <f t="array" ref="AE174">IFERROR(_xlfn.XLOOKUP(H174,Sheet1!$G:$G,Sheet1!$F:$F),IFERROR(_xlfn.XLOOKUP(1,(--($X$2:$X$1074=X174))*(--ISNUMBER(MATCH($H$2:$H$1074,Sheet1!$G:$G,0))),_xlfn.XLOOKUP($H$2:$H$1074,Sheet1!$G:$G,Sheet1!$F:$F,"")),"NOT FOUND"))</f>
        <v>GETKRTSFUT6414</v>
      </c>
      <c r="AF174" s="9" t="str">
        <f t="shared" si="11"/>
        <v>FUCHSIA</v>
      </c>
      <c r="AG174" s="10" t="str">
        <f t="shared" si="12"/>
        <v>HARIPAL</v>
      </c>
      <c r="AH174" s="8" t="str" cm="1">
        <f t="array" ref="AH174">IF(OR(J174="",AE174="",AE174="NOT FOUND"),"",IF(Y174="RP",_xlfn.LET(_xlpm.desc,_xlfn.XLOOKUP(1,(--(Sheet1!$F$2:$F$754=AE174))*(--ISNUMBER(FIND("-",Sheet1!$W$2:$W$754,FIND("-",Sheet1!$W$2:$W$754)+1))),Sheet1!$W$2:$W$754,""),IF(_xlpm.desc="","NOT FOUND",LEFT(_xlpm.desc,FIND("-",_xlpm.desc,FIND("-",_xlpm.desc)+1))&amp;AE174)),LEFT(J174,FIND("-",J174,FIND("-",J174)+1))&amp;AE174))</f>
        <v>KRTS-APWN26-GETKRTSFUT6414</v>
      </c>
    </row>
    <row r="175" spans="1:34" ht="15.75" customHeight="1" x14ac:dyDescent="0.2">
      <c r="A175" t="s">
        <v>61</v>
      </c>
      <c r="B175" t="s">
        <v>825</v>
      </c>
      <c r="C175" t="s">
        <v>1152</v>
      </c>
      <c r="D175" t="s">
        <v>1154</v>
      </c>
      <c r="E175" t="s">
        <v>34</v>
      </c>
      <c r="F175" t="s">
        <v>35</v>
      </c>
      <c r="G175" t="s">
        <v>51</v>
      </c>
      <c r="H175" t="s">
        <v>793</v>
      </c>
      <c r="I175" t="s">
        <v>794</v>
      </c>
      <c r="J175" t="s">
        <v>795</v>
      </c>
      <c r="K175" t="s">
        <v>474</v>
      </c>
      <c r="L175" t="s">
        <v>40</v>
      </c>
      <c r="M175">
        <v>1</v>
      </c>
      <c r="N175">
        <v>127</v>
      </c>
      <c r="O175">
        <v>127</v>
      </c>
      <c r="P175" t="s">
        <v>41</v>
      </c>
      <c r="Q175">
        <v>279.7</v>
      </c>
      <c r="R175">
        <v>279.7</v>
      </c>
      <c r="S175">
        <v>1776.1</v>
      </c>
      <c r="T175">
        <v>35521.9</v>
      </c>
      <c r="U175">
        <v>5</v>
      </c>
      <c r="V175" t="s">
        <v>42</v>
      </c>
      <c r="W175" t="s">
        <v>474</v>
      </c>
      <c r="X175" s="6" t="str">
        <f t="shared" si="0"/>
        <v>441814960</v>
      </c>
      <c r="Y175" s="7" t="str">
        <f t="shared" si="1"/>
        <v>DC</v>
      </c>
      <c r="Z175" s="7">
        <f t="shared" si="2"/>
        <v>0</v>
      </c>
      <c r="AA175" s="7">
        <f t="shared" si="3"/>
        <v>0</v>
      </c>
      <c r="AB175" s="7">
        <f t="shared" si="4"/>
        <v>0</v>
      </c>
      <c r="AC175" s="7">
        <f t="shared" si="5"/>
        <v>127</v>
      </c>
      <c r="AD175" s="7">
        <f t="shared" si="6"/>
        <v>0</v>
      </c>
      <c r="AE175" s="8" t="str" cm="1">
        <f t="array" ref="AE175">IFERROR(_xlfn.XLOOKUP(H175,Sheet1!$G:$G,Sheet1!$F:$F),IFERROR(_xlfn.XLOOKUP(1,(--($X$2:$X$1074=X175))*(--ISNUMBER(MATCH($H$2:$H$1074,Sheet1!$G:$G,0))),_xlfn.XLOOKUP($H$2:$H$1074,Sheet1!$G:$G,Sheet1!$F:$F,"")),"NOT FOUND"))</f>
        <v>GETKRTSFUT6414</v>
      </c>
      <c r="AF175" s="9" t="str">
        <f t="shared" si="11"/>
        <v>FUCHSIA</v>
      </c>
      <c r="AG175" s="10" t="str">
        <f t="shared" si="12"/>
        <v>HARIPAL</v>
      </c>
      <c r="AH175" s="8" t="str" cm="1">
        <f t="array" ref="AH175">IF(OR(J175="",AE175="",AE175="NOT FOUND"),"",IF(Y175="RP",_xlfn.LET(_xlpm.desc,_xlfn.XLOOKUP(1,(--(Sheet1!$F$2:$F$754=AE175))*(--ISNUMBER(FIND("-",Sheet1!$W$2:$W$754,FIND("-",Sheet1!$W$2:$W$754)+1))),Sheet1!$W$2:$W$754,""),IF(_xlpm.desc="","NOT FOUND",LEFT(_xlpm.desc,FIND("-",_xlpm.desc,FIND("-",_xlpm.desc)+1))&amp;AE175)),LEFT(J175,FIND("-",J175,FIND("-",J175)+1))&amp;AE175))</f>
        <v>KRTS-APWN26-GETKRTSFUT6414</v>
      </c>
    </row>
    <row r="176" spans="1:34" ht="15.75" customHeight="1" x14ac:dyDescent="0.2">
      <c r="A176" t="s">
        <v>61</v>
      </c>
      <c r="B176" t="s">
        <v>825</v>
      </c>
      <c r="C176" t="s">
        <v>1152</v>
      </c>
      <c r="D176" t="s">
        <v>1154</v>
      </c>
      <c r="E176" t="s">
        <v>34</v>
      </c>
      <c r="F176" t="s">
        <v>35</v>
      </c>
      <c r="G176" t="s">
        <v>55</v>
      </c>
      <c r="H176" t="s">
        <v>796</v>
      </c>
      <c r="I176" t="s">
        <v>797</v>
      </c>
      <c r="J176" t="s">
        <v>798</v>
      </c>
      <c r="K176" t="s">
        <v>474</v>
      </c>
      <c r="L176" t="s">
        <v>40</v>
      </c>
      <c r="M176">
        <v>1</v>
      </c>
      <c r="N176">
        <v>45</v>
      </c>
      <c r="O176">
        <v>45</v>
      </c>
      <c r="P176" t="s">
        <v>41</v>
      </c>
      <c r="Q176">
        <v>279.7</v>
      </c>
      <c r="R176">
        <v>279.7</v>
      </c>
      <c r="S176">
        <v>629.33000000000004</v>
      </c>
      <c r="T176">
        <v>12586.5</v>
      </c>
      <c r="U176">
        <v>5</v>
      </c>
      <c r="V176" t="s">
        <v>42</v>
      </c>
      <c r="W176" t="s">
        <v>474</v>
      </c>
      <c r="X176" s="6" t="str">
        <f t="shared" si="0"/>
        <v>441814960</v>
      </c>
      <c r="Y176" s="7" t="str">
        <f t="shared" si="1"/>
        <v>DC</v>
      </c>
      <c r="Z176" s="7">
        <f t="shared" si="2"/>
        <v>0</v>
      </c>
      <c r="AA176" s="7">
        <f t="shared" si="3"/>
        <v>0</v>
      </c>
      <c r="AB176" s="7">
        <f t="shared" si="4"/>
        <v>0</v>
      </c>
      <c r="AC176" s="7">
        <f t="shared" si="5"/>
        <v>0</v>
      </c>
      <c r="AD176" s="7">
        <f t="shared" si="6"/>
        <v>45</v>
      </c>
      <c r="AE176" s="8" t="str" cm="1">
        <f t="array" ref="AE176">IFERROR(_xlfn.XLOOKUP(H176,Sheet1!$G:$G,Sheet1!$F:$F),IFERROR(_xlfn.XLOOKUP(1,(--($X$2:$X$1074=X176))*(--ISNUMBER(MATCH($H$2:$H$1074,Sheet1!$G:$G,0))),_xlfn.XLOOKUP($H$2:$H$1074,Sheet1!$G:$G,Sheet1!$F:$F,"")),"NOT FOUND"))</f>
        <v>GETKRTSFUT6414</v>
      </c>
      <c r="AF176" s="9" t="str">
        <f t="shared" si="11"/>
        <v>FUCHSIA</v>
      </c>
      <c r="AG176" s="10" t="str">
        <f t="shared" si="12"/>
        <v>HARIPAL</v>
      </c>
      <c r="AH176" s="8" t="str" cm="1">
        <f t="array" ref="AH176">IF(OR(J176="",AE176="",AE176="NOT FOUND"),"",IF(Y176="RP",_xlfn.LET(_xlpm.desc,_xlfn.XLOOKUP(1,(--(Sheet1!$F$2:$F$754=AE176))*(--ISNUMBER(FIND("-",Sheet1!$W$2:$W$754,FIND("-",Sheet1!$W$2:$W$754)+1))),Sheet1!$W$2:$W$754,""),IF(_xlpm.desc="","NOT FOUND",LEFT(_xlpm.desc,FIND("-",_xlpm.desc,FIND("-",_xlpm.desc)+1))&amp;AE176)),LEFT(J176,FIND("-",J176,FIND("-",J176)+1))&amp;AE176))</f>
        <v>KRTS-APWN26-GETKRTSFUT6414</v>
      </c>
    </row>
    <row r="177" spans="1:34" ht="15.75" customHeight="1" x14ac:dyDescent="0.2">
      <c r="A177" t="s">
        <v>61</v>
      </c>
      <c r="B177" t="s">
        <v>826</v>
      </c>
      <c r="C177" t="s">
        <v>1152</v>
      </c>
      <c r="D177" t="s">
        <v>1154</v>
      </c>
      <c r="E177" t="s">
        <v>34</v>
      </c>
      <c r="F177" t="s">
        <v>35</v>
      </c>
      <c r="G177" t="s">
        <v>36</v>
      </c>
      <c r="H177" t="s">
        <v>801</v>
      </c>
      <c r="I177" t="s">
        <v>802</v>
      </c>
      <c r="J177" t="s">
        <v>803</v>
      </c>
      <c r="K177" t="s">
        <v>474</v>
      </c>
      <c r="L177" t="s">
        <v>40</v>
      </c>
      <c r="M177">
        <v>1</v>
      </c>
      <c r="N177">
        <v>30</v>
      </c>
      <c r="O177">
        <v>30</v>
      </c>
      <c r="P177" t="s">
        <v>41</v>
      </c>
      <c r="Q177">
        <v>279.7</v>
      </c>
      <c r="R177">
        <v>279.7</v>
      </c>
      <c r="S177">
        <v>419.55</v>
      </c>
      <c r="T177">
        <v>8391</v>
      </c>
      <c r="U177">
        <v>5</v>
      </c>
      <c r="V177" t="s">
        <v>42</v>
      </c>
      <c r="W177" t="s">
        <v>474</v>
      </c>
      <c r="X177" s="6" t="str">
        <f t="shared" si="0"/>
        <v>441814959</v>
      </c>
      <c r="Y177" s="7" t="str">
        <f t="shared" si="1"/>
        <v>DC</v>
      </c>
      <c r="Z177" s="7">
        <f t="shared" si="2"/>
        <v>30</v>
      </c>
      <c r="AA177" s="7">
        <f t="shared" si="3"/>
        <v>0</v>
      </c>
      <c r="AB177" s="7">
        <f t="shared" si="4"/>
        <v>0</v>
      </c>
      <c r="AC177" s="7">
        <f t="shared" si="5"/>
        <v>0</v>
      </c>
      <c r="AD177" s="7">
        <f t="shared" si="6"/>
        <v>0</v>
      </c>
      <c r="AE177" s="8" t="str" cm="1">
        <f t="array" ref="AE177">IFERROR(_xlfn.XLOOKUP(H177,Sheet1!$G:$G,Sheet1!$F:$F),IFERROR(_xlfn.XLOOKUP(1,(--($X$2:$X$1074=X177))*(--ISNUMBER(MATCH($H$2:$H$1074,Sheet1!$G:$G,0))),_xlfn.XLOOKUP($H$2:$H$1074,Sheet1!$G:$G,Sheet1!$F:$F,"")),"NOT FOUND"))</f>
        <v>GETKRTSFUT6413</v>
      </c>
      <c r="AF177" s="9" t="str">
        <f t="shared" si="11"/>
        <v>Mauve</v>
      </c>
      <c r="AG177" s="10" t="str">
        <f t="shared" si="12"/>
        <v>HARIPAL</v>
      </c>
      <c r="AH177" s="8" t="str" cm="1">
        <f t="array" ref="AH177">IF(OR(J177="",AE177="",AE177="NOT FOUND"),"",IF(Y177="RP",_xlfn.LET(_xlpm.desc,_xlfn.XLOOKUP(1,(--(Sheet1!$F$2:$F$754=AE177))*(--ISNUMBER(FIND("-",Sheet1!$W$2:$W$754,FIND("-",Sheet1!$W$2:$W$754)+1))),Sheet1!$W$2:$W$754,""),IF(_xlpm.desc="","NOT FOUND",LEFT(_xlpm.desc,FIND("-",_xlpm.desc,FIND("-",_xlpm.desc)+1))&amp;AE177)),LEFT(J177,FIND("-",J177,FIND("-",J177)+1))&amp;AE177))</f>
        <v>KRTS-APWN26-GETKRTSFUT6413</v>
      </c>
    </row>
    <row r="178" spans="1:34" ht="15.75" customHeight="1" x14ac:dyDescent="0.2">
      <c r="A178" t="s">
        <v>61</v>
      </c>
      <c r="B178" t="s">
        <v>826</v>
      </c>
      <c r="C178" t="s">
        <v>1152</v>
      </c>
      <c r="D178" t="s">
        <v>1154</v>
      </c>
      <c r="E178" t="s">
        <v>34</v>
      </c>
      <c r="F178" t="s">
        <v>35</v>
      </c>
      <c r="G178" t="s">
        <v>43</v>
      </c>
      <c r="H178" t="s">
        <v>804</v>
      </c>
      <c r="I178" t="s">
        <v>805</v>
      </c>
      <c r="J178" t="s">
        <v>806</v>
      </c>
      <c r="K178" t="s">
        <v>474</v>
      </c>
      <c r="L178" t="s">
        <v>40</v>
      </c>
      <c r="M178">
        <v>1</v>
      </c>
      <c r="N178">
        <v>127</v>
      </c>
      <c r="O178">
        <v>127</v>
      </c>
      <c r="P178" t="s">
        <v>41</v>
      </c>
      <c r="Q178">
        <v>279.7</v>
      </c>
      <c r="R178">
        <v>279.7</v>
      </c>
      <c r="S178">
        <v>1776.1</v>
      </c>
      <c r="T178">
        <v>35521.9</v>
      </c>
      <c r="U178">
        <v>5</v>
      </c>
      <c r="V178" t="s">
        <v>42</v>
      </c>
      <c r="W178" t="s">
        <v>474</v>
      </c>
      <c r="X178" s="6" t="str">
        <f t="shared" si="0"/>
        <v>441814959</v>
      </c>
      <c r="Y178" s="7" t="str">
        <f t="shared" si="1"/>
        <v>DC</v>
      </c>
      <c r="Z178" s="7">
        <f t="shared" si="2"/>
        <v>0</v>
      </c>
      <c r="AA178" s="7">
        <f t="shared" si="3"/>
        <v>127</v>
      </c>
      <c r="AB178" s="7">
        <f t="shared" si="4"/>
        <v>0</v>
      </c>
      <c r="AC178" s="7">
        <f t="shared" si="5"/>
        <v>0</v>
      </c>
      <c r="AD178" s="7">
        <f t="shared" si="6"/>
        <v>0</v>
      </c>
      <c r="AE178" s="8" t="str" cm="1">
        <f t="array" ref="AE178">IFERROR(_xlfn.XLOOKUP(H178,Sheet1!$G:$G,Sheet1!$F:$F),IFERROR(_xlfn.XLOOKUP(1,(--($X$2:$X$1074=X178))*(--ISNUMBER(MATCH($H$2:$H$1074,Sheet1!$G:$G,0))),_xlfn.XLOOKUP($H$2:$H$1074,Sheet1!$G:$G,Sheet1!$F:$F,"")),"NOT FOUND"))</f>
        <v>GETKRTSFUT6413</v>
      </c>
      <c r="AF178" s="9" t="str">
        <f t="shared" si="11"/>
        <v>Mauve</v>
      </c>
      <c r="AG178" s="10" t="str">
        <f t="shared" si="12"/>
        <v>HARIPAL</v>
      </c>
      <c r="AH178" s="8" t="str" cm="1">
        <f t="array" ref="AH178">IF(OR(J178="",AE178="",AE178="NOT FOUND"),"",IF(Y178="RP",_xlfn.LET(_xlpm.desc,_xlfn.XLOOKUP(1,(--(Sheet1!$F$2:$F$754=AE178))*(--ISNUMBER(FIND("-",Sheet1!$W$2:$W$754,FIND("-",Sheet1!$W$2:$W$754)+1))),Sheet1!$W$2:$W$754,""),IF(_xlpm.desc="","NOT FOUND",LEFT(_xlpm.desc,FIND("-",_xlpm.desc,FIND("-",_xlpm.desc)+1))&amp;AE178)),LEFT(J178,FIND("-",J178,FIND("-",J178)+1))&amp;AE178))</f>
        <v>KRTS-APWN26-GETKRTSFUT6413</v>
      </c>
    </row>
    <row r="179" spans="1:34" ht="15.75" customHeight="1" x14ac:dyDescent="0.2">
      <c r="A179" t="s">
        <v>61</v>
      </c>
      <c r="B179" t="s">
        <v>826</v>
      </c>
      <c r="C179" t="s">
        <v>1152</v>
      </c>
      <c r="D179" t="s">
        <v>1154</v>
      </c>
      <c r="E179" t="s">
        <v>34</v>
      </c>
      <c r="F179" t="s">
        <v>35</v>
      </c>
      <c r="G179" t="s">
        <v>47</v>
      </c>
      <c r="H179" t="s">
        <v>807</v>
      </c>
      <c r="I179" t="s">
        <v>808</v>
      </c>
      <c r="J179" t="s">
        <v>809</v>
      </c>
      <c r="K179" t="s">
        <v>474</v>
      </c>
      <c r="L179" t="s">
        <v>40</v>
      </c>
      <c r="M179">
        <v>1</v>
      </c>
      <c r="N179">
        <v>120</v>
      </c>
      <c r="O179">
        <v>120</v>
      </c>
      <c r="P179" t="s">
        <v>41</v>
      </c>
      <c r="Q179">
        <v>279.7</v>
      </c>
      <c r="R179">
        <v>279.7</v>
      </c>
      <c r="S179">
        <v>1678.2</v>
      </c>
      <c r="T179">
        <v>33564</v>
      </c>
      <c r="U179">
        <v>5</v>
      </c>
      <c r="V179" t="s">
        <v>42</v>
      </c>
      <c r="W179" t="s">
        <v>474</v>
      </c>
      <c r="X179" s="6" t="str">
        <f t="shared" si="0"/>
        <v>441814959</v>
      </c>
      <c r="Y179" s="7" t="str">
        <f t="shared" si="1"/>
        <v>DC</v>
      </c>
      <c r="Z179" s="7">
        <f t="shared" si="2"/>
        <v>0</v>
      </c>
      <c r="AA179" s="7">
        <f t="shared" si="3"/>
        <v>0</v>
      </c>
      <c r="AB179" s="7">
        <f t="shared" si="4"/>
        <v>120</v>
      </c>
      <c r="AC179" s="7">
        <f t="shared" si="5"/>
        <v>0</v>
      </c>
      <c r="AD179" s="7">
        <f t="shared" si="6"/>
        <v>0</v>
      </c>
      <c r="AE179" s="8" t="str" cm="1">
        <f t="array" ref="AE179">IFERROR(_xlfn.XLOOKUP(H179,Sheet1!$G:$G,Sheet1!$F:$F),IFERROR(_xlfn.XLOOKUP(1,(--($X$2:$X$1074=X179))*(--ISNUMBER(MATCH($H$2:$H$1074,Sheet1!$G:$G,0))),_xlfn.XLOOKUP($H$2:$H$1074,Sheet1!$G:$G,Sheet1!$F:$F,"")),"NOT FOUND"))</f>
        <v>GETKRTSFUT6413</v>
      </c>
      <c r="AF179" s="9" t="str">
        <f t="shared" si="11"/>
        <v>Mauve</v>
      </c>
      <c r="AG179" s="10" t="str">
        <f t="shared" si="12"/>
        <v>HARIPAL</v>
      </c>
      <c r="AH179" s="8" t="str" cm="1">
        <f t="array" ref="AH179">IF(OR(J179="",AE179="",AE179="NOT FOUND"),"",IF(Y179="RP",_xlfn.LET(_xlpm.desc,_xlfn.XLOOKUP(1,(--(Sheet1!$F$2:$F$754=AE179))*(--ISNUMBER(FIND("-",Sheet1!$W$2:$W$754,FIND("-",Sheet1!$W$2:$W$754)+1))),Sheet1!$W$2:$W$754,""),IF(_xlpm.desc="","NOT FOUND",LEFT(_xlpm.desc,FIND("-",_xlpm.desc,FIND("-",_xlpm.desc)+1))&amp;AE179)),LEFT(J179,FIND("-",J179,FIND("-",J179)+1))&amp;AE179))</f>
        <v>KRTS-APWN26-GETKRTSFUT6413</v>
      </c>
    </row>
    <row r="180" spans="1:34" ht="15.75" customHeight="1" x14ac:dyDescent="0.2">
      <c r="A180" t="s">
        <v>61</v>
      </c>
      <c r="B180" t="s">
        <v>826</v>
      </c>
      <c r="C180" t="s">
        <v>1152</v>
      </c>
      <c r="D180" t="s">
        <v>1154</v>
      </c>
      <c r="E180" t="s">
        <v>34</v>
      </c>
      <c r="F180" t="s">
        <v>35</v>
      </c>
      <c r="G180" t="s">
        <v>51</v>
      </c>
      <c r="H180" t="s">
        <v>810</v>
      </c>
      <c r="I180" t="s">
        <v>811</v>
      </c>
      <c r="J180" t="s">
        <v>812</v>
      </c>
      <c r="K180" t="s">
        <v>474</v>
      </c>
      <c r="L180" t="s">
        <v>40</v>
      </c>
      <c r="M180">
        <v>1</v>
      </c>
      <c r="N180">
        <v>127</v>
      </c>
      <c r="O180">
        <v>127</v>
      </c>
      <c r="P180" t="s">
        <v>41</v>
      </c>
      <c r="Q180">
        <v>279.7</v>
      </c>
      <c r="R180">
        <v>279.7</v>
      </c>
      <c r="S180">
        <v>1776.1</v>
      </c>
      <c r="T180">
        <v>35521.9</v>
      </c>
      <c r="U180">
        <v>5</v>
      </c>
      <c r="V180" t="s">
        <v>42</v>
      </c>
      <c r="W180" t="s">
        <v>474</v>
      </c>
      <c r="X180" s="6" t="str">
        <f t="shared" si="0"/>
        <v>441814959</v>
      </c>
      <c r="Y180" s="7" t="str">
        <f t="shared" si="1"/>
        <v>DC</v>
      </c>
      <c r="Z180" s="7">
        <f t="shared" si="2"/>
        <v>0</v>
      </c>
      <c r="AA180" s="7">
        <f t="shared" si="3"/>
        <v>0</v>
      </c>
      <c r="AB180" s="7">
        <f t="shared" si="4"/>
        <v>0</v>
      </c>
      <c r="AC180" s="7">
        <f t="shared" si="5"/>
        <v>127</v>
      </c>
      <c r="AD180" s="7">
        <f t="shared" si="6"/>
        <v>0</v>
      </c>
      <c r="AE180" s="8" t="str" cm="1">
        <f t="array" ref="AE180">IFERROR(_xlfn.XLOOKUP(H180,Sheet1!$G:$G,Sheet1!$F:$F),IFERROR(_xlfn.XLOOKUP(1,(--($X$2:$X$1074=X180))*(--ISNUMBER(MATCH($H$2:$H$1074,Sheet1!$G:$G,0))),_xlfn.XLOOKUP($H$2:$H$1074,Sheet1!$G:$G,Sheet1!$F:$F,"")),"NOT FOUND"))</f>
        <v>GETKRTSFUT6413</v>
      </c>
      <c r="AF180" s="9" t="str">
        <f t="shared" si="11"/>
        <v>Mauve</v>
      </c>
      <c r="AG180" s="10" t="str">
        <f t="shared" si="12"/>
        <v>HARIPAL</v>
      </c>
      <c r="AH180" s="8" t="str" cm="1">
        <f t="array" ref="AH180">IF(OR(J180="",AE180="",AE180="NOT FOUND"),"",IF(Y180="RP",_xlfn.LET(_xlpm.desc,_xlfn.XLOOKUP(1,(--(Sheet1!$F$2:$F$754=AE180))*(--ISNUMBER(FIND("-",Sheet1!$W$2:$W$754,FIND("-",Sheet1!$W$2:$W$754)+1))),Sheet1!$W$2:$W$754,""),IF(_xlpm.desc="","NOT FOUND",LEFT(_xlpm.desc,FIND("-",_xlpm.desc,FIND("-",_xlpm.desc)+1))&amp;AE180)),LEFT(J180,FIND("-",J180,FIND("-",J180)+1))&amp;AE180))</f>
        <v>KRTS-APWN26-GETKRTSFUT6413</v>
      </c>
    </row>
    <row r="181" spans="1:34" ht="15.75" customHeight="1" x14ac:dyDescent="0.2">
      <c r="A181" t="s">
        <v>61</v>
      </c>
      <c r="B181" t="s">
        <v>826</v>
      </c>
      <c r="C181" t="s">
        <v>1152</v>
      </c>
      <c r="D181" t="s">
        <v>1154</v>
      </c>
      <c r="E181" t="s">
        <v>34</v>
      </c>
      <c r="F181" t="s">
        <v>35</v>
      </c>
      <c r="G181" t="s">
        <v>55</v>
      </c>
      <c r="H181" t="s">
        <v>813</v>
      </c>
      <c r="I181" t="s">
        <v>814</v>
      </c>
      <c r="J181" t="s">
        <v>815</v>
      </c>
      <c r="K181" t="s">
        <v>474</v>
      </c>
      <c r="L181" t="s">
        <v>40</v>
      </c>
      <c r="M181">
        <v>1</v>
      </c>
      <c r="N181">
        <v>45</v>
      </c>
      <c r="O181">
        <v>45</v>
      </c>
      <c r="P181" t="s">
        <v>41</v>
      </c>
      <c r="Q181">
        <v>279.7</v>
      </c>
      <c r="R181">
        <v>279.7</v>
      </c>
      <c r="S181">
        <v>629.33000000000004</v>
      </c>
      <c r="T181">
        <v>12586.5</v>
      </c>
      <c r="U181">
        <v>5</v>
      </c>
      <c r="V181" t="s">
        <v>42</v>
      </c>
      <c r="W181" t="s">
        <v>474</v>
      </c>
      <c r="X181" s="6" t="str">
        <f t="shared" si="0"/>
        <v>441814959</v>
      </c>
      <c r="Y181" s="7" t="str">
        <f t="shared" si="1"/>
        <v>DC</v>
      </c>
      <c r="Z181" s="7">
        <f t="shared" si="2"/>
        <v>0</v>
      </c>
      <c r="AA181" s="7">
        <f t="shared" si="3"/>
        <v>0</v>
      </c>
      <c r="AB181" s="7">
        <f t="shared" si="4"/>
        <v>0</v>
      </c>
      <c r="AC181" s="7">
        <f t="shared" si="5"/>
        <v>0</v>
      </c>
      <c r="AD181" s="7">
        <f t="shared" si="6"/>
        <v>45</v>
      </c>
      <c r="AE181" s="8" t="str" cm="1">
        <f t="array" ref="AE181">IFERROR(_xlfn.XLOOKUP(H181,Sheet1!$G:$G,Sheet1!$F:$F),IFERROR(_xlfn.XLOOKUP(1,(--($X$2:$X$1074=X181))*(--ISNUMBER(MATCH($H$2:$H$1074,Sheet1!$G:$G,0))),_xlfn.XLOOKUP($H$2:$H$1074,Sheet1!$G:$G,Sheet1!$F:$F,"")),"NOT FOUND"))</f>
        <v>GETKRTSFUT6413</v>
      </c>
      <c r="AF181" s="9" t="str">
        <f t="shared" si="11"/>
        <v>Mauve</v>
      </c>
      <c r="AG181" s="10" t="str">
        <f t="shared" si="12"/>
        <v>HARIPAL</v>
      </c>
      <c r="AH181" s="8" t="str" cm="1">
        <f t="array" ref="AH181">IF(OR(J181="",AE181="",AE181="NOT FOUND"),"",IF(Y181="RP",_xlfn.LET(_xlpm.desc,_xlfn.XLOOKUP(1,(--(Sheet1!$F$2:$F$754=AE181))*(--ISNUMBER(FIND("-",Sheet1!$W$2:$W$754,FIND("-",Sheet1!$W$2:$W$754)+1))),Sheet1!$W$2:$W$754,""),IF(_xlpm.desc="","NOT FOUND",LEFT(_xlpm.desc,FIND("-",_xlpm.desc,FIND("-",_xlpm.desc)+1))&amp;AE181)),LEFT(J181,FIND("-",J181,FIND("-",J181)+1))&amp;AE181))</f>
        <v>KRTS-APWN26-GETKRTSFUT6413</v>
      </c>
    </row>
    <row r="182" spans="1:34" ht="15.75" customHeight="1" x14ac:dyDescent="0.2">
      <c r="A182" t="s">
        <v>30</v>
      </c>
      <c r="B182" t="s">
        <v>827</v>
      </c>
      <c r="C182" t="s">
        <v>1152</v>
      </c>
      <c r="D182" t="s">
        <v>1154</v>
      </c>
      <c r="E182" t="s">
        <v>34</v>
      </c>
      <c r="F182" t="s">
        <v>35</v>
      </c>
      <c r="G182" t="s">
        <v>36</v>
      </c>
      <c r="H182" t="s">
        <v>828</v>
      </c>
      <c r="I182" t="s">
        <v>829</v>
      </c>
      <c r="J182" t="s">
        <v>831</v>
      </c>
      <c r="K182" t="s">
        <v>474</v>
      </c>
      <c r="L182" t="s">
        <v>40</v>
      </c>
      <c r="M182">
        <v>1</v>
      </c>
      <c r="N182">
        <v>450</v>
      </c>
      <c r="O182">
        <v>450</v>
      </c>
      <c r="P182" t="s">
        <v>41</v>
      </c>
      <c r="Q182">
        <v>1398.5</v>
      </c>
      <c r="R182">
        <v>1398.5</v>
      </c>
      <c r="S182">
        <v>31466.25</v>
      </c>
      <c r="T182">
        <v>629325</v>
      </c>
      <c r="U182">
        <v>5</v>
      </c>
      <c r="V182" t="s">
        <v>42</v>
      </c>
      <c r="W182" t="s">
        <v>474</v>
      </c>
      <c r="X182" s="6" t="str">
        <f t="shared" si="0"/>
        <v>441814969</v>
      </c>
      <c r="Y182" s="7" t="str">
        <f t="shared" si="1"/>
        <v>RP</v>
      </c>
      <c r="Z182" s="7">
        <f t="shared" si="2"/>
        <v>450</v>
      </c>
      <c r="AA182" s="7">
        <f t="shared" si="3"/>
        <v>450</v>
      </c>
      <c r="AB182" s="7">
        <f t="shared" si="4"/>
        <v>450</v>
      </c>
      <c r="AC182" s="7">
        <f t="shared" si="5"/>
        <v>450</v>
      </c>
      <c r="AD182" s="7">
        <f t="shared" si="6"/>
        <v>450</v>
      </c>
      <c r="AE182" s="8" t="str" cm="1">
        <f t="array" ref="AE182">IFERROR(_xlfn.XLOOKUP(H182,Sheet1!$G:$G,Sheet1!$F:$F),IFERROR(_xlfn.XLOOKUP(1,(--($X$2:$X$1074=X182))*(--ISNUMBER(MATCH($H$2:$H$1074,Sheet1!$G:$G,0))),_xlfn.XLOOKUP($H$2:$H$1074,Sheet1!$G:$G,Sheet1!$F:$F,"")),"NOT FOUND"))</f>
        <v>GETKRTSFUT6422</v>
      </c>
      <c r="AF182" s="9" t="str">
        <f t="shared" si="11"/>
        <v>DARK GREY</v>
      </c>
      <c r="AG182" s="10" t="str">
        <f t="shared" si="12"/>
        <v>Bangalore</v>
      </c>
      <c r="AH182" s="8" t="str" cm="1">
        <f t="array" ref="AH182">IF(OR(J182="",AE182="",AE182="NOT FOUND"),"",IF(Y182="RP",_xlfn.LET(_xlpm.desc,_xlfn.XLOOKUP(1,(--(Sheet1!$F$2:$F$754=AE182))*(--ISNUMBER(FIND("-",Sheet1!$W$2:$W$754,FIND("-",Sheet1!$W$2:$W$754)+1))),Sheet1!$W$2:$W$754,""),IF(_xlpm.desc="","NOT FOUND",LEFT(_xlpm.desc,FIND("-",_xlpm.desc,FIND("-",_xlpm.desc)+1))&amp;AE182)),LEFT(J182,FIND("-",J182,FIND("-",J182)+1))&amp;AE182))</f>
        <v>KRTS-APWN26-GETKRTSFUT6422</v>
      </c>
    </row>
    <row r="183" spans="1:34" ht="15.75" customHeight="1" x14ac:dyDescent="0.2">
      <c r="A183" t="s">
        <v>30</v>
      </c>
      <c r="B183" t="s">
        <v>832</v>
      </c>
      <c r="C183" t="s">
        <v>1152</v>
      </c>
      <c r="D183" t="s">
        <v>1154</v>
      </c>
      <c r="E183" t="s">
        <v>34</v>
      </c>
      <c r="F183" t="s">
        <v>35</v>
      </c>
      <c r="G183" t="s">
        <v>36</v>
      </c>
      <c r="H183" t="s">
        <v>833</v>
      </c>
      <c r="I183" t="s">
        <v>834</v>
      </c>
      <c r="J183" t="s">
        <v>835</v>
      </c>
      <c r="K183" t="s">
        <v>474</v>
      </c>
      <c r="L183" t="s">
        <v>40</v>
      </c>
      <c r="M183">
        <v>1</v>
      </c>
      <c r="N183">
        <v>450</v>
      </c>
      <c r="O183">
        <v>450</v>
      </c>
      <c r="P183" t="s">
        <v>41</v>
      </c>
      <c r="Q183">
        <v>1398.5</v>
      </c>
      <c r="R183">
        <v>1398.5</v>
      </c>
      <c r="S183">
        <v>31466.25</v>
      </c>
      <c r="T183">
        <v>629325</v>
      </c>
      <c r="U183">
        <v>5</v>
      </c>
      <c r="V183" t="s">
        <v>42</v>
      </c>
      <c r="W183" t="s">
        <v>474</v>
      </c>
      <c r="X183" s="6" t="str">
        <f t="shared" si="0"/>
        <v>441814967</v>
      </c>
      <c r="Y183" s="7" t="str">
        <f t="shared" si="1"/>
        <v>RP</v>
      </c>
      <c r="Z183" s="7">
        <f t="shared" si="2"/>
        <v>450</v>
      </c>
      <c r="AA183" s="7">
        <f t="shared" si="3"/>
        <v>450</v>
      </c>
      <c r="AB183" s="7">
        <f t="shared" si="4"/>
        <v>450</v>
      </c>
      <c r="AC183" s="7">
        <f t="shared" si="5"/>
        <v>450</v>
      </c>
      <c r="AD183" s="7">
        <f t="shared" si="6"/>
        <v>450</v>
      </c>
      <c r="AE183" s="8" t="str" cm="1">
        <f t="array" ref="AE183">IFERROR(_xlfn.XLOOKUP(H183,Sheet1!$G:$G,Sheet1!$F:$F),IFERROR(_xlfn.XLOOKUP(1,(--($X$2:$X$1074=X183))*(--ISNUMBER(MATCH($H$2:$H$1074,Sheet1!$G:$G,0))),_xlfn.XLOOKUP($H$2:$H$1074,Sheet1!$G:$G,Sheet1!$F:$F,"")),"NOT FOUND"))</f>
        <v>GETKRTSFUT6420</v>
      </c>
      <c r="AF183" s="9" t="str">
        <f t="shared" si="11"/>
        <v>MINT</v>
      </c>
      <c r="AG183" s="10" t="str">
        <f t="shared" si="12"/>
        <v>Bangalore</v>
      </c>
      <c r="AH183" s="8" t="str" cm="1">
        <f t="array" ref="AH183">IF(OR(J183="",AE183="",AE183="NOT FOUND"),"",IF(Y183="RP",_xlfn.LET(_xlpm.desc,_xlfn.XLOOKUP(1,(--(Sheet1!$F$2:$F$754=AE183))*(--ISNUMBER(FIND("-",Sheet1!$W$2:$W$754,FIND("-",Sheet1!$W$2:$W$754)+1))),Sheet1!$W$2:$W$754,""),IF(_xlpm.desc="","NOT FOUND",LEFT(_xlpm.desc,FIND("-",_xlpm.desc,FIND("-",_xlpm.desc)+1))&amp;AE183)),LEFT(J183,FIND("-",J183,FIND("-",J183)+1))&amp;AE183))</f>
        <v>KRTS-APWN26-GETKRTSFUT6420</v>
      </c>
    </row>
    <row r="184" spans="1:34" ht="15.75" customHeight="1" x14ac:dyDescent="0.2">
      <c r="A184" t="s">
        <v>30</v>
      </c>
      <c r="B184" t="s">
        <v>836</v>
      </c>
      <c r="C184" t="s">
        <v>1152</v>
      </c>
      <c r="D184" t="s">
        <v>1154</v>
      </c>
      <c r="E184" t="s">
        <v>34</v>
      </c>
      <c r="F184" t="s">
        <v>35</v>
      </c>
      <c r="G184" t="s">
        <v>36</v>
      </c>
      <c r="H184" t="s">
        <v>837</v>
      </c>
      <c r="I184" t="s">
        <v>838</v>
      </c>
      <c r="J184" t="s">
        <v>839</v>
      </c>
      <c r="K184" t="s">
        <v>474</v>
      </c>
      <c r="L184" t="s">
        <v>40</v>
      </c>
      <c r="M184">
        <v>1</v>
      </c>
      <c r="N184">
        <v>450</v>
      </c>
      <c r="O184">
        <v>450</v>
      </c>
      <c r="P184" t="s">
        <v>41</v>
      </c>
      <c r="Q184">
        <v>1383.5</v>
      </c>
      <c r="R184">
        <v>1383.5</v>
      </c>
      <c r="S184">
        <v>31128.75</v>
      </c>
      <c r="T184">
        <v>622575</v>
      </c>
      <c r="U184">
        <v>5</v>
      </c>
      <c r="V184" t="s">
        <v>42</v>
      </c>
      <c r="W184" t="s">
        <v>474</v>
      </c>
      <c r="X184" s="6" t="str">
        <f t="shared" si="0"/>
        <v>441814968</v>
      </c>
      <c r="Y184" s="7" t="str">
        <f t="shared" si="1"/>
        <v>RP</v>
      </c>
      <c r="Z184" s="7">
        <f t="shared" si="2"/>
        <v>450</v>
      </c>
      <c r="AA184" s="7">
        <f t="shared" si="3"/>
        <v>450</v>
      </c>
      <c r="AB184" s="7">
        <f t="shared" si="4"/>
        <v>450</v>
      </c>
      <c r="AC184" s="7">
        <f t="shared" si="5"/>
        <v>450</v>
      </c>
      <c r="AD184" s="7">
        <f t="shared" si="6"/>
        <v>450</v>
      </c>
      <c r="AE184" s="8" t="str" cm="1">
        <f t="array" ref="AE184">IFERROR(_xlfn.XLOOKUP(H184,Sheet1!$G:$G,Sheet1!$F:$F),IFERROR(_xlfn.XLOOKUP(1,(--($X$2:$X$1074=X184))*(--ISNUMBER(MATCH($H$2:$H$1074,Sheet1!$G:$G,0))),_xlfn.XLOOKUP($H$2:$H$1074,Sheet1!$G:$G,Sheet1!$F:$F,"")),"NOT FOUND"))</f>
        <v>GETKRTSFUT6421</v>
      </c>
      <c r="AF184" s="9" t="str">
        <f t="shared" si="11"/>
        <v>DARK GREY</v>
      </c>
      <c r="AG184" s="10" t="str">
        <f t="shared" si="12"/>
        <v>Bangalore</v>
      </c>
      <c r="AH184" s="8" t="str" cm="1">
        <f t="array" ref="AH184">IF(OR(J184="",AE184="",AE184="NOT FOUND"),"",IF(Y184="RP",_xlfn.LET(_xlpm.desc,_xlfn.XLOOKUP(1,(--(Sheet1!$F$2:$F$754=AE184))*(--ISNUMBER(FIND("-",Sheet1!$W$2:$W$754,FIND("-",Sheet1!$W$2:$W$754)+1))),Sheet1!$W$2:$W$754,""),IF(_xlpm.desc="","NOT FOUND",LEFT(_xlpm.desc,FIND("-",_xlpm.desc,FIND("-",_xlpm.desc)+1))&amp;AE184)),LEFT(J184,FIND("-",J184,FIND("-",J184)+1))&amp;AE184))</f>
        <v>KRTS-APWN26-GETKRTSFUT6421</v>
      </c>
    </row>
    <row r="185" spans="1:34" ht="15.75" customHeight="1" x14ac:dyDescent="0.2">
      <c r="A185" t="s">
        <v>30</v>
      </c>
      <c r="B185" t="s">
        <v>840</v>
      </c>
      <c r="C185" t="s">
        <v>1152</v>
      </c>
      <c r="D185" t="s">
        <v>1154</v>
      </c>
      <c r="E185" t="s">
        <v>34</v>
      </c>
      <c r="F185" t="s">
        <v>35</v>
      </c>
      <c r="G185" t="s">
        <v>36</v>
      </c>
      <c r="H185" t="s">
        <v>841</v>
      </c>
      <c r="I185" t="s">
        <v>842</v>
      </c>
      <c r="J185" t="s">
        <v>843</v>
      </c>
      <c r="K185" t="s">
        <v>474</v>
      </c>
      <c r="L185" t="s">
        <v>40</v>
      </c>
      <c r="M185">
        <v>1</v>
      </c>
      <c r="N185">
        <v>450</v>
      </c>
      <c r="O185">
        <v>450</v>
      </c>
      <c r="P185" t="s">
        <v>41</v>
      </c>
      <c r="Q185">
        <v>1398.5</v>
      </c>
      <c r="R185">
        <v>1398.5</v>
      </c>
      <c r="S185">
        <v>31466.25</v>
      </c>
      <c r="T185">
        <v>629325</v>
      </c>
      <c r="U185">
        <v>5</v>
      </c>
      <c r="V185" t="s">
        <v>42</v>
      </c>
      <c r="W185" t="s">
        <v>474</v>
      </c>
      <c r="X185" s="6" t="str">
        <f t="shared" si="0"/>
        <v>441814965</v>
      </c>
      <c r="Y185" s="7" t="str">
        <f t="shared" si="1"/>
        <v>RP</v>
      </c>
      <c r="Z185" s="7">
        <f t="shared" si="2"/>
        <v>450</v>
      </c>
      <c r="AA185" s="7">
        <f t="shared" si="3"/>
        <v>450</v>
      </c>
      <c r="AB185" s="7">
        <f t="shared" si="4"/>
        <v>450</v>
      </c>
      <c r="AC185" s="7">
        <f t="shared" si="5"/>
        <v>450</v>
      </c>
      <c r="AD185" s="7">
        <f t="shared" si="6"/>
        <v>450</v>
      </c>
      <c r="AE185" s="8" t="str" cm="1">
        <f t="array" ref="AE185">IFERROR(_xlfn.XLOOKUP(H185,Sheet1!$G:$G,Sheet1!$F:$F),IFERROR(_xlfn.XLOOKUP(1,(--($X$2:$X$1074=X185))*(--ISNUMBER(MATCH($H$2:$H$1074,Sheet1!$G:$G,0))),_xlfn.XLOOKUP($H$2:$H$1074,Sheet1!$G:$G,Sheet1!$F:$F,"")),"NOT FOUND"))</f>
        <v>GETKRTSFUT6418</v>
      </c>
      <c r="AF185" s="9" t="str">
        <f t="shared" si="11"/>
        <v>TEAL</v>
      </c>
      <c r="AG185" s="10" t="str">
        <f t="shared" si="12"/>
        <v>Bangalore</v>
      </c>
      <c r="AH185" s="8" t="str" cm="1">
        <f t="array" ref="AH185">IF(OR(J185="",AE185="",AE185="NOT FOUND"),"",IF(Y185="RP",_xlfn.LET(_xlpm.desc,_xlfn.XLOOKUP(1,(--(Sheet1!$F$2:$F$754=AE185))*(--ISNUMBER(FIND("-",Sheet1!$W$2:$W$754,FIND("-",Sheet1!$W$2:$W$754)+1))),Sheet1!$W$2:$W$754,""),IF(_xlpm.desc="","NOT FOUND",LEFT(_xlpm.desc,FIND("-",_xlpm.desc,FIND("-",_xlpm.desc)+1))&amp;AE185)),LEFT(J185,FIND("-",J185,FIND("-",J185)+1))&amp;AE185))</f>
        <v>KRTS-APWN26-GETKRTSFUT6418</v>
      </c>
    </row>
    <row r="186" spans="1:34" ht="15.75" customHeight="1" x14ac:dyDescent="0.2">
      <c r="A186" t="s">
        <v>30</v>
      </c>
      <c r="B186" t="s">
        <v>844</v>
      </c>
      <c r="C186" t="s">
        <v>1152</v>
      </c>
      <c r="D186" t="s">
        <v>1154</v>
      </c>
      <c r="E186" t="s">
        <v>34</v>
      </c>
      <c r="F186" t="s">
        <v>35</v>
      </c>
      <c r="G186" t="s">
        <v>36</v>
      </c>
      <c r="H186" t="s">
        <v>845</v>
      </c>
      <c r="I186" t="s">
        <v>846</v>
      </c>
      <c r="J186" t="s">
        <v>847</v>
      </c>
      <c r="K186" t="s">
        <v>474</v>
      </c>
      <c r="L186" t="s">
        <v>40</v>
      </c>
      <c r="M186">
        <v>1</v>
      </c>
      <c r="N186">
        <v>450</v>
      </c>
      <c r="O186">
        <v>450</v>
      </c>
      <c r="P186" t="s">
        <v>41</v>
      </c>
      <c r="Q186">
        <v>1398.5</v>
      </c>
      <c r="R186">
        <v>1398.5</v>
      </c>
      <c r="S186">
        <v>31466.25</v>
      </c>
      <c r="T186">
        <v>629325</v>
      </c>
      <c r="U186">
        <v>5</v>
      </c>
      <c r="V186" t="s">
        <v>42</v>
      </c>
      <c r="W186" t="s">
        <v>474</v>
      </c>
      <c r="X186" s="6" t="str">
        <f t="shared" si="0"/>
        <v>441814963</v>
      </c>
      <c r="Y186" s="7" t="str">
        <f t="shared" si="1"/>
        <v>RP</v>
      </c>
      <c r="Z186" s="7">
        <f t="shared" si="2"/>
        <v>450</v>
      </c>
      <c r="AA186" s="7">
        <f t="shared" si="3"/>
        <v>450</v>
      </c>
      <c r="AB186" s="7">
        <f t="shared" si="4"/>
        <v>450</v>
      </c>
      <c r="AC186" s="7">
        <f t="shared" si="5"/>
        <v>450</v>
      </c>
      <c r="AD186" s="7">
        <f t="shared" si="6"/>
        <v>450</v>
      </c>
      <c r="AE186" s="8" t="str" cm="1">
        <f t="array" ref="AE186">IFERROR(_xlfn.XLOOKUP(H186,Sheet1!$G:$G,Sheet1!$F:$F),IFERROR(_xlfn.XLOOKUP(1,(--($X$2:$X$1074=X186))*(--ISNUMBER(MATCH($H$2:$H$1074,Sheet1!$G:$G,0))),_xlfn.XLOOKUP($H$2:$H$1074,Sheet1!$G:$G,Sheet1!$F:$F,"")),"NOT FOUND"))</f>
        <v>GETKRTSFUT6416</v>
      </c>
      <c r="AF186" s="9" t="str">
        <f t="shared" si="11"/>
        <v>MAUVE</v>
      </c>
      <c r="AG186" s="10" t="str">
        <f t="shared" si="12"/>
        <v>Bangalore</v>
      </c>
      <c r="AH186" s="8" t="str" cm="1">
        <f t="array" ref="AH186">IF(OR(J186="",AE186="",AE186="NOT FOUND"),"",IF(Y186="RP",_xlfn.LET(_xlpm.desc,_xlfn.XLOOKUP(1,(--(Sheet1!$F$2:$F$754=AE186))*(--ISNUMBER(FIND("-",Sheet1!$W$2:$W$754,FIND("-",Sheet1!$W$2:$W$754)+1))),Sheet1!$W$2:$W$754,""),IF(_xlpm.desc="","NOT FOUND",LEFT(_xlpm.desc,FIND("-",_xlpm.desc,FIND("-",_xlpm.desc)+1))&amp;AE186)),LEFT(J186,FIND("-",J186,FIND("-",J186)+1))&amp;AE186))</f>
        <v>KRTS-APWN26-GETKRTSFUT6416</v>
      </c>
    </row>
    <row r="187" spans="1:34" ht="15.75" customHeight="1" x14ac:dyDescent="0.2">
      <c r="A187" t="s">
        <v>30</v>
      </c>
      <c r="B187" t="s">
        <v>848</v>
      </c>
      <c r="C187" t="s">
        <v>1152</v>
      </c>
      <c r="D187" t="s">
        <v>1154</v>
      </c>
      <c r="E187" t="s">
        <v>34</v>
      </c>
      <c r="F187" t="s">
        <v>35</v>
      </c>
      <c r="G187" t="s">
        <v>36</v>
      </c>
      <c r="H187" t="s">
        <v>849</v>
      </c>
      <c r="I187" t="s">
        <v>850</v>
      </c>
      <c r="J187" t="s">
        <v>851</v>
      </c>
      <c r="K187" t="s">
        <v>474</v>
      </c>
      <c r="L187" t="s">
        <v>40</v>
      </c>
      <c r="M187">
        <v>1</v>
      </c>
      <c r="N187">
        <v>450</v>
      </c>
      <c r="O187">
        <v>450</v>
      </c>
      <c r="P187" t="s">
        <v>41</v>
      </c>
      <c r="Q187">
        <v>1383.5</v>
      </c>
      <c r="R187">
        <v>1383.5</v>
      </c>
      <c r="S187">
        <v>31128.75</v>
      </c>
      <c r="T187">
        <v>622575</v>
      </c>
      <c r="U187">
        <v>5</v>
      </c>
      <c r="V187" t="s">
        <v>42</v>
      </c>
      <c r="W187" t="s">
        <v>474</v>
      </c>
      <c r="X187" s="6" t="str">
        <f t="shared" si="0"/>
        <v>441814966</v>
      </c>
      <c r="Y187" s="7" t="str">
        <f t="shared" si="1"/>
        <v>RP</v>
      </c>
      <c r="Z187" s="7">
        <f t="shared" si="2"/>
        <v>450</v>
      </c>
      <c r="AA187" s="7">
        <f t="shared" si="3"/>
        <v>450</v>
      </c>
      <c r="AB187" s="7">
        <f t="shared" si="4"/>
        <v>450</v>
      </c>
      <c r="AC187" s="7">
        <f t="shared" si="5"/>
        <v>450</v>
      </c>
      <c r="AD187" s="7">
        <f t="shared" si="6"/>
        <v>450</v>
      </c>
      <c r="AE187" s="8" t="str" cm="1">
        <f t="array" ref="AE187">IFERROR(_xlfn.XLOOKUP(H187,Sheet1!$G:$G,Sheet1!$F:$F),IFERROR(_xlfn.XLOOKUP(1,(--($X$2:$X$1074=X187))*(--ISNUMBER(MATCH($H$2:$H$1074,Sheet1!$G:$G,0))),_xlfn.XLOOKUP($H$2:$H$1074,Sheet1!$G:$G,Sheet1!$F:$F,"")),"NOT FOUND"))</f>
        <v>GETKRTSFUT6419</v>
      </c>
      <c r="AF187" s="9" t="str">
        <f t="shared" si="11"/>
        <v>LIGHT RED</v>
      </c>
      <c r="AG187" s="10" t="str">
        <f t="shared" si="12"/>
        <v>Bangalore</v>
      </c>
      <c r="AH187" s="8" t="str" cm="1">
        <f t="array" ref="AH187">IF(OR(J187="",AE187="",AE187="NOT FOUND"),"",IF(Y187="RP",_xlfn.LET(_xlpm.desc,_xlfn.XLOOKUP(1,(--(Sheet1!$F$2:$F$754=AE187))*(--ISNUMBER(FIND("-",Sheet1!$W$2:$W$754,FIND("-",Sheet1!$W$2:$W$754)+1))),Sheet1!$W$2:$W$754,""),IF(_xlpm.desc="","NOT FOUND",LEFT(_xlpm.desc,FIND("-",_xlpm.desc,FIND("-",_xlpm.desc)+1))&amp;AE187)),LEFT(J187,FIND("-",J187,FIND("-",J187)+1))&amp;AE187))</f>
        <v>KRTS-APWN26-GETKRTSFUT6419</v>
      </c>
    </row>
    <row r="188" spans="1:34" ht="15.75" customHeight="1" x14ac:dyDescent="0.2">
      <c r="A188" t="s">
        <v>30</v>
      </c>
      <c r="B188" t="s">
        <v>852</v>
      </c>
      <c r="C188" t="s">
        <v>1152</v>
      </c>
      <c r="D188" t="s">
        <v>1154</v>
      </c>
      <c r="E188" t="s">
        <v>34</v>
      </c>
      <c r="F188" t="s">
        <v>35</v>
      </c>
      <c r="G188" t="s">
        <v>36</v>
      </c>
      <c r="H188" t="s">
        <v>853</v>
      </c>
      <c r="I188" t="s">
        <v>854</v>
      </c>
      <c r="J188" t="s">
        <v>855</v>
      </c>
      <c r="K188" t="s">
        <v>474</v>
      </c>
      <c r="L188" t="s">
        <v>40</v>
      </c>
      <c r="M188">
        <v>1</v>
      </c>
      <c r="N188">
        <v>450</v>
      </c>
      <c r="O188">
        <v>450</v>
      </c>
      <c r="P188" t="s">
        <v>41</v>
      </c>
      <c r="Q188">
        <v>1398.5</v>
      </c>
      <c r="R188">
        <v>1398.5</v>
      </c>
      <c r="S188">
        <v>31466.25</v>
      </c>
      <c r="T188">
        <v>629325</v>
      </c>
      <c r="U188">
        <v>5</v>
      </c>
      <c r="V188" t="s">
        <v>42</v>
      </c>
      <c r="W188" t="s">
        <v>474</v>
      </c>
      <c r="X188" s="6" t="str">
        <f t="shared" si="0"/>
        <v>441814964</v>
      </c>
      <c r="Y188" s="7" t="str">
        <f t="shared" si="1"/>
        <v>RP</v>
      </c>
      <c r="Z188" s="7">
        <f t="shared" si="2"/>
        <v>450</v>
      </c>
      <c r="AA188" s="7">
        <f t="shared" si="3"/>
        <v>450</v>
      </c>
      <c r="AB188" s="7">
        <f t="shared" si="4"/>
        <v>450</v>
      </c>
      <c r="AC188" s="7">
        <f t="shared" si="5"/>
        <v>450</v>
      </c>
      <c r="AD188" s="7">
        <f t="shared" si="6"/>
        <v>450</v>
      </c>
      <c r="AE188" s="8" t="str" cm="1">
        <f t="array" ref="AE188">IFERROR(_xlfn.XLOOKUP(H188,Sheet1!$G:$G,Sheet1!$F:$F),IFERROR(_xlfn.XLOOKUP(1,(--($X$2:$X$1074=X188))*(--ISNUMBER(MATCH($H$2:$H$1074,Sheet1!$G:$G,0))),_xlfn.XLOOKUP($H$2:$H$1074,Sheet1!$G:$G,Sheet1!$F:$F,"")),"NOT FOUND"))</f>
        <v>GETKRTSFUT6417</v>
      </c>
      <c r="AF188" s="9" t="str">
        <f t="shared" si="11"/>
        <v>MUSTARD</v>
      </c>
      <c r="AG188" s="10" t="str">
        <f t="shared" si="12"/>
        <v>Bangalore</v>
      </c>
      <c r="AH188" s="8" t="str" cm="1">
        <f t="array" ref="AH188">IF(OR(J188="",AE188="",AE188="NOT FOUND"),"",IF(Y188="RP",_xlfn.LET(_xlpm.desc,_xlfn.XLOOKUP(1,(--(Sheet1!$F$2:$F$754=AE188))*(--ISNUMBER(FIND("-",Sheet1!$W$2:$W$754,FIND("-",Sheet1!$W$2:$W$754)+1))),Sheet1!$W$2:$W$754,""),IF(_xlpm.desc="","NOT FOUND",LEFT(_xlpm.desc,FIND("-",_xlpm.desc,FIND("-",_xlpm.desc)+1))&amp;AE188)),LEFT(J188,FIND("-",J188,FIND("-",J188)+1))&amp;AE188))</f>
        <v>KRTS-APWN26-GETKRTSFUT6417</v>
      </c>
    </row>
    <row r="189" spans="1:34" ht="15.75" customHeight="1" x14ac:dyDescent="0.2">
      <c r="A189" t="s">
        <v>30</v>
      </c>
      <c r="B189" t="s">
        <v>856</v>
      </c>
      <c r="C189" t="s">
        <v>1152</v>
      </c>
      <c r="D189" t="s">
        <v>1154</v>
      </c>
      <c r="E189" t="s">
        <v>34</v>
      </c>
      <c r="F189" t="s">
        <v>35</v>
      </c>
      <c r="G189" t="s">
        <v>36</v>
      </c>
      <c r="H189" t="s">
        <v>857</v>
      </c>
      <c r="I189" t="s">
        <v>858</v>
      </c>
      <c r="J189" t="s">
        <v>859</v>
      </c>
      <c r="K189" t="s">
        <v>474</v>
      </c>
      <c r="L189" t="s">
        <v>40</v>
      </c>
      <c r="M189">
        <v>1</v>
      </c>
      <c r="N189">
        <v>450</v>
      </c>
      <c r="O189">
        <v>450</v>
      </c>
      <c r="P189" t="s">
        <v>41</v>
      </c>
      <c r="Q189">
        <v>1398.5</v>
      </c>
      <c r="R189">
        <v>1398.5</v>
      </c>
      <c r="S189">
        <v>31466.25</v>
      </c>
      <c r="T189">
        <v>629325</v>
      </c>
      <c r="U189">
        <v>5</v>
      </c>
      <c r="V189" t="s">
        <v>42</v>
      </c>
      <c r="W189" t="s">
        <v>474</v>
      </c>
      <c r="X189" s="6" t="str">
        <f t="shared" si="0"/>
        <v>441814962</v>
      </c>
      <c r="Y189" s="7" t="str">
        <f t="shared" si="1"/>
        <v>RP</v>
      </c>
      <c r="Z189" s="7">
        <f t="shared" si="2"/>
        <v>450</v>
      </c>
      <c r="AA189" s="7">
        <f t="shared" si="3"/>
        <v>450</v>
      </c>
      <c r="AB189" s="7">
        <f t="shared" si="4"/>
        <v>450</v>
      </c>
      <c r="AC189" s="7">
        <f t="shared" si="5"/>
        <v>450</v>
      </c>
      <c r="AD189" s="7">
        <f t="shared" si="6"/>
        <v>450</v>
      </c>
      <c r="AE189" s="8" t="str" cm="1">
        <f t="array" ref="AE189">IFERROR(_xlfn.XLOOKUP(H189,Sheet1!$G:$G,Sheet1!$F:$F),IFERROR(_xlfn.XLOOKUP(1,(--($X$2:$X$1074=X189))*(--ISNUMBER(MATCH($H$2:$H$1074,Sheet1!$G:$G,0))),_xlfn.XLOOKUP($H$2:$H$1074,Sheet1!$G:$G,Sheet1!$F:$F,"")),"NOT FOUND"))</f>
        <v>GETKRTSFUT6415B</v>
      </c>
      <c r="AF189" s="9" t="str">
        <f t="shared" si="11"/>
        <v>RUST</v>
      </c>
      <c r="AG189" s="10" t="str">
        <f t="shared" si="12"/>
        <v>Bangalore</v>
      </c>
      <c r="AH189" s="8" t="str" cm="1">
        <f t="array" ref="AH189">IF(OR(J189="",AE189="",AE189="NOT FOUND"),"",IF(Y189="RP",_xlfn.LET(_xlpm.desc,_xlfn.XLOOKUP(1,(--(Sheet1!$F$2:$F$754=AE189))*(--ISNUMBER(FIND("-",Sheet1!$W$2:$W$754,FIND("-",Sheet1!$W$2:$W$754)+1))),Sheet1!$W$2:$W$754,""),IF(_xlpm.desc="","NOT FOUND",LEFT(_xlpm.desc,FIND("-",_xlpm.desc,FIND("-",_xlpm.desc)+1))&amp;AE189)),LEFT(J189,FIND("-",J189,FIND("-",J189)+1))&amp;AE189))</f>
        <v>KRTS-APWN26-GETKRTSFUT6415B</v>
      </c>
    </row>
    <row r="190" spans="1:34" ht="15.75" customHeight="1" x14ac:dyDescent="0.2">
      <c r="A190" t="s">
        <v>30</v>
      </c>
      <c r="B190" t="s">
        <v>860</v>
      </c>
      <c r="C190" t="s">
        <v>1152</v>
      </c>
      <c r="D190" t="s">
        <v>1154</v>
      </c>
      <c r="E190" t="s">
        <v>34</v>
      </c>
      <c r="F190" t="s">
        <v>35</v>
      </c>
      <c r="G190" t="s">
        <v>36</v>
      </c>
      <c r="H190" t="s">
        <v>861</v>
      </c>
      <c r="I190" t="s">
        <v>862</v>
      </c>
      <c r="J190" t="s">
        <v>863</v>
      </c>
      <c r="K190" t="s">
        <v>474</v>
      </c>
      <c r="L190" t="s">
        <v>40</v>
      </c>
      <c r="M190">
        <v>1</v>
      </c>
      <c r="N190">
        <v>450</v>
      </c>
      <c r="O190">
        <v>450</v>
      </c>
      <c r="P190" t="s">
        <v>41</v>
      </c>
      <c r="Q190">
        <v>1398.5</v>
      </c>
      <c r="R190">
        <v>1398.5</v>
      </c>
      <c r="S190">
        <v>31466.25</v>
      </c>
      <c r="T190">
        <v>629325</v>
      </c>
      <c r="U190">
        <v>5</v>
      </c>
      <c r="V190" t="s">
        <v>42</v>
      </c>
      <c r="W190" t="s">
        <v>474</v>
      </c>
      <c r="X190" s="6" t="str">
        <f t="shared" si="0"/>
        <v>441814961</v>
      </c>
      <c r="Y190" s="7" t="str">
        <f t="shared" si="1"/>
        <v>RP</v>
      </c>
      <c r="Z190" s="7">
        <f t="shared" si="2"/>
        <v>450</v>
      </c>
      <c r="AA190" s="7">
        <f t="shared" si="3"/>
        <v>450</v>
      </c>
      <c r="AB190" s="7">
        <f t="shared" si="4"/>
        <v>450</v>
      </c>
      <c r="AC190" s="7">
        <f t="shared" si="5"/>
        <v>450</v>
      </c>
      <c r="AD190" s="7">
        <f t="shared" si="6"/>
        <v>450</v>
      </c>
      <c r="AE190" s="8" t="str" cm="1">
        <f t="array" ref="AE190">IFERROR(_xlfn.XLOOKUP(H190,Sheet1!$G:$G,Sheet1!$F:$F),IFERROR(_xlfn.XLOOKUP(1,(--($X$2:$X$1074=X190))*(--ISNUMBER(MATCH($H$2:$H$1074,Sheet1!$G:$G,0))),_xlfn.XLOOKUP($H$2:$H$1074,Sheet1!$G:$G,Sheet1!$F:$F,"")),"NOT FOUND"))</f>
        <v>GETKRTSFUT6415</v>
      </c>
      <c r="AF190" s="9" t="str">
        <f t="shared" si="11"/>
        <v>NAVY</v>
      </c>
      <c r="AG190" s="10" t="str">
        <f t="shared" si="12"/>
        <v>Bangalore</v>
      </c>
      <c r="AH190" s="8" t="str" cm="1">
        <f t="array" ref="AH190">IF(OR(J190="",AE190="",AE190="NOT FOUND"),"",IF(Y190="RP",_xlfn.LET(_xlpm.desc,_xlfn.XLOOKUP(1,(--(Sheet1!$F$2:$F$754=AE190))*(--ISNUMBER(FIND("-",Sheet1!$W$2:$W$754,FIND("-",Sheet1!$W$2:$W$754)+1))),Sheet1!$W$2:$W$754,""),IF(_xlpm.desc="","NOT FOUND",LEFT(_xlpm.desc,FIND("-",_xlpm.desc,FIND("-",_xlpm.desc)+1))&amp;AE190)),LEFT(J190,FIND("-",J190,FIND("-",J190)+1))&amp;AE190))</f>
        <v>KRTS-APWN26-GETKRTSFUT6415</v>
      </c>
    </row>
    <row r="191" spans="1:34" ht="15.75" customHeight="1" x14ac:dyDescent="0.2">
      <c r="A191" t="s">
        <v>30</v>
      </c>
      <c r="B191" t="s">
        <v>864</v>
      </c>
      <c r="C191" t="s">
        <v>1152</v>
      </c>
      <c r="D191" t="s">
        <v>1154</v>
      </c>
      <c r="E191" t="s">
        <v>34</v>
      </c>
      <c r="F191" t="s">
        <v>35</v>
      </c>
      <c r="G191" t="s">
        <v>36</v>
      </c>
      <c r="H191" t="s">
        <v>865</v>
      </c>
      <c r="I191" t="s">
        <v>866</v>
      </c>
      <c r="J191" t="s">
        <v>867</v>
      </c>
      <c r="K191" t="s">
        <v>474</v>
      </c>
      <c r="L191" t="s">
        <v>40</v>
      </c>
      <c r="M191">
        <v>1</v>
      </c>
      <c r="N191">
        <v>450</v>
      </c>
      <c r="O191">
        <v>450</v>
      </c>
      <c r="P191" t="s">
        <v>41</v>
      </c>
      <c r="Q191">
        <v>1398.5</v>
      </c>
      <c r="R191">
        <v>1398.5</v>
      </c>
      <c r="S191">
        <v>31466.25</v>
      </c>
      <c r="T191">
        <v>629325</v>
      </c>
      <c r="U191">
        <v>5</v>
      </c>
      <c r="V191" t="s">
        <v>42</v>
      </c>
      <c r="W191" t="s">
        <v>474</v>
      </c>
      <c r="X191" s="6" t="str">
        <f t="shared" si="0"/>
        <v>441814960</v>
      </c>
      <c r="Y191" s="7" t="str">
        <f t="shared" si="1"/>
        <v>RP</v>
      </c>
      <c r="Z191" s="7">
        <f t="shared" si="2"/>
        <v>450</v>
      </c>
      <c r="AA191" s="7">
        <f t="shared" si="3"/>
        <v>450</v>
      </c>
      <c r="AB191" s="7">
        <f t="shared" si="4"/>
        <v>450</v>
      </c>
      <c r="AC191" s="7">
        <f t="shared" si="5"/>
        <v>450</v>
      </c>
      <c r="AD191" s="7">
        <f t="shared" si="6"/>
        <v>450</v>
      </c>
      <c r="AE191" s="8" t="str" cm="1">
        <f t="array" ref="AE191">IFERROR(_xlfn.XLOOKUP(H191,Sheet1!$G:$G,Sheet1!$F:$F),IFERROR(_xlfn.XLOOKUP(1,(--($X$2:$X$1074=X191))*(--ISNUMBER(MATCH($H$2:$H$1074,Sheet1!$G:$G,0))),_xlfn.XLOOKUP($H$2:$H$1074,Sheet1!$G:$G,Sheet1!$F:$F,"")),"NOT FOUND"))</f>
        <v>GETKRTSFUT6414</v>
      </c>
      <c r="AF191" s="9" t="str">
        <f t="shared" si="11"/>
        <v>FUCHSIA</v>
      </c>
      <c r="AG191" s="10" t="str">
        <f t="shared" si="12"/>
        <v>Bangalore</v>
      </c>
      <c r="AH191" s="8" t="str" cm="1">
        <f t="array" ref="AH191">IF(OR(J191="",AE191="",AE191="NOT FOUND"),"",IF(Y191="RP",_xlfn.LET(_xlpm.desc,_xlfn.XLOOKUP(1,(--(Sheet1!$F$2:$F$754=AE191))*(--ISNUMBER(FIND("-",Sheet1!$W$2:$W$754,FIND("-",Sheet1!$W$2:$W$754)+1))),Sheet1!$W$2:$W$754,""),IF(_xlpm.desc="","NOT FOUND",LEFT(_xlpm.desc,FIND("-",_xlpm.desc,FIND("-",_xlpm.desc)+1))&amp;AE191)),LEFT(J191,FIND("-",J191,FIND("-",J191)+1))&amp;AE191))</f>
        <v>KRTS-APWN26-GETKRTSFUT6414</v>
      </c>
    </row>
    <row r="192" spans="1:34" ht="15.75" customHeight="1" x14ac:dyDescent="0.2">
      <c r="A192" t="s">
        <v>30</v>
      </c>
      <c r="B192" t="s">
        <v>868</v>
      </c>
      <c r="C192" t="s">
        <v>1152</v>
      </c>
      <c r="D192" t="s">
        <v>1153</v>
      </c>
      <c r="E192" t="s">
        <v>34</v>
      </c>
      <c r="F192" t="s">
        <v>35</v>
      </c>
      <c r="G192" t="s">
        <v>36</v>
      </c>
      <c r="H192" t="s">
        <v>869</v>
      </c>
      <c r="I192" t="s">
        <v>870</v>
      </c>
      <c r="J192" t="s">
        <v>871</v>
      </c>
      <c r="K192" t="s">
        <v>474</v>
      </c>
      <c r="L192" t="s">
        <v>40</v>
      </c>
      <c r="M192">
        <v>1</v>
      </c>
      <c r="N192">
        <v>450</v>
      </c>
      <c r="O192">
        <v>450</v>
      </c>
      <c r="P192" t="s">
        <v>41</v>
      </c>
      <c r="Q192">
        <v>1383.5</v>
      </c>
      <c r="R192">
        <v>1383.5</v>
      </c>
      <c r="S192">
        <v>31128.75</v>
      </c>
      <c r="T192">
        <v>622575</v>
      </c>
      <c r="U192">
        <v>5</v>
      </c>
      <c r="V192" t="s">
        <v>42</v>
      </c>
      <c r="W192" t="s">
        <v>474</v>
      </c>
      <c r="X192" s="6" t="str">
        <f t="shared" si="0"/>
        <v>441814970</v>
      </c>
      <c r="Y192" s="7" t="str">
        <f t="shared" si="1"/>
        <v>RP</v>
      </c>
      <c r="Z192" s="7">
        <f t="shared" si="2"/>
        <v>450</v>
      </c>
      <c r="AA192" s="7">
        <f t="shared" si="3"/>
        <v>450</v>
      </c>
      <c r="AB192" s="7">
        <f t="shared" si="4"/>
        <v>450</v>
      </c>
      <c r="AC192" s="7">
        <f t="shared" si="5"/>
        <v>450</v>
      </c>
      <c r="AD192" s="7">
        <f t="shared" si="6"/>
        <v>450</v>
      </c>
      <c r="AE192" s="8" t="str" cm="1">
        <f t="array" ref="AE192">IFERROR(_xlfn.XLOOKUP(H192,Sheet1!$G:$G,Sheet1!$F:$F),IFERROR(_xlfn.XLOOKUP(1,(--($X$2:$X$1074=X192))*(--ISNUMBER(MATCH($H$2:$H$1074,Sheet1!$G:$G,0))),_xlfn.XLOOKUP($H$2:$H$1074,Sheet1!$G:$G,Sheet1!$F:$F,"")),"NOT FOUND"))</f>
        <v>GETKRTSFUT6451</v>
      </c>
      <c r="AF192" s="9" t="str">
        <f t="shared" si="11"/>
        <v>LIME GREEN</v>
      </c>
      <c r="AG192" s="10" t="str">
        <f t="shared" si="12"/>
        <v>Bangalore</v>
      </c>
      <c r="AH192" s="8" t="str" cm="1">
        <f t="array" ref="AH192">IF(OR(J192="",AE192="",AE192="NOT FOUND"),"",IF(Y192="RP",_xlfn.LET(_xlpm.desc,_xlfn.XLOOKUP(1,(--(Sheet1!$F$2:$F$754=AE192))*(--ISNUMBER(FIND("-",Sheet1!$W$2:$W$754,FIND("-",Sheet1!$W$2:$W$754)+1))),Sheet1!$W$2:$W$754,""),IF(_xlpm.desc="","NOT FOUND",LEFT(_xlpm.desc,FIND("-",_xlpm.desc,FIND("-",_xlpm.desc)+1))&amp;AE192)),LEFT(J192,FIND("-",J192,FIND("-",J192)+1))&amp;AE192))</f>
        <v>KRTS-APWN26-GETKRTSFUT6451</v>
      </c>
    </row>
    <row r="193" spans="1:34" ht="15.75" customHeight="1" x14ac:dyDescent="0.2">
      <c r="A193" t="s">
        <v>30</v>
      </c>
      <c r="B193" t="s">
        <v>872</v>
      </c>
      <c r="C193" t="s">
        <v>1152</v>
      </c>
      <c r="D193" t="s">
        <v>1155</v>
      </c>
      <c r="E193" t="s">
        <v>34</v>
      </c>
      <c r="F193" t="s">
        <v>35</v>
      </c>
      <c r="G193" t="s">
        <v>36</v>
      </c>
      <c r="H193" t="s">
        <v>873</v>
      </c>
      <c r="I193" t="s">
        <v>874</v>
      </c>
      <c r="J193" t="s">
        <v>876</v>
      </c>
      <c r="K193" t="s">
        <v>474</v>
      </c>
      <c r="L193" t="s">
        <v>40</v>
      </c>
      <c r="M193">
        <v>1</v>
      </c>
      <c r="N193">
        <v>531</v>
      </c>
      <c r="O193">
        <v>531</v>
      </c>
      <c r="P193" t="s">
        <v>41</v>
      </c>
      <c r="Q193">
        <v>1171.5</v>
      </c>
      <c r="R193">
        <v>1171.5</v>
      </c>
      <c r="S193">
        <v>31103.33</v>
      </c>
      <c r="T193">
        <v>622066.5</v>
      </c>
      <c r="U193">
        <v>5</v>
      </c>
      <c r="V193" t="s">
        <v>42</v>
      </c>
      <c r="W193" t="s">
        <v>474</v>
      </c>
      <c r="X193" s="6" t="str">
        <f t="shared" si="0"/>
        <v>441853990</v>
      </c>
      <c r="Y193" s="7" t="str">
        <f t="shared" si="1"/>
        <v>RP</v>
      </c>
      <c r="Z193" s="7">
        <f t="shared" si="2"/>
        <v>531</v>
      </c>
      <c r="AA193" s="7">
        <f t="shared" si="3"/>
        <v>531</v>
      </c>
      <c r="AB193" s="7">
        <f t="shared" si="4"/>
        <v>531</v>
      </c>
      <c r="AC193" s="7">
        <f t="shared" si="5"/>
        <v>531</v>
      </c>
      <c r="AD193" s="7">
        <f t="shared" si="6"/>
        <v>531</v>
      </c>
      <c r="AE193" s="8" t="str" cm="1">
        <f t="array" ref="AE193">IFERROR(_xlfn.XLOOKUP(H193,Sheet1!$G:$G,Sheet1!$F:$F),IFERROR(_xlfn.XLOOKUP(1,(--($X$2:$X$1074=X193))*(--ISNUMBER(MATCH($H$2:$H$1074,Sheet1!$G:$G,0))),_xlfn.XLOOKUP($H$2:$H$1074,Sheet1!$G:$G,Sheet1!$F:$F,"")),"NOT FOUND"))</f>
        <v>YETKRTSCUT5009</v>
      </c>
      <c r="AF193" s="9" t="str">
        <f t="shared" si="11"/>
        <v>BLACK</v>
      </c>
      <c r="AG193" s="10" t="str">
        <f t="shared" si="12"/>
        <v>Bangalore</v>
      </c>
      <c r="AH193" s="8" t="str" cm="1">
        <f t="array" ref="AH193">IF(OR(J193="",AE193="",AE193="NOT FOUND"),"",IF(Y193="RP",_xlfn.LET(_xlpm.desc,_xlfn.XLOOKUP(1,(--(Sheet1!$F$2:$F$754=AE193))*(--ISNUMBER(FIND("-",Sheet1!$W$2:$W$754,FIND("-",Sheet1!$W$2:$W$754)+1))),Sheet1!$W$2:$W$754,""),IF(_xlpm.desc="","NOT FOUND",LEFT(_xlpm.desc,FIND("-",_xlpm.desc,FIND("-",_xlpm.desc)+1))&amp;AE193)),LEFT(J193,FIND("-",J193,FIND("-",J193)+1))&amp;AE193))</f>
        <v>KRTS-APSU26-YETKRTSCUT5009</v>
      </c>
    </row>
    <row r="194" spans="1:34" ht="15.75" customHeight="1" x14ac:dyDescent="0.2">
      <c r="A194" t="s">
        <v>30</v>
      </c>
      <c r="B194" t="s">
        <v>877</v>
      </c>
      <c r="C194" t="s">
        <v>1152</v>
      </c>
      <c r="D194" t="s">
        <v>1153</v>
      </c>
      <c r="E194" t="s">
        <v>34</v>
      </c>
      <c r="F194" t="s">
        <v>35</v>
      </c>
      <c r="G194" t="s">
        <v>36</v>
      </c>
      <c r="H194" t="s">
        <v>879</v>
      </c>
      <c r="I194" t="s">
        <v>880</v>
      </c>
      <c r="J194" t="s">
        <v>881</v>
      </c>
      <c r="K194" t="s">
        <v>474</v>
      </c>
      <c r="L194" t="s">
        <v>40</v>
      </c>
      <c r="M194">
        <v>1</v>
      </c>
      <c r="N194">
        <v>450</v>
      </c>
      <c r="O194">
        <v>450</v>
      </c>
      <c r="P194" t="s">
        <v>41</v>
      </c>
      <c r="Q194">
        <v>1348.5</v>
      </c>
      <c r="R194">
        <v>1348.5</v>
      </c>
      <c r="S194">
        <v>30341.25</v>
      </c>
      <c r="T194">
        <v>606825</v>
      </c>
      <c r="U194">
        <v>5</v>
      </c>
      <c r="V194" t="s">
        <v>42</v>
      </c>
      <c r="W194" t="s">
        <v>474</v>
      </c>
      <c r="X194" s="6" t="str">
        <f t="shared" si="0"/>
        <v>441814971</v>
      </c>
      <c r="Y194" s="7" t="str">
        <f t="shared" si="1"/>
        <v>RP</v>
      </c>
      <c r="Z194" s="7">
        <f t="shared" si="2"/>
        <v>450</v>
      </c>
      <c r="AA194" s="7">
        <f t="shared" si="3"/>
        <v>450</v>
      </c>
      <c r="AB194" s="7">
        <f t="shared" si="4"/>
        <v>450</v>
      </c>
      <c r="AC194" s="7">
        <f t="shared" si="5"/>
        <v>450</v>
      </c>
      <c r="AD194" s="7">
        <f t="shared" si="6"/>
        <v>450</v>
      </c>
      <c r="AE194" s="8" t="str" cm="1">
        <f t="array" ref="AE194">IFERROR(_xlfn.XLOOKUP(H194,Sheet1!$G:$G,Sheet1!$F:$F),IFERROR(_xlfn.XLOOKUP(1,(--($X$2:$X$1074=X194))*(--ISNUMBER(MATCH($H$2:$H$1074,Sheet1!$G:$G,0))),_xlfn.XLOOKUP($H$2:$H$1074,Sheet1!$G:$G,Sheet1!$F:$F,"")),"NOT FOUND"))</f>
        <v>GETKRTSFUT6452</v>
      </c>
      <c r="AF194" s="9" t="str">
        <f t="shared" si="11"/>
        <v>CREAM</v>
      </c>
      <c r="AG194" s="10" t="str">
        <f t="shared" si="12"/>
        <v>Bangalore</v>
      </c>
      <c r="AH194" s="8" t="str" cm="1">
        <f t="array" ref="AH194">IF(OR(J194="",AE194="",AE194="NOT FOUND"),"",IF(Y194="RP",_xlfn.LET(_xlpm.desc,_xlfn.XLOOKUP(1,(--(Sheet1!$F$2:$F$754=AE194))*(--ISNUMBER(FIND("-",Sheet1!$W$2:$W$754,FIND("-",Sheet1!$W$2:$W$754)+1))),Sheet1!$W$2:$W$754,""),IF(_xlpm.desc="","NOT FOUND",LEFT(_xlpm.desc,FIND("-",_xlpm.desc,FIND("-",_xlpm.desc)+1))&amp;AE194)),LEFT(J194,FIND("-",J194,FIND("-",J194)+1))&amp;AE194))</f>
        <v>KRTS-APWN26-GETKRTSFUT6452</v>
      </c>
    </row>
    <row r="195" spans="1:34" ht="15.75" customHeight="1" x14ac:dyDescent="0.2">
      <c r="A195" t="s">
        <v>30</v>
      </c>
      <c r="B195" t="s">
        <v>882</v>
      </c>
      <c r="C195" t="s">
        <v>1152</v>
      </c>
      <c r="D195" t="s">
        <v>1155</v>
      </c>
      <c r="E195" t="s">
        <v>34</v>
      </c>
      <c r="F195" t="s">
        <v>35</v>
      </c>
      <c r="G195" t="s">
        <v>36</v>
      </c>
      <c r="H195" t="s">
        <v>884</v>
      </c>
      <c r="I195" t="s">
        <v>885</v>
      </c>
      <c r="J195" t="s">
        <v>887</v>
      </c>
      <c r="K195" t="s">
        <v>474</v>
      </c>
      <c r="L195" t="s">
        <v>40</v>
      </c>
      <c r="M195">
        <v>1</v>
      </c>
      <c r="N195">
        <v>272</v>
      </c>
      <c r="O195">
        <v>272</v>
      </c>
      <c r="P195" t="s">
        <v>41</v>
      </c>
      <c r="Q195">
        <v>1398.5</v>
      </c>
      <c r="R195">
        <v>1398.5</v>
      </c>
      <c r="S195">
        <v>19019.599999999999</v>
      </c>
      <c r="T195">
        <v>380392</v>
      </c>
      <c r="U195">
        <v>5</v>
      </c>
      <c r="V195" t="s">
        <v>42</v>
      </c>
      <c r="W195" t="s">
        <v>474</v>
      </c>
      <c r="X195" s="6" t="str">
        <f t="shared" si="0"/>
        <v>441814972</v>
      </c>
      <c r="Y195" s="7" t="str">
        <f t="shared" si="1"/>
        <v>RP</v>
      </c>
      <c r="Z195" s="7">
        <f t="shared" si="2"/>
        <v>272</v>
      </c>
      <c r="AA195" s="7">
        <f t="shared" si="3"/>
        <v>272</v>
      </c>
      <c r="AB195" s="7">
        <f t="shared" si="4"/>
        <v>272</v>
      </c>
      <c r="AC195" s="7">
        <f t="shared" si="5"/>
        <v>272</v>
      </c>
      <c r="AD195" s="7">
        <f t="shared" si="6"/>
        <v>272</v>
      </c>
      <c r="AE195" s="8" t="str" cm="1">
        <f t="array" ref="AE195">IFERROR(_xlfn.XLOOKUP(H195,Sheet1!$G:$G,Sheet1!$F:$F),IFERROR(_xlfn.XLOOKUP(1,(--($X$2:$X$1074=X195))*(--ISNUMBER(MATCH($H$2:$H$1074,Sheet1!$G:$G,0))),_xlfn.XLOOKUP($H$2:$H$1074,Sheet1!$G:$G,Sheet1!$F:$F,"")),"NOT FOUND"))</f>
        <v>GETKRTSFUT6457</v>
      </c>
      <c r="AF195" s="9" t="str">
        <f t="shared" ref="AF195:AF258" si="13">IFERROR(IF(ISNUMBER(SEARCH("(RP)",J195)),TRIM(SUBSTITUTE(MID(J195,10,LEN(J195)),"(RP)","")),TRIM(MID(J195,FIND(",",J195)+1,FIND(",",J195,FIND(",",J195)+1)-FIND(",",J195)-1))),"")</f>
        <v>BLACK</v>
      </c>
      <c r="AG195" s="10" t="str">
        <f t="shared" ref="AG195:AG258" si="14">IF(A195="SZAF","Bangalore",IF(A195="SAEX","JHAJJAR",IF(A195="S0EU","HARIPAL","")))</f>
        <v>Bangalore</v>
      </c>
      <c r="AH195" s="8" t="str" cm="1">
        <f t="array" ref="AH195">IF(OR(J195="",AE195="",AE195="NOT FOUND"),"",IF(Y195="RP",_xlfn.LET(_xlpm.desc,_xlfn.XLOOKUP(1,(--(Sheet1!$F$2:$F$754=AE195))*(--ISNUMBER(FIND("-",Sheet1!$W$2:$W$754,FIND("-",Sheet1!$W$2:$W$754)+1))),Sheet1!$W$2:$W$754,""),IF(_xlpm.desc="","NOT FOUND",LEFT(_xlpm.desc,FIND("-",_xlpm.desc,FIND("-",_xlpm.desc)+1))&amp;AE195)),LEFT(J195,FIND("-",J195,FIND("-",J195)+1))&amp;AE195))</f>
        <v>KRTS-APWN26-GETKRTSFUT6457</v>
      </c>
    </row>
    <row r="196" spans="1:34" ht="15.75" customHeight="1" x14ac:dyDescent="0.2">
      <c r="A196" t="s">
        <v>30</v>
      </c>
      <c r="B196" t="s">
        <v>888</v>
      </c>
      <c r="C196" t="s">
        <v>1152</v>
      </c>
      <c r="D196" t="s">
        <v>1154</v>
      </c>
      <c r="E196" t="s">
        <v>34</v>
      </c>
      <c r="F196" t="s">
        <v>35</v>
      </c>
      <c r="G196" t="s">
        <v>36</v>
      </c>
      <c r="H196" t="s">
        <v>889</v>
      </c>
      <c r="I196" t="s">
        <v>890</v>
      </c>
      <c r="J196" t="s">
        <v>891</v>
      </c>
      <c r="K196" t="s">
        <v>474</v>
      </c>
      <c r="L196" t="s">
        <v>40</v>
      </c>
      <c r="M196">
        <v>1</v>
      </c>
      <c r="N196">
        <v>450</v>
      </c>
      <c r="O196">
        <v>450</v>
      </c>
      <c r="P196" t="s">
        <v>41</v>
      </c>
      <c r="Q196">
        <v>1398.5</v>
      </c>
      <c r="R196">
        <v>1398.5</v>
      </c>
      <c r="S196">
        <v>31466.25</v>
      </c>
      <c r="T196">
        <v>629325</v>
      </c>
      <c r="U196">
        <v>5</v>
      </c>
      <c r="V196" t="s">
        <v>42</v>
      </c>
      <c r="W196" t="s">
        <v>474</v>
      </c>
      <c r="X196" s="6" t="str">
        <f t="shared" si="0"/>
        <v>441814959</v>
      </c>
      <c r="Y196" s="7" t="str">
        <f t="shared" si="1"/>
        <v>RP</v>
      </c>
      <c r="Z196" s="7">
        <f t="shared" si="2"/>
        <v>450</v>
      </c>
      <c r="AA196" s="7">
        <f t="shared" si="3"/>
        <v>450</v>
      </c>
      <c r="AB196" s="7">
        <f t="shared" si="4"/>
        <v>450</v>
      </c>
      <c r="AC196" s="7">
        <f t="shared" si="5"/>
        <v>450</v>
      </c>
      <c r="AD196" s="7">
        <f t="shared" si="6"/>
        <v>450</v>
      </c>
      <c r="AE196" s="8" t="str" cm="1">
        <f t="array" ref="AE196">IFERROR(_xlfn.XLOOKUP(H196,Sheet1!$G:$G,Sheet1!$F:$F),IFERROR(_xlfn.XLOOKUP(1,(--($X$2:$X$1074=X196))*(--ISNUMBER(MATCH($H$2:$H$1074,Sheet1!$G:$G,0))),_xlfn.XLOOKUP($H$2:$H$1074,Sheet1!$G:$G,Sheet1!$F:$F,"")),"NOT FOUND"))</f>
        <v>GETKRTSFUT6413</v>
      </c>
      <c r="AF196" s="9" t="str">
        <f t="shared" si="13"/>
        <v>MAUVE</v>
      </c>
      <c r="AG196" s="10" t="str">
        <f t="shared" si="14"/>
        <v>Bangalore</v>
      </c>
      <c r="AH196" s="8" t="str" cm="1">
        <f t="array" ref="AH196">IF(OR(J196="",AE196="",AE196="NOT FOUND"),"",IF(Y196="RP",_xlfn.LET(_xlpm.desc,_xlfn.XLOOKUP(1,(--(Sheet1!$F$2:$F$754=AE196))*(--ISNUMBER(FIND("-",Sheet1!$W$2:$W$754,FIND("-",Sheet1!$W$2:$W$754)+1))),Sheet1!$W$2:$W$754,""),IF(_xlpm.desc="","NOT FOUND",LEFT(_xlpm.desc,FIND("-",_xlpm.desc,FIND("-",_xlpm.desc)+1))&amp;AE196)),LEFT(J196,FIND("-",J196,FIND("-",J196)+1))&amp;AE196))</f>
        <v>KRTS-APWN26-GETKRTSFUT6413</v>
      </c>
    </row>
    <row r="197" spans="1:34" ht="15.75" customHeight="1" x14ac:dyDescent="0.2">
      <c r="A197" t="s">
        <v>30</v>
      </c>
      <c r="B197" t="s">
        <v>892</v>
      </c>
      <c r="C197" t="s">
        <v>1152</v>
      </c>
      <c r="D197" t="s">
        <v>1155</v>
      </c>
      <c r="E197" t="s">
        <v>34</v>
      </c>
      <c r="F197" t="s">
        <v>35</v>
      </c>
      <c r="G197" t="s">
        <v>36</v>
      </c>
      <c r="H197" t="s">
        <v>894</v>
      </c>
      <c r="I197" t="s">
        <v>895</v>
      </c>
      <c r="J197" t="s">
        <v>897</v>
      </c>
      <c r="K197" t="s">
        <v>474</v>
      </c>
      <c r="L197" t="s">
        <v>40</v>
      </c>
      <c r="M197">
        <v>1</v>
      </c>
      <c r="N197">
        <v>597</v>
      </c>
      <c r="O197">
        <v>597</v>
      </c>
      <c r="P197" t="s">
        <v>41</v>
      </c>
      <c r="Q197">
        <v>1198.5</v>
      </c>
      <c r="R197">
        <v>1198.5</v>
      </c>
      <c r="S197">
        <v>35775.230000000003</v>
      </c>
      <c r="T197">
        <v>715504.5</v>
      </c>
      <c r="U197">
        <v>5</v>
      </c>
      <c r="V197" t="s">
        <v>42</v>
      </c>
      <c r="W197" t="s">
        <v>474</v>
      </c>
      <c r="X197" s="6" t="str">
        <f t="shared" si="0"/>
        <v>441814973</v>
      </c>
      <c r="Y197" s="7" t="str">
        <f t="shared" si="1"/>
        <v>RP</v>
      </c>
      <c r="Z197" s="7">
        <f t="shared" si="2"/>
        <v>597</v>
      </c>
      <c r="AA197" s="7">
        <f t="shared" si="3"/>
        <v>597</v>
      </c>
      <c r="AB197" s="7">
        <f t="shared" si="4"/>
        <v>597</v>
      </c>
      <c r="AC197" s="7">
        <f t="shared" si="5"/>
        <v>597</v>
      </c>
      <c r="AD197" s="7">
        <f t="shared" si="6"/>
        <v>597</v>
      </c>
      <c r="AE197" s="8" t="str" cm="1">
        <f t="array" ref="AE197">IFERROR(_xlfn.XLOOKUP(H197,Sheet1!$G:$G,Sheet1!$F:$F),IFERROR(_xlfn.XLOOKUP(1,(--($X$2:$X$1074=X197))*(--ISNUMBER(MATCH($H$2:$H$1074,Sheet1!$G:$G,0))),_xlfn.XLOOKUP($H$2:$H$1074,Sheet1!$G:$G,Sheet1!$F:$F,"")),"NOT FOUND"))</f>
        <v>GETKRTSCUT7163</v>
      </c>
      <c r="AF197" s="9" t="str">
        <f t="shared" si="13"/>
        <v>BLACK</v>
      </c>
      <c r="AG197" s="10" t="str">
        <f t="shared" si="14"/>
        <v>Bangalore</v>
      </c>
      <c r="AH197" s="8" t="str" cm="1">
        <f t="array" ref="AH197">IF(OR(J197="",AE197="",AE197="NOT FOUND"),"",IF(Y197="RP",_xlfn.LET(_xlpm.desc,_xlfn.XLOOKUP(1,(--(Sheet1!$F$2:$F$754=AE197))*(--ISNUMBER(FIND("-",Sheet1!$W$2:$W$754,FIND("-",Sheet1!$W$2:$W$754)+1))),Sheet1!$W$2:$W$754,""),IF(_xlpm.desc="","NOT FOUND",LEFT(_xlpm.desc,FIND("-",_xlpm.desc,FIND("-",_xlpm.desc)+1))&amp;AE197)),LEFT(J197,FIND("-",J197,FIND("-",J197)+1))&amp;AE197))</f>
        <v>KRTS-APWN26-GETKRTSCUT7163</v>
      </c>
    </row>
    <row r="198" spans="1:34" ht="15.75" customHeight="1" x14ac:dyDescent="0.2">
      <c r="A198" t="s">
        <v>59</v>
      </c>
      <c r="B198" t="s">
        <v>898</v>
      </c>
      <c r="C198" t="s">
        <v>1152</v>
      </c>
      <c r="D198" t="s">
        <v>1154</v>
      </c>
      <c r="E198" t="s">
        <v>34</v>
      </c>
      <c r="F198" t="s">
        <v>35</v>
      </c>
      <c r="G198" t="s">
        <v>36</v>
      </c>
      <c r="H198" t="s">
        <v>828</v>
      </c>
      <c r="I198" t="s">
        <v>829</v>
      </c>
      <c r="J198" t="s">
        <v>831</v>
      </c>
      <c r="K198" t="s">
        <v>474</v>
      </c>
      <c r="L198" t="s">
        <v>40</v>
      </c>
      <c r="M198">
        <v>1</v>
      </c>
      <c r="N198">
        <v>292</v>
      </c>
      <c r="O198">
        <v>292</v>
      </c>
      <c r="P198" t="s">
        <v>41</v>
      </c>
      <c r="Q198">
        <v>1398.5</v>
      </c>
      <c r="R198">
        <v>1398.5</v>
      </c>
      <c r="S198">
        <v>20418.099999999999</v>
      </c>
      <c r="T198">
        <v>408362</v>
      </c>
      <c r="U198">
        <v>5</v>
      </c>
      <c r="V198" t="s">
        <v>42</v>
      </c>
      <c r="W198" t="s">
        <v>474</v>
      </c>
      <c r="X198" s="6" t="str">
        <f t="shared" si="0"/>
        <v>441814969</v>
      </c>
      <c r="Y198" s="7" t="str">
        <f t="shared" si="1"/>
        <v>RP</v>
      </c>
      <c r="Z198" s="7">
        <f t="shared" si="2"/>
        <v>292</v>
      </c>
      <c r="AA198" s="7">
        <f t="shared" si="3"/>
        <v>292</v>
      </c>
      <c r="AB198" s="7">
        <f t="shared" si="4"/>
        <v>292</v>
      </c>
      <c r="AC198" s="7">
        <f t="shared" si="5"/>
        <v>292</v>
      </c>
      <c r="AD198" s="7">
        <f t="shared" si="6"/>
        <v>292</v>
      </c>
      <c r="AE198" s="8" t="str" cm="1">
        <f t="array" ref="AE198">IFERROR(_xlfn.XLOOKUP(H198,Sheet1!$G:$G,Sheet1!$F:$F),IFERROR(_xlfn.XLOOKUP(1,(--($X$2:$X$1074=X198))*(--ISNUMBER(MATCH($H$2:$H$1074,Sheet1!$G:$G,0))),_xlfn.XLOOKUP($H$2:$H$1074,Sheet1!$G:$G,Sheet1!$F:$F,"")),"NOT FOUND"))</f>
        <v>GETKRTSFUT6422</v>
      </c>
      <c r="AF198" s="9" t="str">
        <f t="shared" si="13"/>
        <v>DARK GREY</v>
      </c>
      <c r="AG198" s="10" t="str">
        <f t="shared" si="14"/>
        <v>JHAJJAR</v>
      </c>
      <c r="AH198" s="8" t="str" cm="1">
        <f t="array" ref="AH198">IF(OR(J198="",AE198="",AE198="NOT FOUND"),"",IF(Y198="RP",_xlfn.LET(_xlpm.desc,_xlfn.XLOOKUP(1,(--(Sheet1!$F$2:$F$754=AE198))*(--ISNUMBER(FIND("-",Sheet1!$W$2:$W$754,FIND("-",Sheet1!$W$2:$W$754)+1))),Sheet1!$W$2:$W$754,""),IF(_xlpm.desc="","NOT FOUND",LEFT(_xlpm.desc,FIND("-",_xlpm.desc,FIND("-",_xlpm.desc)+1))&amp;AE198)),LEFT(J198,FIND("-",J198,FIND("-",J198)+1))&amp;AE198))</f>
        <v>KRTS-APWN26-GETKRTSFUT6422</v>
      </c>
    </row>
    <row r="199" spans="1:34" ht="15.75" customHeight="1" x14ac:dyDescent="0.2">
      <c r="A199" t="s">
        <v>59</v>
      </c>
      <c r="B199" t="s">
        <v>899</v>
      </c>
      <c r="C199" t="s">
        <v>1152</v>
      </c>
      <c r="D199" t="s">
        <v>1154</v>
      </c>
      <c r="E199" t="s">
        <v>34</v>
      </c>
      <c r="F199" t="s">
        <v>35</v>
      </c>
      <c r="G199" t="s">
        <v>36</v>
      </c>
      <c r="H199" t="s">
        <v>837</v>
      </c>
      <c r="I199" t="s">
        <v>838</v>
      </c>
      <c r="J199" t="s">
        <v>839</v>
      </c>
      <c r="K199" t="s">
        <v>474</v>
      </c>
      <c r="L199" t="s">
        <v>40</v>
      </c>
      <c r="M199">
        <v>1</v>
      </c>
      <c r="N199">
        <v>292</v>
      </c>
      <c r="O199">
        <v>292</v>
      </c>
      <c r="P199" t="s">
        <v>41</v>
      </c>
      <c r="Q199">
        <v>1383.5</v>
      </c>
      <c r="R199">
        <v>1383.5</v>
      </c>
      <c r="S199">
        <v>20199.099999999999</v>
      </c>
      <c r="T199">
        <v>403982</v>
      </c>
      <c r="U199">
        <v>5</v>
      </c>
      <c r="V199" t="s">
        <v>42</v>
      </c>
      <c r="W199" t="s">
        <v>474</v>
      </c>
      <c r="X199" s="6" t="str">
        <f t="shared" si="0"/>
        <v>441814968</v>
      </c>
      <c r="Y199" s="7" t="str">
        <f t="shared" si="1"/>
        <v>RP</v>
      </c>
      <c r="Z199" s="7">
        <f t="shared" si="2"/>
        <v>292</v>
      </c>
      <c r="AA199" s="7">
        <f t="shared" si="3"/>
        <v>292</v>
      </c>
      <c r="AB199" s="7">
        <f t="shared" si="4"/>
        <v>292</v>
      </c>
      <c r="AC199" s="7">
        <f t="shared" si="5"/>
        <v>292</v>
      </c>
      <c r="AD199" s="7">
        <f t="shared" si="6"/>
        <v>292</v>
      </c>
      <c r="AE199" s="8" t="str" cm="1">
        <f t="array" ref="AE199">IFERROR(_xlfn.XLOOKUP(H199,Sheet1!$G:$G,Sheet1!$F:$F),IFERROR(_xlfn.XLOOKUP(1,(--($X$2:$X$1074=X199))*(--ISNUMBER(MATCH($H$2:$H$1074,Sheet1!$G:$G,0))),_xlfn.XLOOKUP($H$2:$H$1074,Sheet1!$G:$G,Sheet1!$F:$F,"")),"NOT FOUND"))</f>
        <v>GETKRTSFUT6421</v>
      </c>
      <c r="AF199" s="9" t="str">
        <f t="shared" si="13"/>
        <v>DARK GREY</v>
      </c>
      <c r="AG199" s="10" t="str">
        <f t="shared" si="14"/>
        <v>JHAJJAR</v>
      </c>
      <c r="AH199" s="8" t="str" cm="1">
        <f t="array" ref="AH199">IF(OR(J199="",AE199="",AE199="NOT FOUND"),"",IF(Y199="RP",_xlfn.LET(_xlpm.desc,_xlfn.XLOOKUP(1,(--(Sheet1!$F$2:$F$754=AE199))*(--ISNUMBER(FIND("-",Sheet1!$W$2:$W$754,FIND("-",Sheet1!$W$2:$W$754)+1))),Sheet1!$W$2:$W$754,""),IF(_xlpm.desc="","NOT FOUND",LEFT(_xlpm.desc,FIND("-",_xlpm.desc,FIND("-",_xlpm.desc)+1))&amp;AE199)),LEFT(J199,FIND("-",J199,FIND("-",J199)+1))&amp;AE199))</f>
        <v>KRTS-APWN26-GETKRTSFUT6421</v>
      </c>
    </row>
    <row r="200" spans="1:34" ht="15.75" customHeight="1" x14ac:dyDescent="0.2">
      <c r="A200" t="s">
        <v>59</v>
      </c>
      <c r="B200" t="s">
        <v>900</v>
      </c>
      <c r="C200" t="s">
        <v>1152</v>
      </c>
      <c r="D200" t="s">
        <v>1154</v>
      </c>
      <c r="E200" t="s">
        <v>34</v>
      </c>
      <c r="F200" t="s">
        <v>35</v>
      </c>
      <c r="G200" t="s">
        <v>36</v>
      </c>
      <c r="H200" t="s">
        <v>833</v>
      </c>
      <c r="I200" t="s">
        <v>834</v>
      </c>
      <c r="J200" t="s">
        <v>835</v>
      </c>
      <c r="K200" t="s">
        <v>474</v>
      </c>
      <c r="L200" t="s">
        <v>40</v>
      </c>
      <c r="M200">
        <v>1</v>
      </c>
      <c r="N200">
        <v>292</v>
      </c>
      <c r="O200">
        <v>292</v>
      </c>
      <c r="P200" t="s">
        <v>41</v>
      </c>
      <c r="Q200">
        <v>1398.5</v>
      </c>
      <c r="R200">
        <v>1398.5</v>
      </c>
      <c r="S200">
        <v>20418.099999999999</v>
      </c>
      <c r="T200">
        <v>408362</v>
      </c>
      <c r="U200">
        <v>5</v>
      </c>
      <c r="V200" t="s">
        <v>42</v>
      </c>
      <c r="W200" t="s">
        <v>474</v>
      </c>
      <c r="X200" s="6" t="str">
        <f t="shared" si="0"/>
        <v>441814967</v>
      </c>
      <c r="Y200" s="7" t="str">
        <f t="shared" si="1"/>
        <v>RP</v>
      </c>
      <c r="Z200" s="7">
        <f t="shared" si="2"/>
        <v>292</v>
      </c>
      <c r="AA200" s="7">
        <f t="shared" si="3"/>
        <v>292</v>
      </c>
      <c r="AB200" s="7">
        <f t="shared" si="4"/>
        <v>292</v>
      </c>
      <c r="AC200" s="7">
        <f t="shared" si="5"/>
        <v>292</v>
      </c>
      <c r="AD200" s="7">
        <f t="shared" si="6"/>
        <v>292</v>
      </c>
      <c r="AE200" s="8" t="str" cm="1">
        <f t="array" ref="AE200">IFERROR(_xlfn.XLOOKUP(H200,Sheet1!$G:$G,Sheet1!$F:$F),IFERROR(_xlfn.XLOOKUP(1,(--($X$2:$X$1074=X200))*(--ISNUMBER(MATCH($H$2:$H$1074,Sheet1!$G:$G,0))),_xlfn.XLOOKUP($H$2:$H$1074,Sheet1!$G:$G,Sheet1!$F:$F,"")),"NOT FOUND"))</f>
        <v>GETKRTSFUT6420</v>
      </c>
      <c r="AF200" s="9" t="str">
        <f t="shared" si="13"/>
        <v>MINT</v>
      </c>
      <c r="AG200" s="10" t="str">
        <f t="shared" si="14"/>
        <v>JHAJJAR</v>
      </c>
      <c r="AH200" s="8" t="str" cm="1">
        <f t="array" ref="AH200">IF(OR(J200="",AE200="",AE200="NOT FOUND"),"",IF(Y200="RP",_xlfn.LET(_xlpm.desc,_xlfn.XLOOKUP(1,(--(Sheet1!$F$2:$F$754=AE200))*(--ISNUMBER(FIND("-",Sheet1!$W$2:$W$754,FIND("-",Sheet1!$W$2:$W$754)+1))),Sheet1!$W$2:$W$754,""),IF(_xlpm.desc="","NOT FOUND",LEFT(_xlpm.desc,FIND("-",_xlpm.desc,FIND("-",_xlpm.desc)+1))&amp;AE200)),LEFT(J200,FIND("-",J200,FIND("-",J200)+1))&amp;AE200))</f>
        <v>KRTS-APWN26-GETKRTSFUT6420</v>
      </c>
    </row>
    <row r="201" spans="1:34" ht="15.75" customHeight="1" x14ac:dyDescent="0.2">
      <c r="A201" t="s">
        <v>59</v>
      </c>
      <c r="B201" t="s">
        <v>901</v>
      </c>
      <c r="C201" t="s">
        <v>1152</v>
      </c>
      <c r="D201" t="s">
        <v>1154</v>
      </c>
      <c r="E201" t="s">
        <v>34</v>
      </c>
      <c r="F201" t="s">
        <v>35</v>
      </c>
      <c r="G201" t="s">
        <v>36</v>
      </c>
      <c r="H201" t="s">
        <v>849</v>
      </c>
      <c r="I201" t="s">
        <v>850</v>
      </c>
      <c r="J201" t="s">
        <v>851</v>
      </c>
      <c r="K201" t="s">
        <v>474</v>
      </c>
      <c r="L201" t="s">
        <v>40</v>
      </c>
      <c r="M201">
        <v>1</v>
      </c>
      <c r="N201">
        <v>292</v>
      </c>
      <c r="O201">
        <v>292</v>
      </c>
      <c r="P201" t="s">
        <v>41</v>
      </c>
      <c r="Q201">
        <v>1383.5</v>
      </c>
      <c r="R201">
        <v>1383.5</v>
      </c>
      <c r="S201">
        <v>20199.099999999999</v>
      </c>
      <c r="T201">
        <v>403982</v>
      </c>
      <c r="U201">
        <v>5</v>
      </c>
      <c r="V201" t="s">
        <v>42</v>
      </c>
      <c r="W201" t="s">
        <v>474</v>
      </c>
      <c r="X201" s="6" t="str">
        <f t="shared" si="0"/>
        <v>441814966</v>
      </c>
      <c r="Y201" s="7" t="str">
        <f t="shared" si="1"/>
        <v>RP</v>
      </c>
      <c r="Z201" s="7">
        <f t="shared" si="2"/>
        <v>292</v>
      </c>
      <c r="AA201" s="7">
        <f t="shared" si="3"/>
        <v>292</v>
      </c>
      <c r="AB201" s="7">
        <f t="shared" si="4"/>
        <v>292</v>
      </c>
      <c r="AC201" s="7">
        <f t="shared" si="5"/>
        <v>292</v>
      </c>
      <c r="AD201" s="7">
        <f t="shared" si="6"/>
        <v>292</v>
      </c>
      <c r="AE201" s="8" t="str" cm="1">
        <f t="array" ref="AE201">IFERROR(_xlfn.XLOOKUP(H201,Sheet1!$G:$G,Sheet1!$F:$F),IFERROR(_xlfn.XLOOKUP(1,(--($X$2:$X$1074=X201))*(--ISNUMBER(MATCH($H$2:$H$1074,Sheet1!$G:$G,0))),_xlfn.XLOOKUP($H$2:$H$1074,Sheet1!$G:$G,Sheet1!$F:$F,"")),"NOT FOUND"))</f>
        <v>GETKRTSFUT6419</v>
      </c>
      <c r="AF201" s="9" t="str">
        <f t="shared" si="13"/>
        <v>LIGHT RED</v>
      </c>
      <c r="AG201" s="10" t="str">
        <f t="shared" si="14"/>
        <v>JHAJJAR</v>
      </c>
      <c r="AH201" s="8" t="str" cm="1">
        <f t="array" ref="AH201">IF(OR(J201="",AE201="",AE201="NOT FOUND"),"",IF(Y201="RP",_xlfn.LET(_xlpm.desc,_xlfn.XLOOKUP(1,(--(Sheet1!$F$2:$F$754=AE201))*(--ISNUMBER(FIND("-",Sheet1!$W$2:$W$754,FIND("-",Sheet1!$W$2:$W$754)+1))),Sheet1!$W$2:$W$754,""),IF(_xlpm.desc="","NOT FOUND",LEFT(_xlpm.desc,FIND("-",_xlpm.desc,FIND("-",_xlpm.desc)+1))&amp;AE201)),LEFT(J201,FIND("-",J201,FIND("-",J201)+1))&amp;AE201))</f>
        <v>KRTS-APWN26-GETKRTSFUT6419</v>
      </c>
    </row>
    <row r="202" spans="1:34" ht="15.75" customHeight="1" x14ac:dyDescent="0.2">
      <c r="A202" t="s">
        <v>59</v>
      </c>
      <c r="B202" t="s">
        <v>902</v>
      </c>
      <c r="C202" t="s">
        <v>1152</v>
      </c>
      <c r="D202" t="s">
        <v>1154</v>
      </c>
      <c r="E202" t="s">
        <v>34</v>
      </c>
      <c r="F202" t="s">
        <v>35</v>
      </c>
      <c r="G202" t="s">
        <v>36</v>
      </c>
      <c r="H202" t="s">
        <v>841</v>
      </c>
      <c r="I202" t="s">
        <v>842</v>
      </c>
      <c r="J202" t="s">
        <v>843</v>
      </c>
      <c r="K202" t="s">
        <v>474</v>
      </c>
      <c r="L202" t="s">
        <v>40</v>
      </c>
      <c r="M202">
        <v>1</v>
      </c>
      <c r="N202">
        <v>292</v>
      </c>
      <c r="O202">
        <v>292</v>
      </c>
      <c r="P202" t="s">
        <v>41</v>
      </c>
      <c r="Q202">
        <v>1398.5</v>
      </c>
      <c r="R202">
        <v>1398.5</v>
      </c>
      <c r="S202">
        <v>20418.099999999999</v>
      </c>
      <c r="T202">
        <v>408362</v>
      </c>
      <c r="U202">
        <v>5</v>
      </c>
      <c r="V202" t="s">
        <v>42</v>
      </c>
      <c r="W202" t="s">
        <v>474</v>
      </c>
      <c r="X202" s="6" t="str">
        <f t="shared" si="0"/>
        <v>441814965</v>
      </c>
      <c r="Y202" s="7" t="str">
        <f t="shared" si="1"/>
        <v>RP</v>
      </c>
      <c r="Z202" s="7">
        <f t="shared" si="2"/>
        <v>292</v>
      </c>
      <c r="AA202" s="7">
        <f t="shared" si="3"/>
        <v>292</v>
      </c>
      <c r="AB202" s="7">
        <f t="shared" si="4"/>
        <v>292</v>
      </c>
      <c r="AC202" s="7">
        <f t="shared" si="5"/>
        <v>292</v>
      </c>
      <c r="AD202" s="7">
        <f t="shared" si="6"/>
        <v>292</v>
      </c>
      <c r="AE202" s="8" t="str" cm="1">
        <f t="array" ref="AE202">IFERROR(_xlfn.XLOOKUP(H202,Sheet1!$G:$G,Sheet1!$F:$F),IFERROR(_xlfn.XLOOKUP(1,(--($X$2:$X$1074=X202))*(--ISNUMBER(MATCH($H$2:$H$1074,Sheet1!$G:$G,0))),_xlfn.XLOOKUP($H$2:$H$1074,Sheet1!$G:$G,Sheet1!$F:$F,"")),"NOT FOUND"))</f>
        <v>GETKRTSFUT6418</v>
      </c>
      <c r="AF202" s="9" t="str">
        <f t="shared" si="13"/>
        <v>TEAL</v>
      </c>
      <c r="AG202" s="10" t="str">
        <f t="shared" si="14"/>
        <v>JHAJJAR</v>
      </c>
      <c r="AH202" s="8" t="str" cm="1">
        <f t="array" ref="AH202">IF(OR(J202="",AE202="",AE202="NOT FOUND"),"",IF(Y202="RP",_xlfn.LET(_xlpm.desc,_xlfn.XLOOKUP(1,(--(Sheet1!$F$2:$F$754=AE202))*(--ISNUMBER(FIND("-",Sheet1!$W$2:$W$754,FIND("-",Sheet1!$W$2:$W$754)+1))),Sheet1!$W$2:$W$754,""),IF(_xlpm.desc="","NOT FOUND",LEFT(_xlpm.desc,FIND("-",_xlpm.desc,FIND("-",_xlpm.desc)+1))&amp;AE202)),LEFT(J202,FIND("-",J202,FIND("-",J202)+1))&amp;AE202))</f>
        <v>KRTS-APWN26-GETKRTSFUT6418</v>
      </c>
    </row>
    <row r="203" spans="1:34" ht="15.75" customHeight="1" x14ac:dyDescent="0.2">
      <c r="A203" t="s">
        <v>59</v>
      </c>
      <c r="B203" t="s">
        <v>903</v>
      </c>
      <c r="C203" t="s">
        <v>1152</v>
      </c>
      <c r="D203" t="s">
        <v>1154</v>
      </c>
      <c r="E203" t="s">
        <v>34</v>
      </c>
      <c r="F203" t="s">
        <v>35</v>
      </c>
      <c r="G203" t="s">
        <v>36</v>
      </c>
      <c r="H203" t="s">
        <v>853</v>
      </c>
      <c r="I203" t="s">
        <v>854</v>
      </c>
      <c r="J203" t="s">
        <v>855</v>
      </c>
      <c r="K203" t="s">
        <v>474</v>
      </c>
      <c r="L203" t="s">
        <v>40</v>
      </c>
      <c r="M203">
        <v>1</v>
      </c>
      <c r="N203">
        <v>292</v>
      </c>
      <c r="O203">
        <v>292</v>
      </c>
      <c r="P203" t="s">
        <v>41</v>
      </c>
      <c r="Q203">
        <v>1398.5</v>
      </c>
      <c r="R203">
        <v>1398.5</v>
      </c>
      <c r="S203">
        <v>20418.099999999999</v>
      </c>
      <c r="T203">
        <v>408362</v>
      </c>
      <c r="U203">
        <v>5</v>
      </c>
      <c r="V203" t="s">
        <v>42</v>
      </c>
      <c r="W203" t="s">
        <v>474</v>
      </c>
      <c r="X203" s="6" t="str">
        <f t="shared" si="0"/>
        <v>441814964</v>
      </c>
      <c r="Y203" s="7" t="str">
        <f t="shared" si="1"/>
        <v>RP</v>
      </c>
      <c r="Z203" s="7">
        <f t="shared" si="2"/>
        <v>292</v>
      </c>
      <c r="AA203" s="7">
        <f t="shared" si="3"/>
        <v>292</v>
      </c>
      <c r="AB203" s="7">
        <f t="shared" si="4"/>
        <v>292</v>
      </c>
      <c r="AC203" s="7">
        <f t="shared" si="5"/>
        <v>292</v>
      </c>
      <c r="AD203" s="7">
        <f t="shared" si="6"/>
        <v>292</v>
      </c>
      <c r="AE203" s="8" t="str" cm="1">
        <f t="array" ref="AE203">IFERROR(_xlfn.XLOOKUP(H203,Sheet1!$G:$G,Sheet1!$F:$F),IFERROR(_xlfn.XLOOKUP(1,(--($X$2:$X$1074=X203))*(--ISNUMBER(MATCH($H$2:$H$1074,Sheet1!$G:$G,0))),_xlfn.XLOOKUP($H$2:$H$1074,Sheet1!$G:$G,Sheet1!$F:$F,"")),"NOT FOUND"))</f>
        <v>GETKRTSFUT6417</v>
      </c>
      <c r="AF203" s="9" t="str">
        <f t="shared" si="13"/>
        <v>MUSTARD</v>
      </c>
      <c r="AG203" s="10" t="str">
        <f t="shared" si="14"/>
        <v>JHAJJAR</v>
      </c>
      <c r="AH203" s="8" t="str" cm="1">
        <f t="array" ref="AH203">IF(OR(J203="",AE203="",AE203="NOT FOUND"),"",IF(Y203="RP",_xlfn.LET(_xlpm.desc,_xlfn.XLOOKUP(1,(--(Sheet1!$F$2:$F$754=AE203))*(--ISNUMBER(FIND("-",Sheet1!$W$2:$W$754,FIND("-",Sheet1!$W$2:$W$754)+1))),Sheet1!$W$2:$W$754,""),IF(_xlpm.desc="","NOT FOUND",LEFT(_xlpm.desc,FIND("-",_xlpm.desc,FIND("-",_xlpm.desc)+1))&amp;AE203)),LEFT(J203,FIND("-",J203,FIND("-",J203)+1))&amp;AE203))</f>
        <v>KRTS-APWN26-GETKRTSFUT6417</v>
      </c>
    </row>
    <row r="204" spans="1:34" ht="15.75" customHeight="1" x14ac:dyDescent="0.2">
      <c r="A204" t="s">
        <v>59</v>
      </c>
      <c r="B204" t="s">
        <v>904</v>
      </c>
      <c r="C204" t="s">
        <v>1152</v>
      </c>
      <c r="D204" t="s">
        <v>1154</v>
      </c>
      <c r="E204" t="s">
        <v>34</v>
      </c>
      <c r="F204" t="s">
        <v>35</v>
      </c>
      <c r="G204" t="s">
        <v>36</v>
      </c>
      <c r="H204" t="s">
        <v>857</v>
      </c>
      <c r="I204" t="s">
        <v>858</v>
      </c>
      <c r="J204" t="s">
        <v>859</v>
      </c>
      <c r="K204" t="s">
        <v>474</v>
      </c>
      <c r="L204" t="s">
        <v>40</v>
      </c>
      <c r="M204">
        <v>1</v>
      </c>
      <c r="N204">
        <v>292</v>
      </c>
      <c r="O204">
        <v>292</v>
      </c>
      <c r="P204" t="s">
        <v>41</v>
      </c>
      <c r="Q204">
        <v>1398.5</v>
      </c>
      <c r="R204">
        <v>1398.5</v>
      </c>
      <c r="S204">
        <v>20418.099999999999</v>
      </c>
      <c r="T204">
        <v>408362</v>
      </c>
      <c r="U204">
        <v>5</v>
      </c>
      <c r="V204" t="s">
        <v>42</v>
      </c>
      <c r="W204" t="s">
        <v>474</v>
      </c>
      <c r="X204" s="6" t="str">
        <f t="shared" si="0"/>
        <v>441814962</v>
      </c>
      <c r="Y204" s="7" t="str">
        <f t="shared" si="1"/>
        <v>RP</v>
      </c>
      <c r="Z204" s="7">
        <f t="shared" si="2"/>
        <v>292</v>
      </c>
      <c r="AA204" s="7">
        <f t="shared" si="3"/>
        <v>292</v>
      </c>
      <c r="AB204" s="7">
        <f t="shared" si="4"/>
        <v>292</v>
      </c>
      <c r="AC204" s="7">
        <f t="shared" si="5"/>
        <v>292</v>
      </c>
      <c r="AD204" s="7">
        <f t="shared" si="6"/>
        <v>292</v>
      </c>
      <c r="AE204" s="8" t="str" cm="1">
        <f t="array" ref="AE204">IFERROR(_xlfn.XLOOKUP(H204,Sheet1!$G:$G,Sheet1!$F:$F),IFERROR(_xlfn.XLOOKUP(1,(--($X$2:$X$1074=X204))*(--ISNUMBER(MATCH($H$2:$H$1074,Sheet1!$G:$G,0))),_xlfn.XLOOKUP($H$2:$H$1074,Sheet1!$G:$G,Sheet1!$F:$F,"")),"NOT FOUND"))</f>
        <v>GETKRTSFUT6415B</v>
      </c>
      <c r="AF204" s="9" t="str">
        <f t="shared" si="13"/>
        <v>RUST</v>
      </c>
      <c r="AG204" s="10" t="str">
        <f t="shared" si="14"/>
        <v>JHAJJAR</v>
      </c>
      <c r="AH204" s="8" t="str" cm="1">
        <f t="array" ref="AH204">IF(OR(J204="",AE204="",AE204="NOT FOUND"),"",IF(Y204="RP",_xlfn.LET(_xlpm.desc,_xlfn.XLOOKUP(1,(--(Sheet1!$F$2:$F$754=AE204))*(--ISNUMBER(FIND("-",Sheet1!$W$2:$W$754,FIND("-",Sheet1!$W$2:$W$754)+1))),Sheet1!$W$2:$W$754,""),IF(_xlpm.desc="","NOT FOUND",LEFT(_xlpm.desc,FIND("-",_xlpm.desc,FIND("-",_xlpm.desc)+1))&amp;AE204)),LEFT(J204,FIND("-",J204,FIND("-",J204)+1))&amp;AE204))</f>
        <v>KRTS-APWN26-GETKRTSFUT6415B</v>
      </c>
    </row>
    <row r="205" spans="1:34" ht="15.75" customHeight="1" x14ac:dyDescent="0.2">
      <c r="A205" t="s">
        <v>59</v>
      </c>
      <c r="B205" t="s">
        <v>905</v>
      </c>
      <c r="C205" t="s">
        <v>1152</v>
      </c>
      <c r="D205" t="s">
        <v>1154</v>
      </c>
      <c r="E205" t="s">
        <v>34</v>
      </c>
      <c r="F205" t="s">
        <v>35</v>
      </c>
      <c r="G205" t="s">
        <v>36</v>
      </c>
      <c r="H205" t="s">
        <v>845</v>
      </c>
      <c r="I205" t="s">
        <v>846</v>
      </c>
      <c r="J205" t="s">
        <v>847</v>
      </c>
      <c r="K205" t="s">
        <v>474</v>
      </c>
      <c r="L205" t="s">
        <v>40</v>
      </c>
      <c r="M205">
        <v>1</v>
      </c>
      <c r="N205">
        <v>292</v>
      </c>
      <c r="O205">
        <v>292</v>
      </c>
      <c r="P205" t="s">
        <v>41</v>
      </c>
      <c r="Q205">
        <v>1398.5</v>
      </c>
      <c r="R205">
        <v>1398.5</v>
      </c>
      <c r="S205">
        <v>20418.099999999999</v>
      </c>
      <c r="T205">
        <v>408362</v>
      </c>
      <c r="U205">
        <v>5</v>
      </c>
      <c r="V205" t="s">
        <v>42</v>
      </c>
      <c r="W205" t="s">
        <v>474</v>
      </c>
      <c r="X205" s="6" t="str">
        <f t="shared" si="0"/>
        <v>441814963</v>
      </c>
      <c r="Y205" s="7" t="str">
        <f t="shared" si="1"/>
        <v>RP</v>
      </c>
      <c r="Z205" s="7">
        <f t="shared" si="2"/>
        <v>292</v>
      </c>
      <c r="AA205" s="7">
        <f t="shared" si="3"/>
        <v>292</v>
      </c>
      <c r="AB205" s="7">
        <f t="shared" si="4"/>
        <v>292</v>
      </c>
      <c r="AC205" s="7">
        <f t="shared" si="5"/>
        <v>292</v>
      </c>
      <c r="AD205" s="7">
        <f t="shared" si="6"/>
        <v>292</v>
      </c>
      <c r="AE205" s="8" t="str" cm="1">
        <f t="array" ref="AE205">IFERROR(_xlfn.XLOOKUP(H205,Sheet1!$G:$G,Sheet1!$F:$F),IFERROR(_xlfn.XLOOKUP(1,(--($X$2:$X$1074=X205))*(--ISNUMBER(MATCH($H$2:$H$1074,Sheet1!$G:$G,0))),_xlfn.XLOOKUP($H$2:$H$1074,Sheet1!$G:$G,Sheet1!$F:$F,"")),"NOT FOUND"))</f>
        <v>GETKRTSFUT6416</v>
      </c>
      <c r="AF205" s="9" t="str">
        <f t="shared" si="13"/>
        <v>MAUVE</v>
      </c>
      <c r="AG205" s="10" t="str">
        <f t="shared" si="14"/>
        <v>JHAJJAR</v>
      </c>
      <c r="AH205" s="8" t="str" cm="1">
        <f t="array" ref="AH205">IF(OR(J205="",AE205="",AE205="NOT FOUND"),"",IF(Y205="RP",_xlfn.LET(_xlpm.desc,_xlfn.XLOOKUP(1,(--(Sheet1!$F$2:$F$754=AE205))*(--ISNUMBER(FIND("-",Sheet1!$W$2:$W$754,FIND("-",Sheet1!$W$2:$W$754)+1))),Sheet1!$W$2:$W$754,""),IF(_xlpm.desc="","NOT FOUND",LEFT(_xlpm.desc,FIND("-",_xlpm.desc,FIND("-",_xlpm.desc)+1))&amp;AE205)),LEFT(J205,FIND("-",J205,FIND("-",J205)+1))&amp;AE205))</f>
        <v>KRTS-APWN26-GETKRTSFUT6416</v>
      </c>
    </row>
    <row r="206" spans="1:34" ht="15.75" customHeight="1" x14ac:dyDescent="0.2">
      <c r="A206" t="s">
        <v>59</v>
      </c>
      <c r="B206" t="s">
        <v>906</v>
      </c>
      <c r="C206" t="s">
        <v>1152</v>
      </c>
      <c r="D206" t="s">
        <v>1154</v>
      </c>
      <c r="E206" t="s">
        <v>34</v>
      </c>
      <c r="F206" t="s">
        <v>35</v>
      </c>
      <c r="G206" t="s">
        <v>36</v>
      </c>
      <c r="H206" t="s">
        <v>889</v>
      </c>
      <c r="I206" t="s">
        <v>890</v>
      </c>
      <c r="J206" t="s">
        <v>891</v>
      </c>
      <c r="K206" t="s">
        <v>474</v>
      </c>
      <c r="L206" t="s">
        <v>40</v>
      </c>
      <c r="M206">
        <v>1</v>
      </c>
      <c r="N206">
        <v>292</v>
      </c>
      <c r="O206">
        <v>292</v>
      </c>
      <c r="P206" t="s">
        <v>41</v>
      </c>
      <c r="Q206">
        <v>1398.5</v>
      </c>
      <c r="R206">
        <v>1398.5</v>
      </c>
      <c r="S206">
        <v>20418.099999999999</v>
      </c>
      <c r="T206">
        <v>408362</v>
      </c>
      <c r="U206">
        <v>5</v>
      </c>
      <c r="V206" t="s">
        <v>42</v>
      </c>
      <c r="W206" t="s">
        <v>474</v>
      </c>
      <c r="X206" s="6" t="str">
        <f t="shared" si="0"/>
        <v>441814959</v>
      </c>
      <c r="Y206" s="7" t="str">
        <f t="shared" si="1"/>
        <v>RP</v>
      </c>
      <c r="Z206" s="7">
        <f t="shared" si="2"/>
        <v>292</v>
      </c>
      <c r="AA206" s="7">
        <f t="shared" si="3"/>
        <v>292</v>
      </c>
      <c r="AB206" s="7">
        <f t="shared" si="4"/>
        <v>292</v>
      </c>
      <c r="AC206" s="7">
        <f t="shared" si="5"/>
        <v>292</v>
      </c>
      <c r="AD206" s="7">
        <f t="shared" si="6"/>
        <v>292</v>
      </c>
      <c r="AE206" s="8" t="str" cm="1">
        <f t="array" ref="AE206">IFERROR(_xlfn.XLOOKUP(H206,Sheet1!$G:$G,Sheet1!$F:$F),IFERROR(_xlfn.XLOOKUP(1,(--($X$2:$X$1074=X206))*(--ISNUMBER(MATCH($H$2:$H$1074,Sheet1!$G:$G,0))),_xlfn.XLOOKUP($H$2:$H$1074,Sheet1!$G:$G,Sheet1!$F:$F,"")),"NOT FOUND"))</f>
        <v>GETKRTSFUT6413</v>
      </c>
      <c r="AF206" s="9" t="str">
        <f t="shared" si="13"/>
        <v>MAUVE</v>
      </c>
      <c r="AG206" s="10" t="str">
        <f t="shared" si="14"/>
        <v>JHAJJAR</v>
      </c>
      <c r="AH206" s="8" t="str" cm="1">
        <f t="array" ref="AH206">IF(OR(J206="",AE206="",AE206="NOT FOUND"),"",IF(Y206="RP",_xlfn.LET(_xlpm.desc,_xlfn.XLOOKUP(1,(--(Sheet1!$F$2:$F$754=AE206))*(--ISNUMBER(FIND("-",Sheet1!$W$2:$W$754,FIND("-",Sheet1!$W$2:$W$754)+1))),Sheet1!$W$2:$W$754,""),IF(_xlpm.desc="","NOT FOUND",LEFT(_xlpm.desc,FIND("-",_xlpm.desc,FIND("-",_xlpm.desc)+1))&amp;AE206)),LEFT(J206,FIND("-",J206,FIND("-",J206)+1))&amp;AE206))</f>
        <v>KRTS-APWN26-GETKRTSFUT6413</v>
      </c>
    </row>
    <row r="207" spans="1:34" ht="15.75" customHeight="1" x14ac:dyDescent="0.2">
      <c r="A207" t="s">
        <v>59</v>
      </c>
      <c r="B207" t="s">
        <v>907</v>
      </c>
      <c r="C207" t="s">
        <v>1152</v>
      </c>
      <c r="D207" t="s">
        <v>1154</v>
      </c>
      <c r="E207" t="s">
        <v>34</v>
      </c>
      <c r="F207" t="s">
        <v>35</v>
      </c>
      <c r="G207" t="s">
        <v>36</v>
      </c>
      <c r="H207" t="s">
        <v>865</v>
      </c>
      <c r="I207" t="s">
        <v>866</v>
      </c>
      <c r="J207" t="s">
        <v>867</v>
      </c>
      <c r="K207" t="s">
        <v>474</v>
      </c>
      <c r="L207" t="s">
        <v>40</v>
      </c>
      <c r="M207">
        <v>1</v>
      </c>
      <c r="N207">
        <v>292</v>
      </c>
      <c r="O207">
        <v>292</v>
      </c>
      <c r="P207" t="s">
        <v>41</v>
      </c>
      <c r="Q207">
        <v>1398.5</v>
      </c>
      <c r="R207">
        <v>1398.5</v>
      </c>
      <c r="S207">
        <v>20418.099999999999</v>
      </c>
      <c r="T207">
        <v>408362</v>
      </c>
      <c r="U207">
        <v>5</v>
      </c>
      <c r="V207" t="s">
        <v>42</v>
      </c>
      <c r="W207" t="s">
        <v>474</v>
      </c>
      <c r="X207" s="6" t="str">
        <f t="shared" si="0"/>
        <v>441814960</v>
      </c>
      <c r="Y207" s="7" t="str">
        <f t="shared" si="1"/>
        <v>RP</v>
      </c>
      <c r="Z207" s="7">
        <f t="shared" si="2"/>
        <v>292</v>
      </c>
      <c r="AA207" s="7">
        <f t="shared" si="3"/>
        <v>292</v>
      </c>
      <c r="AB207" s="7">
        <f t="shared" si="4"/>
        <v>292</v>
      </c>
      <c r="AC207" s="7">
        <f t="shared" si="5"/>
        <v>292</v>
      </c>
      <c r="AD207" s="7">
        <f t="shared" si="6"/>
        <v>292</v>
      </c>
      <c r="AE207" s="8" t="str" cm="1">
        <f t="array" ref="AE207">IFERROR(_xlfn.XLOOKUP(H207,Sheet1!$G:$G,Sheet1!$F:$F),IFERROR(_xlfn.XLOOKUP(1,(--($X$2:$X$1074=X207))*(--ISNUMBER(MATCH($H$2:$H$1074,Sheet1!$G:$G,0))),_xlfn.XLOOKUP($H$2:$H$1074,Sheet1!$G:$G,Sheet1!$F:$F,"")),"NOT FOUND"))</f>
        <v>GETKRTSFUT6414</v>
      </c>
      <c r="AF207" s="9" t="str">
        <f t="shared" si="13"/>
        <v>FUCHSIA</v>
      </c>
      <c r="AG207" s="10" t="str">
        <f t="shared" si="14"/>
        <v>JHAJJAR</v>
      </c>
      <c r="AH207" s="8" t="str" cm="1">
        <f t="array" ref="AH207">IF(OR(J207="",AE207="",AE207="NOT FOUND"),"",IF(Y207="RP",_xlfn.LET(_xlpm.desc,_xlfn.XLOOKUP(1,(--(Sheet1!$F$2:$F$754=AE207))*(--ISNUMBER(FIND("-",Sheet1!$W$2:$W$754,FIND("-",Sheet1!$W$2:$W$754)+1))),Sheet1!$W$2:$W$754,""),IF(_xlpm.desc="","NOT FOUND",LEFT(_xlpm.desc,FIND("-",_xlpm.desc,FIND("-",_xlpm.desc)+1))&amp;AE207)),LEFT(J207,FIND("-",J207,FIND("-",J207)+1))&amp;AE207))</f>
        <v>KRTS-APWN26-GETKRTSFUT6414</v>
      </c>
    </row>
    <row r="208" spans="1:34" ht="15.75" customHeight="1" x14ac:dyDescent="0.2">
      <c r="A208" t="s">
        <v>59</v>
      </c>
      <c r="B208" t="s">
        <v>908</v>
      </c>
      <c r="C208" t="s">
        <v>1152</v>
      </c>
      <c r="D208" t="s">
        <v>1154</v>
      </c>
      <c r="E208" t="s">
        <v>34</v>
      </c>
      <c r="F208" t="s">
        <v>35</v>
      </c>
      <c r="G208" t="s">
        <v>36</v>
      </c>
      <c r="H208" t="s">
        <v>861</v>
      </c>
      <c r="I208" t="s">
        <v>862</v>
      </c>
      <c r="J208" t="s">
        <v>863</v>
      </c>
      <c r="K208" t="s">
        <v>474</v>
      </c>
      <c r="L208" t="s">
        <v>40</v>
      </c>
      <c r="M208">
        <v>1</v>
      </c>
      <c r="N208">
        <v>292</v>
      </c>
      <c r="O208">
        <v>292</v>
      </c>
      <c r="P208" t="s">
        <v>41</v>
      </c>
      <c r="Q208">
        <v>1398.5</v>
      </c>
      <c r="R208">
        <v>1398.5</v>
      </c>
      <c r="S208">
        <v>20418.099999999999</v>
      </c>
      <c r="T208">
        <v>408362</v>
      </c>
      <c r="U208">
        <v>5</v>
      </c>
      <c r="V208" t="s">
        <v>42</v>
      </c>
      <c r="W208" t="s">
        <v>474</v>
      </c>
      <c r="X208" s="6" t="str">
        <f t="shared" si="0"/>
        <v>441814961</v>
      </c>
      <c r="Y208" s="7" t="str">
        <f t="shared" si="1"/>
        <v>RP</v>
      </c>
      <c r="Z208" s="7">
        <f t="shared" si="2"/>
        <v>292</v>
      </c>
      <c r="AA208" s="7">
        <f t="shared" si="3"/>
        <v>292</v>
      </c>
      <c r="AB208" s="7">
        <f t="shared" si="4"/>
        <v>292</v>
      </c>
      <c r="AC208" s="7">
        <f t="shared" si="5"/>
        <v>292</v>
      </c>
      <c r="AD208" s="7">
        <f t="shared" si="6"/>
        <v>292</v>
      </c>
      <c r="AE208" s="8" t="str" cm="1">
        <f t="array" ref="AE208">IFERROR(_xlfn.XLOOKUP(H208,Sheet1!$G:$G,Sheet1!$F:$F),IFERROR(_xlfn.XLOOKUP(1,(--($X$2:$X$1074=X208))*(--ISNUMBER(MATCH($H$2:$H$1074,Sheet1!$G:$G,0))),_xlfn.XLOOKUP($H$2:$H$1074,Sheet1!$G:$G,Sheet1!$F:$F,"")),"NOT FOUND"))</f>
        <v>GETKRTSFUT6415</v>
      </c>
      <c r="AF208" s="9" t="str">
        <f t="shared" si="13"/>
        <v>NAVY</v>
      </c>
      <c r="AG208" s="10" t="str">
        <f t="shared" si="14"/>
        <v>JHAJJAR</v>
      </c>
      <c r="AH208" s="8" t="str" cm="1">
        <f t="array" ref="AH208">IF(OR(J208="",AE208="",AE208="NOT FOUND"),"",IF(Y208="RP",_xlfn.LET(_xlpm.desc,_xlfn.XLOOKUP(1,(--(Sheet1!$F$2:$F$754=AE208))*(--ISNUMBER(FIND("-",Sheet1!$W$2:$W$754,FIND("-",Sheet1!$W$2:$W$754)+1))),Sheet1!$W$2:$W$754,""),IF(_xlpm.desc="","NOT FOUND",LEFT(_xlpm.desc,FIND("-",_xlpm.desc,FIND("-",_xlpm.desc)+1))&amp;AE208)),LEFT(J208,FIND("-",J208,FIND("-",J208)+1))&amp;AE208))</f>
        <v>KRTS-APWN26-GETKRTSFUT6415</v>
      </c>
    </row>
    <row r="209" spans="1:34" ht="15.75" customHeight="1" x14ac:dyDescent="0.2">
      <c r="A209" t="s">
        <v>59</v>
      </c>
      <c r="B209" t="s">
        <v>909</v>
      </c>
      <c r="C209" t="s">
        <v>1152</v>
      </c>
      <c r="D209" t="s">
        <v>1153</v>
      </c>
      <c r="E209" t="s">
        <v>34</v>
      </c>
      <c r="F209" t="s">
        <v>35</v>
      </c>
      <c r="G209" t="s">
        <v>36</v>
      </c>
      <c r="H209" t="s">
        <v>879</v>
      </c>
      <c r="I209" t="s">
        <v>880</v>
      </c>
      <c r="J209" t="s">
        <v>881</v>
      </c>
      <c r="K209" t="s">
        <v>474</v>
      </c>
      <c r="L209" t="s">
        <v>40</v>
      </c>
      <c r="M209">
        <v>1</v>
      </c>
      <c r="N209">
        <v>292</v>
      </c>
      <c r="O209">
        <v>292</v>
      </c>
      <c r="P209" t="s">
        <v>41</v>
      </c>
      <c r="Q209">
        <v>1348.5</v>
      </c>
      <c r="R209">
        <v>1348.5</v>
      </c>
      <c r="S209">
        <v>19688.099999999999</v>
      </c>
      <c r="T209">
        <v>393762</v>
      </c>
      <c r="U209">
        <v>5</v>
      </c>
      <c r="V209" t="s">
        <v>42</v>
      </c>
      <c r="W209" t="s">
        <v>474</v>
      </c>
      <c r="X209" s="6" t="str">
        <f t="shared" si="0"/>
        <v>441814971</v>
      </c>
      <c r="Y209" s="7" t="str">
        <f t="shared" si="1"/>
        <v>RP</v>
      </c>
      <c r="Z209" s="7">
        <f t="shared" si="2"/>
        <v>292</v>
      </c>
      <c r="AA209" s="7">
        <f t="shared" si="3"/>
        <v>292</v>
      </c>
      <c r="AB209" s="7">
        <f t="shared" si="4"/>
        <v>292</v>
      </c>
      <c r="AC209" s="7">
        <f t="shared" si="5"/>
        <v>292</v>
      </c>
      <c r="AD209" s="7">
        <f t="shared" si="6"/>
        <v>292</v>
      </c>
      <c r="AE209" s="8" t="str" cm="1">
        <f t="array" ref="AE209">IFERROR(_xlfn.XLOOKUP(H209,Sheet1!$G:$G,Sheet1!$F:$F),IFERROR(_xlfn.XLOOKUP(1,(--($X$2:$X$1074=X209))*(--ISNUMBER(MATCH($H$2:$H$1074,Sheet1!$G:$G,0))),_xlfn.XLOOKUP($H$2:$H$1074,Sheet1!$G:$G,Sheet1!$F:$F,"")),"NOT FOUND"))</f>
        <v>GETKRTSFUT6452</v>
      </c>
      <c r="AF209" s="9" t="str">
        <f t="shared" si="13"/>
        <v>CREAM</v>
      </c>
      <c r="AG209" s="10" t="str">
        <f t="shared" si="14"/>
        <v>JHAJJAR</v>
      </c>
      <c r="AH209" s="8" t="str" cm="1">
        <f t="array" ref="AH209">IF(OR(J209="",AE209="",AE209="NOT FOUND"),"",IF(Y209="RP",_xlfn.LET(_xlpm.desc,_xlfn.XLOOKUP(1,(--(Sheet1!$F$2:$F$754=AE209))*(--ISNUMBER(FIND("-",Sheet1!$W$2:$W$754,FIND("-",Sheet1!$W$2:$W$754)+1))),Sheet1!$W$2:$W$754,""),IF(_xlpm.desc="","NOT FOUND",LEFT(_xlpm.desc,FIND("-",_xlpm.desc,FIND("-",_xlpm.desc)+1))&amp;AE209)),LEFT(J209,FIND("-",J209,FIND("-",J209)+1))&amp;AE209))</f>
        <v>KRTS-APWN26-GETKRTSFUT6452</v>
      </c>
    </row>
    <row r="210" spans="1:34" ht="15.75" customHeight="1" x14ac:dyDescent="0.2">
      <c r="A210" t="s">
        <v>59</v>
      </c>
      <c r="B210" t="s">
        <v>910</v>
      </c>
      <c r="C210" t="s">
        <v>1152</v>
      </c>
      <c r="D210" t="s">
        <v>1155</v>
      </c>
      <c r="E210" t="s">
        <v>34</v>
      </c>
      <c r="F210" t="s">
        <v>35</v>
      </c>
      <c r="G210" t="s">
        <v>36</v>
      </c>
      <c r="H210" t="s">
        <v>873</v>
      </c>
      <c r="I210" t="s">
        <v>874</v>
      </c>
      <c r="J210" t="s">
        <v>876</v>
      </c>
      <c r="K210" t="s">
        <v>474</v>
      </c>
      <c r="L210" t="s">
        <v>40</v>
      </c>
      <c r="M210">
        <v>1</v>
      </c>
      <c r="N210">
        <v>325</v>
      </c>
      <c r="O210">
        <v>325</v>
      </c>
      <c r="P210" t="s">
        <v>41</v>
      </c>
      <c r="Q210">
        <v>1171.5</v>
      </c>
      <c r="R210">
        <v>1171.5</v>
      </c>
      <c r="S210">
        <v>19036.88</v>
      </c>
      <c r="T210">
        <v>380737.5</v>
      </c>
      <c r="U210">
        <v>5</v>
      </c>
      <c r="V210" t="s">
        <v>42</v>
      </c>
      <c r="W210" t="s">
        <v>474</v>
      </c>
      <c r="X210" s="6" t="str">
        <f t="shared" si="0"/>
        <v>441853990</v>
      </c>
      <c r="Y210" s="7" t="str">
        <f t="shared" si="1"/>
        <v>RP</v>
      </c>
      <c r="Z210" s="7">
        <f t="shared" si="2"/>
        <v>325</v>
      </c>
      <c r="AA210" s="7">
        <f t="shared" si="3"/>
        <v>325</v>
      </c>
      <c r="AB210" s="7">
        <f t="shared" si="4"/>
        <v>325</v>
      </c>
      <c r="AC210" s="7">
        <f t="shared" si="5"/>
        <v>325</v>
      </c>
      <c r="AD210" s="7">
        <f t="shared" si="6"/>
        <v>325</v>
      </c>
      <c r="AE210" s="8" t="str" cm="1">
        <f t="array" ref="AE210">IFERROR(_xlfn.XLOOKUP(H210,Sheet1!$G:$G,Sheet1!$F:$F),IFERROR(_xlfn.XLOOKUP(1,(--($X$2:$X$1074=X210))*(--ISNUMBER(MATCH($H$2:$H$1074,Sheet1!$G:$G,0))),_xlfn.XLOOKUP($H$2:$H$1074,Sheet1!$G:$G,Sheet1!$F:$F,"")),"NOT FOUND"))</f>
        <v>YETKRTSCUT5009</v>
      </c>
      <c r="AF210" s="9" t="str">
        <f t="shared" si="13"/>
        <v>BLACK</v>
      </c>
      <c r="AG210" s="10" t="str">
        <f t="shared" si="14"/>
        <v>JHAJJAR</v>
      </c>
      <c r="AH210" s="8" t="str" cm="1">
        <f t="array" ref="AH210">IF(OR(J210="",AE210="",AE210="NOT FOUND"),"",IF(Y210="RP",_xlfn.LET(_xlpm.desc,_xlfn.XLOOKUP(1,(--(Sheet1!$F$2:$F$754=AE210))*(--ISNUMBER(FIND("-",Sheet1!$W$2:$W$754,FIND("-",Sheet1!$W$2:$W$754)+1))),Sheet1!$W$2:$W$754,""),IF(_xlpm.desc="","NOT FOUND",LEFT(_xlpm.desc,FIND("-",_xlpm.desc,FIND("-",_xlpm.desc)+1))&amp;AE210)),LEFT(J210,FIND("-",J210,FIND("-",J210)+1))&amp;AE210))</f>
        <v>KRTS-APSU26-YETKRTSCUT5009</v>
      </c>
    </row>
    <row r="211" spans="1:34" ht="15.75" customHeight="1" x14ac:dyDescent="0.2">
      <c r="A211" t="s">
        <v>59</v>
      </c>
      <c r="B211" t="s">
        <v>912</v>
      </c>
      <c r="C211" t="s">
        <v>1152</v>
      </c>
      <c r="D211" t="s">
        <v>1153</v>
      </c>
      <c r="E211" t="s">
        <v>34</v>
      </c>
      <c r="F211" t="s">
        <v>35</v>
      </c>
      <c r="G211" t="s">
        <v>36</v>
      </c>
      <c r="H211" t="s">
        <v>869</v>
      </c>
      <c r="I211" t="s">
        <v>870</v>
      </c>
      <c r="J211" t="s">
        <v>871</v>
      </c>
      <c r="K211" t="s">
        <v>474</v>
      </c>
      <c r="L211" t="s">
        <v>40</v>
      </c>
      <c r="M211">
        <v>1</v>
      </c>
      <c r="N211">
        <v>292</v>
      </c>
      <c r="O211">
        <v>292</v>
      </c>
      <c r="P211" t="s">
        <v>41</v>
      </c>
      <c r="Q211">
        <v>1383.5</v>
      </c>
      <c r="R211">
        <v>1383.5</v>
      </c>
      <c r="S211">
        <v>20199.099999999999</v>
      </c>
      <c r="T211">
        <v>403982</v>
      </c>
      <c r="U211">
        <v>5</v>
      </c>
      <c r="V211" t="s">
        <v>42</v>
      </c>
      <c r="W211" t="s">
        <v>474</v>
      </c>
      <c r="X211" s="6" t="str">
        <f t="shared" si="0"/>
        <v>441814970</v>
      </c>
      <c r="Y211" s="7" t="str">
        <f t="shared" si="1"/>
        <v>RP</v>
      </c>
      <c r="Z211" s="7">
        <f t="shared" si="2"/>
        <v>292</v>
      </c>
      <c r="AA211" s="7">
        <f t="shared" si="3"/>
        <v>292</v>
      </c>
      <c r="AB211" s="7">
        <f t="shared" si="4"/>
        <v>292</v>
      </c>
      <c r="AC211" s="7">
        <f t="shared" si="5"/>
        <v>292</v>
      </c>
      <c r="AD211" s="7">
        <f t="shared" si="6"/>
        <v>292</v>
      </c>
      <c r="AE211" s="8" t="str" cm="1">
        <f t="array" ref="AE211">IFERROR(_xlfn.XLOOKUP(H211,Sheet1!$G:$G,Sheet1!$F:$F),IFERROR(_xlfn.XLOOKUP(1,(--($X$2:$X$1074=X211))*(--ISNUMBER(MATCH($H$2:$H$1074,Sheet1!$G:$G,0))),_xlfn.XLOOKUP($H$2:$H$1074,Sheet1!$G:$G,Sheet1!$F:$F,"")),"NOT FOUND"))</f>
        <v>GETKRTSFUT6451</v>
      </c>
      <c r="AF211" s="9" t="str">
        <f t="shared" si="13"/>
        <v>LIME GREEN</v>
      </c>
      <c r="AG211" s="10" t="str">
        <f t="shared" si="14"/>
        <v>JHAJJAR</v>
      </c>
      <c r="AH211" s="8" t="str" cm="1">
        <f t="array" ref="AH211">IF(OR(J211="",AE211="",AE211="NOT FOUND"),"",IF(Y211="RP",_xlfn.LET(_xlpm.desc,_xlfn.XLOOKUP(1,(--(Sheet1!$F$2:$F$754=AE211))*(--ISNUMBER(FIND("-",Sheet1!$W$2:$W$754,FIND("-",Sheet1!$W$2:$W$754)+1))),Sheet1!$W$2:$W$754,""),IF(_xlpm.desc="","NOT FOUND",LEFT(_xlpm.desc,FIND("-",_xlpm.desc,FIND("-",_xlpm.desc)+1))&amp;AE211)),LEFT(J211,FIND("-",J211,FIND("-",J211)+1))&amp;AE211))</f>
        <v>KRTS-APWN26-GETKRTSFUT6451</v>
      </c>
    </row>
    <row r="212" spans="1:34" ht="15.75" customHeight="1" x14ac:dyDescent="0.2">
      <c r="A212" t="s">
        <v>59</v>
      </c>
      <c r="B212" t="s">
        <v>913</v>
      </c>
      <c r="C212" t="s">
        <v>1152</v>
      </c>
      <c r="D212" t="s">
        <v>1155</v>
      </c>
      <c r="E212" t="s">
        <v>34</v>
      </c>
      <c r="F212" t="s">
        <v>35</v>
      </c>
      <c r="G212" t="s">
        <v>36</v>
      </c>
      <c r="H212" t="s">
        <v>884</v>
      </c>
      <c r="I212" t="s">
        <v>885</v>
      </c>
      <c r="J212" t="s">
        <v>887</v>
      </c>
      <c r="K212" t="s">
        <v>474</v>
      </c>
      <c r="L212" t="s">
        <v>40</v>
      </c>
      <c r="M212">
        <v>1</v>
      </c>
      <c r="N212">
        <v>176</v>
      </c>
      <c r="O212">
        <v>176</v>
      </c>
      <c r="P212" t="s">
        <v>41</v>
      </c>
      <c r="Q212">
        <v>1398.5</v>
      </c>
      <c r="R212">
        <v>1398.5</v>
      </c>
      <c r="S212">
        <v>12306.8</v>
      </c>
      <c r="T212">
        <v>246136</v>
      </c>
      <c r="U212">
        <v>5</v>
      </c>
      <c r="V212" t="s">
        <v>42</v>
      </c>
      <c r="W212" t="s">
        <v>474</v>
      </c>
      <c r="X212" s="6" t="str">
        <f t="shared" si="0"/>
        <v>441814972</v>
      </c>
      <c r="Y212" s="7" t="str">
        <f t="shared" si="1"/>
        <v>RP</v>
      </c>
      <c r="Z212" s="7">
        <f t="shared" si="2"/>
        <v>176</v>
      </c>
      <c r="AA212" s="7">
        <f t="shared" si="3"/>
        <v>176</v>
      </c>
      <c r="AB212" s="7">
        <f t="shared" si="4"/>
        <v>176</v>
      </c>
      <c r="AC212" s="7">
        <f t="shared" si="5"/>
        <v>176</v>
      </c>
      <c r="AD212" s="7">
        <f t="shared" si="6"/>
        <v>176</v>
      </c>
      <c r="AE212" s="8" t="str" cm="1">
        <f t="array" ref="AE212">IFERROR(_xlfn.XLOOKUP(H212,Sheet1!$G:$G,Sheet1!$F:$F),IFERROR(_xlfn.XLOOKUP(1,(--($X$2:$X$1074=X212))*(--ISNUMBER(MATCH($H$2:$H$1074,Sheet1!$G:$G,0))),_xlfn.XLOOKUP($H$2:$H$1074,Sheet1!$G:$G,Sheet1!$F:$F,"")),"NOT FOUND"))</f>
        <v>GETKRTSFUT6457</v>
      </c>
      <c r="AF212" s="9" t="str">
        <f t="shared" si="13"/>
        <v>BLACK</v>
      </c>
      <c r="AG212" s="10" t="str">
        <f t="shared" si="14"/>
        <v>JHAJJAR</v>
      </c>
      <c r="AH212" s="8" t="str" cm="1">
        <f t="array" ref="AH212">IF(OR(J212="",AE212="",AE212="NOT FOUND"),"",IF(Y212="RP",_xlfn.LET(_xlpm.desc,_xlfn.XLOOKUP(1,(--(Sheet1!$F$2:$F$754=AE212))*(--ISNUMBER(FIND("-",Sheet1!$W$2:$W$754,FIND("-",Sheet1!$W$2:$W$754)+1))),Sheet1!$W$2:$W$754,""),IF(_xlpm.desc="","NOT FOUND",LEFT(_xlpm.desc,FIND("-",_xlpm.desc,FIND("-",_xlpm.desc)+1))&amp;AE212)),LEFT(J212,FIND("-",J212,FIND("-",J212)+1))&amp;AE212))</f>
        <v>KRTS-APWN26-GETKRTSFUT6457</v>
      </c>
    </row>
    <row r="213" spans="1:34" ht="15.75" customHeight="1" x14ac:dyDescent="0.2">
      <c r="A213" t="s">
        <v>61</v>
      </c>
      <c r="B213" t="s">
        <v>914</v>
      </c>
      <c r="C213" t="s">
        <v>1152</v>
      </c>
      <c r="D213" t="s">
        <v>1154</v>
      </c>
      <c r="E213" t="s">
        <v>34</v>
      </c>
      <c r="F213" t="s">
        <v>35</v>
      </c>
      <c r="G213" t="s">
        <v>36</v>
      </c>
      <c r="H213" t="s">
        <v>828</v>
      </c>
      <c r="I213" t="s">
        <v>829</v>
      </c>
      <c r="J213" t="s">
        <v>831</v>
      </c>
      <c r="K213" t="s">
        <v>474</v>
      </c>
      <c r="L213" t="s">
        <v>40</v>
      </c>
      <c r="M213">
        <v>1</v>
      </c>
      <c r="N213">
        <v>210</v>
      </c>
      <c r="O213">
        <v>210</v>
      </c>
      <c r="P213" t="s">
        <v>41</v>
      </c>
      <c r="Q213">
        <v>1398.5</v>
      </c>
      <c r="R213">
        <v>1398.5</v>
      </c>
      <c r="S213">
        <v>14684.25</v>
      </c>
      <c r="T213">
        <v>293685</v>
      </c>
      <c r="U213">
        <v>5</v>
      </c>
      <c r="V213" t="s">
        <v>42</v>
      </c>
      <c r="W213" t="s">
        <v>474</v>
      </c>
      <c r="X213" s="6" t="str">
        <f t="shared" si="0"/>
        <v>441814969</v>
      </c>
      <c r="Y213" s="7" t="str">
        <f t="shared" si="1"/>
        <v>RP</v>
      </c>
      <c r="Z213" s="7">
        <f t="shared" si="2"/>
        <v>210</v>
      </c>
      <c r="AA213" s="7">
        <f t="shared" si="3"/>
        <v>210</v>
      </c>
      <c r="AB213" s="7">
        <f t="shared" si="4"/>
        <v>210</v>
      </c>
      <c r="AC213" s="7">
        <f t="shared" si="5"/>
        <v>210</v>
      </c>
      <c r="AD213" s="7">
        <f t="shared" si="6"/>
        <v>210</v>
      </c>
      <c r="AE213" s="8" t="str" cm="1">
        <f t="array" ref="AE213">IFERROR(_xlfn.XLOOKUP(H213,Sheet1!$G:$G,Sheet1!$F:$F),IFERROR(_xlfn.XLOOKUP(1,(--($X$2:$X$1074=X213))*(--ISNUMBER(MATCH($H$2:$H$1074,Sheet1!$G:$G,0))),_xlfn.XLOOKUP($H$2:$H$1074,Sheet1!$G:$G,Sheet1!$F:$F,"")),"NOT FOUND"))</f>
        <v>GETKRTSFUT6422</v>
      </c>
      <c r="AF213" s="9" t="str">
        <f t="shared" si="13"/>
        <v>DARK GREY</v>
      </c>
      <c r="AG213" s="10" t="str">
        <f t="shared" si="14"/>
        <v>HARIPAL</v>
      </c>
      <c r="AH213" s="8" t="str" cm="1">
        <f t="array" ref="AH213">IF(OR(J213="",AE213="",AE213="NOT FOUND"),"",IF(Y213="RP",_xlfn.LET(_xlpm.desc,_xlfn.XLOOKUP(1,(--(Sheet1!$F$2:$F$754=AE213))*(--ISNUMBER(FIND("-",Sheet1!$W$2:$W$754,FIND("-",Sheet1!$W$2:$W$754)+1))),Sheet1!$W$2:$W$754,""),IF(_xlpm.desc="","NOT FOUND",LEFT(_xlpm.desc,FIND("-",_xlpm.desc,FIND("-",_xlpm.desc)+1))&amp;AE213)),LEFT(J213,FIND("-",J213,FIND("-",J213)+1))&amp;AE213))</f>
        <v>KRTS-APWN26-GETKRTSFUT6422</v>
      </c>
    </row>
    <row r="214" spans="1:34" ht="15.75" customHeight="1" x14ac:dyDescent="0.2">
      <c r="A214" t="s">
        <v>59</v>
      </c>
      <c r="B214" t="s">
        <v>916</v>
      </c>
      <c r="C214" t="s">
        <v>1152</v>
      </c>
      <c r="D214" t="s">
        <v>1155</v>
      </c>
      <c r="E214" t="s">
        <v>34</v>
      </c>
      <c r="F214" t="s">
        <v>35</v>
      </c>
      <c r="G214" t="s">
        <v>36</v>
      </c>
      <c r="H214" t="s">
        <v>894</v>
      </c>
      <c r="I214" t="s">
        <v>895</v>
      </c>
      <c r="J214" t="s">
        <v>897</v>
      </c>
      <c r="K214" t="s">
        <v>474</v>
      </c>
      <c r="L214" t="s">
        <v>40</v>
      </c>
      <c r="M214">
        <v>1</v>
      </c>
      <c r="N214">
        <v>366</v>
      </c>
      <c r="O214">
        <v>366</v>
      </c>
      <c r="P214" t="s">
        <v>41</v>
      </c>
      <c r="Q214">
        <v>1198.5</v>
      </c>
      <c r="R214">
        <v>1198.5</v>
      </c>
      <c r="S214">
        <v>21932.55</v>
      </c>
      <c r="T214">
        <v>438651</v>
      </c>
      <c r="U214">
        <v>5</v>
      </c>
      <c r="V214" t="s">
        <v>42</v>
      </c>
      <c r="W214" t="s">
        <v>474</v>
      </c>
      <c r="X214" s="6" t="str">
        <f t="shared" si="0"/>
        <v>441814973</v>
      </c>
      <c r="Y214" s="7" t="str">
        <f t="shared" si="1"/>
        <v>RP</v>
      </c>
      <c r="Z214" s="7">
        <f t="shared" si="2"/>
        <v>366</v>
      </c>
      <c r="AA214" s="7">
        <f t="shared" si="3"/>
        <v>366</v>
      </c>
      <c r="AB214" s="7">
        <f t="shared" si="4"/>
        <v>366</v>
      </c>
      <c r="AC214" s="7">
        <f t="shared" si="5"/>
        <v>366</v>
      </c>
      <c r="AD214" s="7">
        <f t="shared" si="6"/>
        <v>366</v>
      </c>
      <c r="AE214" s="8" t="str" cm="1">
        <f t="array" ref="AE214">IFERROR(_xlfn.XLOOKUP(H214,Sheet1!$G:$G,Sheet1!$F:$F),IFERROR(_xlfn.XLOOKUP(1,(--($X$2:$X$1074=X214))*(--ISNUMBER(MATCH($H$2:$H$1074,Sheet1!$G:$G,0))),_xlfn.XLOOKUP($H$2:$H$1074,Sheet1!$G:$G,Sheet1!$F:$F,"")),"NOT FOUND"))</f>
        <v>GETKRTSCUT7163</v>
      </c>
      <c r="AF214" s="9" t="str">
        <f t="shared" si="13"/>
        <v>BLACK</v>
      </c>
      <c r="AG214" s="10" t="str">
        <f t="shared" si="14"/>
        <v>JHAJJAR</v>
      </c>
      <c r="AH214" s="8" t="str" cm="1">
        <f t="array" ref="AH214">IF(OR(J214="",AE214="",AE214="NOT FOUND"),"",IF(Y214="RP",_xlfn.LET(_xlpm.desc,_xlfn.XLOOKUP(1,(--(Sheet1!$F$2:$F$754=AE214))*(--ISNUMBER(FIND("-",Sheet1!$W$2:$W$754,FIND("-",Sheet1!$W$2:$W$754)+1))),Sheet1!$W$2:$W$754,""),IF(_xlpm.desc="","NOT FOUND",LEFT(_xlpm.desc,FIND("-",_xlpm.desc,FIND("-",_xlpm.desc)+1))&amp;AE214)),LEFT(J214,FIND("-",J214,FIND("-",J214)+1))&amp;AE214))</f>
        <v>KRTS-APWN26-GETKRTSCUT7163</v>
      </c>
    </row>
    <row r="215" spans="1:34" ht="15.75" customHeight="1" x14ac:dyDescent="0.2">
      <c r="A215" t="s">
        <v>61</v>
      </c>
      <c r="B215" t="s">
        <v>918</v>
      </c>
      <c r="C215" t="s">
        <v>1152</v>
      </c>
      <c r="D215" t="s">
        <v>1154</v>
      </c>
      <c r="E215" t="s">
        <v>34</v>
      </c>
      <c r="F215" t="s">
        <v>35</v>
      </c>
      <c r="G215" t="s">
        <v>36</v>
      </c>
      <c r="H215" t="s">
        <v>833</v>
      </c>
      <c r="I215" t="s">
        <v>834</v>
      </c>
      <c r="J215" t="s">
        <v>835</v>
      </c>
      <c r="K215" t="s">
        <v>474</v>
      </c>
      <c r="L215" t="s">
        <v>40</v>
      </c>
      <c r="M215">
        <v>1</v>
      </c>
      <c r="N215">
        <v>210</v>
      </c>
      <c r="O215">
        <v>210</v>
      </c>
      <c r="P215" t="s">
        <v>41</v>
      </c>
      <c r="Q215">
        <v>1398.5</v>
      </c>
      <c r="R215">
        <v>1398.5</v>
      </c>
      <c r="S215">
        <v>14684.25</v>
      </c>
      <c r="T215">
        <v>293685</v>
      </c>
      <c r="U215">
        <v>5</v>
      </c>
      <c r="V215" t="s">
        <v>42</v>
      </c>
      <c r="W215" t="s">
        <v>474</v>
      </c>
      <c r="X215" s="6" t="str">
        <f t="shared" si="0"/>
        <v>441814967</v>
      </c>
      <c r="Y215" s="7" t="str">
        <f t="shared" si="1"/>
        <v>RP</v>
      </c>
      <c r="Z215" s="7">
        <f t="shared" si="2"/>
        <v>210</v>
      </c>
      <c r="AA215" s="7">
        <f t="shared" si="3"/>
        <v>210</v>
      </c>
      <c r="AB215" s="7">
        <f t="shared" si="4"/>
        <v>210</v>
      </c>
      <c r="AC215" s="7">
        <f t="shared" si="5"/>
        <v>210</v>
      </c>
      <c r="AD215" s="7">
        <f t="shared" si="6"/>
        <v>210</v>
      </c>
      <c r="AE215" s="8" t="str" cm="1">
        <f t="array" ref="AE215">IFERROR(_xlfn.XLOOKUP(H215,Sheet1!$G:$G,Sheet1!$F:$F),IFERROR(_xlfn.XLOOKUP(1,(--($X$2:$X$1074=X215))*(--ISNUMBER(MATCH($H$2:$H$1074,Sheet1!$G:$G,0))),_xlfn.XLOOKUP($H$2:$H$1074,Sheet1!$G:$G,Sheet1!$F:$F,"")),"NOT FOUND"))</f>
        <v>GETKRTSFUT6420</v>
      </c>
      <c r="AF215" s="9" t="str">
        <f t="shared" si="13"/>
        <v>MINT</v>
      </c>
      <c r="AG215" s="10" t="str">
        <f t="shared" si="14"/>
        <v>HARIPAL</v>
      </c>
      <c r="AH215" s="8" t="str" cm="1">
        <f t="array" ref="AH215">IF(OR(J215="",AE215="",AE215="NOT FOUND"),"",IF(Y215="RP",_xlfn.LET(_xlpm.desc,_xlfn.XLOOKUP(1,(--(Sheet1!$F$2:$F$754=AE215))*(--ISNUMBER(FIND("-",Sheet1!$W$2:$W$754,FIND("-",Sheet1!$W$2:$W$754)+1))),Sheet1!$W$2:$W$754,""),IF(_xlpm.desc="","NOT FOUND",LEFT(_xlpm.desc,FIND("-",_xlpm.desc,FIND("-",_xlpm.desc)+1))&amp;AE215)),LEFT(J215,FIND("-",J215,FIND("-",J215)+1))&amp;AE215))</f>
        <v>KRTS-APWN26-GETKRTSFUT6420</v>
      </c>
    </row>
    <row r="216" spans="1:34" ht="15.75" customHeight="1" x14ac:dyDescent="0.2">
      <c r="A216" t="s">
        <v>61</v>
      </c>
      <c r="B216" t="s">
        <v>919</v>
      </c>
      <c r="C216" t="s">
        <v>1152</v>
      </c>
      <c r="D216" t="s">
        <v>1154</v>
      </c>
      <c r="E216" t="s">
        <v>34</v>
      </c>
      <c r="F216" t="s">
        <v>35</v>
      </c>
      <c r="G216" t="s">
        <v>36</v>
      </c>
      <c r="H216" t="s">
        <v>837</v>
      </c>
      <c r="I216" t="s">
        <v>838</v>
      </c>
      <c r="J216" t="s">
        <v>839</v>
      </c>
      <c r="K216" t="s">
        <v>474</v>
      </c>
      <c r="L216" t="s">
        <v>40</v>
      </c>
      <c r="M216">
        <v>1</v>
      </c>
      <c r="N216">
        <v>210</v>
      </c>
      <c r="O216">
        <v>210</v>
      </c>
      <c r="P216" t="s">
        <v>41</v>
      </c>
      <c r="Q216">
        <v>1383.5</v>
      </c>
      <c r="R216">
        <v>1383.5</v>
      </c>
      <c r="S216">
        <v>14526.75</v>
      </c>
      <c r="T216">
        <v>290535</v>
      </c>
      <c r="U216">
        <v>5</v>
      </c>
      <c r="V216" t="s">
        <v>42</v>
      </c>
      <c r="W216" t="s">
        <v>474</v>
      </c>
      <c r="X216" s="6" t="str">
        <f t="shared" si="0"/>
        <v>441814968</v>
      </c>
      <c r="Y216" s="7" t="str">
        <f t="shared" si="1"/>
        <v>RP</v>
      </c>
      <c r="Z216" s="7">
        <f t="shared" si="2"/>
        <v>210</v>
      </c>
      <c r="AA216" s="7">
        <f t="shared" si="3"/>
        <v>210</v>
      </c>
      <c r="AB216" s="7">
        <f t="shared" si="4"/>
        <v>210</v>
      </c>
      <c r="AC216" s="7">
        <f t="shared" si="5"/>
        <v>210</v>
      </c>
      <c r="AD216" s="7">
        <f t="shared" si="6"/>
        <v>210</v>
      </c>
      <c r="AE216" s="8" t="str" cm="1">
        <f t="array" ref="AE216">IFERROR(_xlfn.XLOOKUP(H216,Sheet1!$G:$G,Sheet1!$F:$F),IFERROR(_xlfn.XLOOKUP(1,(--($X$2:$X$1074=X216))*(--ISNUMBER(MATCH($H$2:$H$1074,Sheet1!$G:$G,0))),_xlfn.XLOOKUP($H$2:$H$1074,Sheet1!$G:$G,Sheet1!$F:$F,"")),"NOT FOUND"))</f>
        <v>GETKRTSFUT6421</v>
      </c>
      <c r="AF216" s="9" t="str">
        <f t="shared" si="13"/>
        <v>DARK GREY</v>
      </c>
      <c r="AG216" s="10" t="str">
        <f t="shared" si="14"/>
        <v>HARIPAL</v>
      </c>
      <c r="AH216" s="8" t="str" cm="1">
        <f t="array" ref="AH216">IF(OR(J216="",AE216="",AE216="NOT FOUND"),"",IF(Y216="RP",_xlfn.LET(_xlpm.desc,_xlfn.XLOOKUP(1,(--(Sheet1!$F$2:$F$754=AE216))*(--ISNUMBER(FIND("-",Sheet1!$W$2:$W$754,FIND("-",Sheet1!$W$2:$W$754)+1))),Sheet1!$W$2:$W$754,""),IF(_xlpm.desc="","NOT FOUND",LEFT(_xlpm.desc,FIND("-",_xlpm.desc,FIND("-",_xlpm.desc)+1))&amp;AE216)),LEFT(J216,FIND("-",J216,FIND("-",J216)+1))&amp;AE216))</f>
        <v>KRTS-APWN26-GETKRTSFUT6421</v>
      </c>
    </row>
    <row r="217" spans="1:34" ht="15.75" customHeight="1" x14ac:dyDescent="0.2">
      <c r="A217" t="s">
        <v>61</v>
      </c>
      <c r="B217" t="s">
        <v>920</v>
      </c>
      <c r="C217" t="s">
        <v>1152</v>
      </c>
      <c r="D217" t="s">
        <v>1154</v>
      </c>
      <c r="E217" t="s">
        <v>34</v>
      </c>
      <c r="F217" t="s">
        <v>35</v>
      </c>
      <c r="G217" t="s">
        <v>36</v>
      </c>
      <c r="H217" t="s">
        <v>853</v>
      </c>
      <c r="I217" t="s">
        <v>854</v>
      </c>
      <c r="J217" t="s">
        <v>855</v>
      </c>
      <c r="K217" t="s">
        <v>474</v>
      </c>
      <c r="L217" t="s">
        <v>40</v>
      </c>
      <c r="M217">
        <v>1</v>
      </c>
      <c r="N217">
        <v>210</v>
      </c>
      <c r="O217">
        <v>210</v>
      </c>
      <c r="P217" t="s">
        <v>41</v>
      </c>
      <c r="Q217">
        <v>1398.5</v>
      </c>
      <c r="R217">
        <v>1398.5</v>
      </c>
      <c r="S217">
        <v>14684.25</v>
      </c>
      <c r="T217">
        <v>293685</v>
      </c>
      <c r="U217">
        <v>5</v>
      </c>
      <c r="V217" t="s">
        <v>42</v>
      </c>
      <c r="W217" t="s">
        <v>474</v>
      </c>
      <c r="X217" s="6" t="str">
        <f t="shared" si="0"/>
        <v>441814964</v>
      </c>
      <c r="Y217" s="7" t="str">
        <f t="shared" si="1"/>
        <v>RP</v>
      </c>
      <c r="Z217" s="7">
        <f t="shared" si="2"/>
        <v>210</v>
      </c>
      <c r="AA217" s="7">
        <f t="shared" si="3"/>
        <v>210</v>
      </c>
      <c r="AB217" s="7">
        <f t="shared" si="4"/>
        <v>210</v>
      </c>
      <c r="AC217" s="7">
        <f t="shared" si="5"/>
        <v>210</v>
      </c>
      <c r="AD217" s="7">
        <f t="shared" si="6"/>
        <v>210</v>
      </c>
      <c r="AE217" s="8" t="str" cm="1">
        <f t="array" ref="AE217">IFERROR(_xlfn.XLOOKUP(H217,Sheet1!$G:$G,Sheet1!$F:$F),IFERROR(_xlfn.XLOOKUP(1,(--($X$2:$X$1074=X217))*(--ISNUMBER(MATCH($H$2:$H$1074,Sheet1!$G:$G,0))),_xlfn.XLOOKUP($H$2:$H$1074,Sheet1!$G:$G,Sheet1!$F:$F,"")),"NOT FOUND"))</f>
        <v>GETKRTSFUT6417</v>
      </c>
      <c r="AF217" s="9" t="str">
        <f t="shared" si="13"/>
        <v>MUSTARD</v>
      </c>
      <c r="AG217" s="10" t="str">
        <f t="shared" si="14"/>
        <v>HARIPAL</v>
      </c>
      <c r="AH217" s="8" t="str" cm="1">
        <f t="array" ref="AH217">IF(OR(J217="",AE217="",AE217="NOT FOUND"),"",IF(Y217="RP",_xlfn.LET(_xlpm.desc,_xlfn.XLOOKUP(1,(--(Sheet1!$F$2:$F$754=AE217))*(--ISNUMBER(FIND("-",Sheet1!$W$2:$W$754,FIND("-",Sheet1!$W$2:$W$754)+1))),Sheet1!$W$2:$W$754,""),IF(_xlpm.desc="","NOT FOUND",LEFT(_xlpm.desc,FIND("-",_xlpm.desc,FIND("-",_xlpm.desc)+1))&amp;AE217)),LEFT(J217,FIND("-",J217,FIND("-",J217)+1))&amp;AE217))</f>
        <v>KRTS-APWN26-GETKRTSFUT6417</v>
      </c>
    </row>
    <row r="218" spans="1:34" ht="15.75" customHeight="1" x14ac:dyDescent="0.2">
      <c r="A218" t="s">
        <v>61</v>
      </c>
      <c r="B218" t="s">
        <v>921</v>
      </c>
      <c r="C218" t="s">
        <v>1152</v>
      </c>
      <c r="D218" t="s">
        <v>1154</v>
      </c>
      <c r="E218" t="s">
        <v>34</v>
      </c>
      <c r="F218" t="s">
        <v>35</v>
      </c>
      <c r="G218" t="s">
        <v>36</v>
      </c>
      <c r="H218" t="s">
        <v>841</v>
      </c>
      <c r="I218" t="s">
        <v>842</v>
      </c>
      <c r="J218" t="s">
        <v>843</v>
      </c>
      <c r="K218" t="s">
        <v>474</v>
      </c>
      <c r="L218" t="s">
        <v>40</v>
      </c>
      <c r="M218">
        <v>1</v>
      </c>
      <c r="N218">
        <v>210</v>
      </c>
      <c r="O218">
        <v>210</v>
      </c>
      <c r="P218" t="s">
        <v>41</v>
      </c>
      <c r="Q218">
        <v>1398.5</v>
      </c>
      <c r="R218">
        <v>1398.5</v>
      </c>
      <c r="S218">
        <v>14684.25</v>
      </c>
      <c r="T218">
        <v>293685</v>
      </c>
      <c r="U218">
        <v>5</v>
      </c>
      <c r="V218" t="s">
        <v>42</v>
      </c>
      <c r="W218" t="s">
        <v>474</v>
      </c>
      <c r="X218" s="6" t="str">
        <f t="shared" si="0"/>
        <v>441814965</v>
      </c>
      <c r="Y218" s="7" t="str">
        <f t="shared" si="1"/>
        <v>RP</v>
      </c>
      <c r="Z218" s="7">
        <f t="shared" si="2"/>
        <v>210</v>
      </c>
      <c r="AA218" s="7">
        <f t="shared" si="3"/>
        <v>210</v>
      </c>
      <c r="AB218" s="7">
        <f t="shared" si="4"/>
        <v>210</v>
      </c>
      <c r="AC218" s="7">
        <f t="shared" si="5"/>
        <v>210</v>
      </c>
      <c r="AD218" s="7">
        <f t="shared" si="6"/>
        <v>210</v>
      </c>
      <c r="AE218" s="8" t="str" cm="1">
        <f t="array" ref="AE218">IFERROR(_xlfn.XLOOKUP(H218,Sheet1!$G:$G,Sheet1!$F:$F),IFERROR(_xlfn.XLOOKUP(1,(--($X$2:$X$1074=X218))*(--ISNUMBER(MATCH($H$2:$H$1074,Sheet1!$G:$G,0))),_xlfn.XLOOKUP($H$2:$H$1074,Sheet1!$G:$G,Sheet1!$F:$F,"")),"NOT FOUND"))</f>
        <v>GETKRTSFUT6418</v>
      </c>
      <c r="AF218" s="9" t="str">
        <f t="shared" si="13"/>
        <v>TEAL</v>
      </c>
      <c r="AG218" s="10" t="str">
        <f t="shared" si="14"/>
        <v>HARIPAL</v>
      </c>
      <c r="AH218" s="8" t="str" cm="1">
        <f t="array" ref="AH218">IF(OR(J218="",AE218="",AE218="NOT FOUND"),"",IF(Y218="RP",_xlfn.LET(_xlpm.desc,_xlfn.XLOOKUP(1,(--(Sheet1!$F$2:$F$754=AE218))*(--ISNUMBER(FIND("-",Sheet1!$W$2:$W$754,FIND("-",Sheet1!$W$2:$W$754)+1))),Sheet1!$W$2:$W$754,""),IF(_xlpm.desc="","NOT FOUND",LEFT(_xlpm.desc,FIND("-",_xlpm.desc,FIND("-",_xlpm.desc)+1))&amp;AE218)),LEFT(J218,FIND("-",J218,FIND("-",J218)+1))&amp;AE218))</f>
        <v>KRTS-APWN26-GETKRTSFUT6418</v>
      </c>
    </row>
    <row r="219" spans="1:34" ht="15.75" customHeight="1" x14ac:dyDescent="0.2">
      <c r="A219" t="s">
        <v>61</v>
      </c>
      <c r="B219" t="s">
        <v>922</v>
      </c>
      <c r="C219" t="s">
        <v>1152</v>
      </c>
      <c r="D219" t="s">
        <v>1154</v>
      </c>
      <c r="E219" t="s">
        <v>34</v>
      </c>
      <c r="F219" t="s">
        <v>35</v>
      </c>
      <c r="G219" t="s">
        <v>36</v>
      </c>
      <c r="H219" t="s">
        <v>849</v>
      </c>
      <c r="I219" t="s">
        <v>850</v>
      </c>
      <c r="J219" t="s">
        <v>851</v>
      </c>
      <c r="K219" t="s">
        <v>474</v>
      </c>
      <c r="L219" t="s">
        <v>40</v>
      </c>
      <c r="M219">
        <v>1</v>
      </c>
      <c r="N219">
        <v>210</v>
      </c>
      <c r="O219">
        <v>210</v>
      </c>
      <c r="P219" t="s">
        <v>41</v>
      </c>
      <c r="Q219">
        <v>1383.5</v>
      </c>
      <c r="R219">
        <v>1383.5</v>
      </c>
      <c r="S219">
        <v>14526.75</v>
      </c>
      <c r="T219">
        <v>290535</v>
      </c>
      <c r="U219">
        <v>5</v>
      </c>
      <c r="V219" t="s">
        <v>42</v>
      </c>
      <c r="W219" t="s">
        <v>474</v>
      </c>
      <c r="X219" s="6" t="str">
        <f t="shared" si="0"/>
        <v>441814966</v>
      </c>
      <c r="Y219" s="7" t="str">
        <f t="shared" si="1"/>
        <v>RP</v>
      </c>
      <c r="Z219" s="7">
        <f t="shared" si="2"/>
        <v>210</v>
      </c>
      <c r="AA219" s="7">
        <f t="shared" si="3"/>
        <v>210</v>
      </c>
      <c r="AB219" s="7">
        <f t="shared" si="4"/>
        <v>210</v>
      </c>
      <c r="AC219" s="7">
        <f t="shared" si="5"/>
        <v>210</v>
      </c>
      <c r="AD219" s="7">
        <f t="shared" si="6"/>
        <v>210</v>
      </c>
      <c r="AE219" s="8" t="str" cm="1">
        <f t="array" ref="AE219">IFERROR(_xlfn.XLOOKUP(H219,Sheet1!$G:$G,Sheet1!$F:$F),IFERROR(_xlfn.XLOOKUP(1,(--($X$2:$X$1074=X219))*(--ISNUMBER(MATCH($H$2:$H$1074,Sheet1!$G:$G,0))),_xlfn.XLOOKUP($H$2:$H$1074,Sheet1!$G:$G,Sheet1!$F:$F,"")),"NOT FOUND"))</f>
        <v>GETKRTSFUT6419</v>
      </c>
      <c r="AF219" s="9" t="str">
        <f t="shared" si="13"/>
        <v>LIGHT RED</v>
      </c>
      <c r="AG219" s="10" t="str">
        <f t="shared" si="14"/>
        <v>HARIPAL</v>
      </c>
      <c r="AH219" s="8" t="str" cm="1">
        <f t="array" ref="AH219">IF(OR(J219="",AE219="",AE219="NOT FOUND"),"",IF(Y219="RP",_xlfn.LET(_xlpm.desc,_xlfn.XLOOKUP(1,(--(Sheet1!$F$2:$F$754=AE219))*(--ISNUMBER(FIND("-",Sheet1!$W$2:$W$754,FIND("-",Sheet1!$W$2:$W$754)+1))),Sheet1!$W$2:$W$754,""),IF(_xlpm.desc="","NOT FOUND",LEFT(_xlpm.desc,FIND("-",_xlpm.desc,FIND("-",_xlpm.desc)+1))&amp;AE219)),LEFT(J219,FIND("-",J219,FIND("-",J219)+1))&amp;AE219))</f>
        <v>KRTS-APWN26-GETKRTSFUT6419</v>
      </c>
    </row>
    <row r="220" spans="1:34" ht="15.75" customHeight="1" x14ac:dyDescent="0.2">
      <c r="A220" t="s">
        <v>61</v>
      </c>
      <c r="B220" t="s">
        <v>923</v>
      </c>
      <c r="C220" t="s">
        <v>1152</v>
      </c>
      <c r="D220" t="s">
        <v>1155</v>
      </c>
      <c r="E220" t="s">
        <v>34</v>
      </c>
      <c r="F220" t="s">
        <v>35</v>
      </c>
      <c r="G220" t="s">
        <v>36</v>
      </c>
      <c r="H220" t="s">
        <v>894</v>
      </c>
      <c r="I220" t="s">
        <v>895</v>
      </c>
      <c r="J220" t="s">
        <v>897</v>
      </c>
      <c r="K220" t="s">
        <v>474</v>
      </c>
      <c r="L220" t="s">
        <v>40</v>
      </c>
      <c r="M220">
        <v>1</v>
      </c>
      <c r="N220">
        <v>297</v>
      </c>
      <c r="O220">
        <v>297</v>
      </c>
      <c r="P220" t="s">
        <v>41</v>
      </c>
      <c r="Q220">
        <v>1198.5</v>
      </c>
      <c r="R220">
        <v>1198.5</v>
      </c>
      <c r="S220">
        <v>17797.73</v>
      </c>
      <c r="T220">
        <v>355954.5</v>
      </c>
      <c r="U220">
        <v>5</v>
      </c>
      <c r="V220" t="s">
        <v>42</v>
      </c>
      <c r="W220" t="s">
        <v>474</v>
      </c>
      <c r="X220" s="6" t="str">
        <f t="shared" si="0"/>
        <v>441814973</v>
      </c>
      <c r="Y220" s="7" t="str">
        <f t="shared" si="1"/>
        <v>RP</v>
      </c>
      <c r="Z220" s="7">
        <f t="shared" si="2"/>
        <v>297</v>
      </c>
      <c r="AA220" s="7">
        <f t="shared" si="3"/>
        <v>297</v>
      </c>
      <c r="AB220" s="7">
        <f t="shared" si="4"/>
        <v>297</v>
      </c>
      <c r="AC220" s="7">
        <f t="shared" si="5"/>
        <v>297</v>
      </c>
      <c r="AD220" s="7">
        <f t="shared" si="6"/>
        <v>297</v>
      </c>
      <c r="AE220" s="8" t="str" cm="1">
        <f t="array" ref="AE220">IFERROR(_xlfn.XLOOKUP(H220,Sheet1!$G:$G,Sheet1!$F:$F),IFERROR(_xlfn.XLOOKUP(1,(--($X$2:$X$1074=X220))*(--ISNUMBER(MATCH($H$2:$H$1074,Sheet1!$G:$G,0))),_xlfn.XLOOKUP($H$2:$H$1074,Sheet1!$G:$G,Sheet1!$F:$F,"")),"NOT FOUND"))</f>
        <v>GETKRTSCUT7163</v>
      </c>
      <c r="AF220" s="9" t="str">
        <f t="shared" si="13"/>
        <v>BLACK</v>
      </c>
      <c r="AG220" s="10" t="str">
        <f t="shared" si="14"/>
        <v>HARIPAL</v>
      </c>
      <c r="AH220" s="8" t="str" cm="1">
        <f t="array" ref="AH220">IF(OR(J220="",AE220="",AE220="NOT FOUND"),"",IF(Y220="RP",_xlfn.LET(_xlpm.desc,_xlfn.XLOOKUP(1,(--(Sheet1!$F$2:$F$754=AE220))*(--ISNUMBER(FIND("-",Sheet1!$W$2:$W$754,FIND("-",Sheet1!$W$2:$W$754)+1))),Sheet1!$W$2:$W$754,""),IF(_xlpm.desc="","NOT FOUND",LEFT(_xlpm.desc,FIND("-",_xlpm.desc,FIND("-",_xlpm.desc)+1))&amp;AE220)),LEFT(J220,FIND("-",J220,FIND("-",J220)+1))&amp;AE220))</f>
        <v>KRTS-APWN26-GETKRTSCUT7163</v>
      </c>
    </row>
    <row r="221" spans="1:34" ht="15.75" customHeight="1" x14ac:dyDescent="0.2">
      <c r="A221" t="s">
        <v>61</v>
      </c>
      <c r="B221" t="s">
        <v>924</v>
      </c>
      <c r="C221" t="s">
        <v>1152</v>
      </c>
      <c r="D221" t="s">
        <v>1153</v>
      </c>
      <c r="E221" t="s">
        <v>34</v>
      </c>
      <c r="F221" t="s">
        <v>35</v>
      </c>
      <c r="G221" t="s">
        <v>36</v>
      </c>
      <c r="H221" t="s">
        <v>879</v>
      </c>
      <c r="I221" t="s">
        <v>880</v>
      </c>
      <c r="J221" t="s">
        <v>881</v>
      </c>
      <c r="K221" t="s">
        <v>474</v>
      </c>
      <c r="L221" t="s">
        <v>40</v>
      </c>
      <c r="M221">
        <v>1</v>
      </c>
      <c r="N221">
        <v>210</v>
      </c>
      <c r="O221">
        <v>210</v>
      </c>
      <c r="P221" t="s">
        <v>41</v>
      </c>
      <c r="Q221">
        <v>1348.5</v>
      </c>
      <c r="R221">
        <v>1348.5</v>
      </c>
      <c r="S221">
        <v>14159.25</v>
      </c>
      <c r="T221">
        <v>283185</v>
      </c>
      <c r="U221">
        <v>5</v>
      </c>
      <c r="V221" t="s">
        <v>42</v>
      </c>
      <c r="W221" t="s">
        <v>474</v>
      </c>
      <c r="X221" s="6" t="str">
        <f t="shared" si="0"/>
        <v>441814971</v>
      </c>
      <c r="Y221" s="7" t="str">
        <f t="shared" si="1"/>
        <v>RP</v>
      </c>
      <c r="Z221" s="7">
        <f t="shared" si="2"/>
        <v>210</v>
      </c>
      <c r="AA221" s="7">
        <f t="shared" si="3"/>
        <v>210</v>
      </c>
      <c r="AB221" s="7">
        <f t="shared" si="4"/>
        <v>210</v>
      </c>
      <c r="AC221" s="7">
        <f t="shared" si="5"/>
        <v>210</v>
      </c>
      <c r="AD221" s="7">
        <f t="shared" si="6"/>
        <v>210</v>
      </c>
      <c r="AE221" s="8" t="str" cm="1">
        <f t="array" ref="AE221">IFERROR(_xlfn.XLOOKUP(H221,Sheet1!$G:$G,Sheet1!$F:$F),IFERROR(_xlfn.XLOOKUP(1,(--($X$2:$X$1074=X221))*(--ISNUMBER(MATCH($H$2:$H$1074,Sheet1!$G:$G,0))),_xlfn.XLOOKUP($H$2:$H$1074,Sheet1!$G:$G,Sheet1!$F:$F,"")),"NOT FOUND"))</f>
        <v>GETKRTSFUT6452</v>
      </c>
      <c r="AF221" s="9" t="str">
        <f t="shared" si="13"/>
        <v>CREAM</v>
      </c>
      <c r="AG221" s="10" t="str">
        <f t="shared" si="14"/>
        <v>HARIPAL</v>
      </c>
      <c r="AH221" s="8" t="str" cm="1">
        <f t="array" ref="AH221">IF(OR(J221="",AE221="",AE221="NOT FOUND"),"",IF(Y221="RP",_xlfn.LET(_xlpm.desc,_xlfn.XLOOKUP(1,(--(Sheet1!$F$2:$F$754=AE221))*(--ISNUMBER(FIND("-",Sheet1!$W$2:$W$754,FIND("-",Sheet1!$W$2:$W$754)+1))),Sheet1!$W$2:$W$754,""),IF(_xlpm.desc="","NOT FOUND",LEFT(_xlpm.desc,FIND("-",_xlpm.desc,FIND("-",_xlpm.desc)+1))&amp;AE221)),LEFT(J221,FIND("-",J221,FIND("-",J221)+1))&amp;AE221))</f>
        <v>KRTS-APWN26-GETKRTSFUT6452</v>
      </c>
    </row>
    <row r="222" spans="1:34" ht="15.75" customHeight="1" x14ac:dyDescent="0.2">
      <c r="A222" t="s">
        <v>61</v>
      </c>
      <c r="B222" t="s">
        <v>925</v>
      </c>
      <c r="C222" t="s">
        <v>1152</v>
      </c>
      <c r="D222" t="s">
        <v>1155</v>
      </c>
      <c r="E222" t="s">
        <v>34</v>
      </c>
      <c r="F222" t="s">
        <v>35</v>
      </c>
      <c r="G222" t="s">
        <v>36</v>
      </c>
      <c r="H222" t="s">
        <v>884</v>
      </c>
      <c r="I222" t="s">
        <v>885</v>
      </c>
      <c r="J222" t="s">
        <v>887</v>
      </c>
      <c r="K222" t="s">
        <v>474</v>
      </c>
      <c r="L222" t="s">
        <v>40</v>
      </c>
      <c r="M222">
        <v>1</v>
      </c>
      <c r="N222">
        <v>126</v>
      </c>
      <c r="O222">
        <v>126</v>
      </c>
      <c r="P222" t="s">
        <v>41</v>
      </c>
      <c r="Q222">
        <v>1398.5</v>
      </c>
      <c r="R222">
        <v>1398.5</v>
      </c>
      <c r="S222">
        <v>8810.5499999999993</v>
      </c>
      <c r="T222">
        <v>176211</v>
      </c>
      <c r="U222">
        <v>5</v>
      </c>
      <c r="V222" t="s">
        <v>42</v>
      </c>
      <c r="W222" t="s">
        <v>474</v>
      </c>
      <c r="X222" s="6" t="str">
        <f t="shared" si="0"/>
        <v>441814972</v>
      </c>
      <c r="Y222" s="7" t="str">
        <f t="shared" si="1"/>
        <v>RP</v>
      </c>
      <c r="Z222" s="7">
        <f t="shared" si="2"/>
        <v>126</v>
      </c>
      <c r="AA222" s="7">
        <f t="shared" si="3"/>
        <v>126</v>
      </c>
      <c r="AB222" s="7">
        <f t="shared" si="4"/>
        <v>126</v>
      </c>
      <c r="AC222" s="7">
        <f t="shared" si="5"/>
        <v>126</v>
      </c>
      <c r="AD222" s="7">
        <f t="shared" si="6"/>
        <v>126</v>
      </c>
      <c r="AE222" s="8" t="str" cm="1">
        <f t="array" ref="AE222">IFERROR(_xlfn.XLOOKUP(H222,Sheet1!$G:$G,Sheet1!$F:$F),IFERROR(_xlfn.XLOOKUP(1,(--($X$2:$X$1074=X222))*(--ISNUMBER(MATCH($H$2:$H$1074,Sheet1!$G:$G,0))),_xlfn.XLOOKUP($H$2:$H$1074,Sheet1!$G:$G,Sheet1!$F:$F,"")),"NOT FOUND"))</f>
        <v>GETKRTSFUT6457</v>
      </c>
      <c r="AF222" s="9" t="str">
        <f t="shared" si="13"/>
        <v>BLACK</v>
      </c>
      <c r="AG222" s="10" t="str">
        <f t="shared" si="14"/>
        <v>HARIPAL</v>
      </c>
      <c r="AH222" s="8" t="str" cm="1">
        <f t="array" ref="AH222">IF(OR(J222="",AE222="",AE222="NOT FOUND"),"",IF(Y222="RP",_xlfn.LET(_xlpm.desc,_xlfn.XLOOKUP(1,(--(Sheet1!$F$2:$F$754=AE222))*(--ISNUMBER(FIND("-",Sheet1!$W$2:$W$754,FIND("-",Sheet1!$W$2:$W$754)+1))),Sheet1!$W$2:$W$754,""),IF(_xlpm.desc="","NOT FOUND",LEFT(_xlpm.desc,FIND("-",_xlpm.desc,FIND("-",_xlpm.desc)+1))&amp;AE222)),LEFT(J222,FIND("-",J222,FIND("-",J222)+1))&amp;AE222))</f>
        <v>KRTS-APWN26-GETKRTSFUT6457</v>
      </c>
    </row>
    <row r="223" spans="1:34" ht="15.75" customHeight="1" x14ac:dyDescent="0.2">
      <c r="A223" t="s">
        <v>61</v>
      </c>
      <c r="B223" t="s">
        <v>926</v>
      </c>
      <c r="C223" t="s">
        <v>1152</v>
      </c>
      <c r="D223" t="s">
        <v>1154</v>
      </c>
      <c r="E223" t="s">
        <v>34</v>
      </c>
      <c r="F223" t="s">
        <v>35</v>
      </c>
      <c r="G223" t="s">
        <v>36</v>
      </c>
      <c r="H223" t="s">
        <v>845</v>
      </c>
      <c r="I223" t="s">
        <v>846</v>
      </c>
      <c r="J223" t="s">
        <v>847</v>
      </c>
      <c r="K223" t="s">
        <v>474</v>
      </c>
      <c r="L223" t="s">
        <v>40</v>
      </c>
      <c r="M223">
        <v>1</v>
      </c>
      <c r="N223">
        <v>210</v>
      </c>
      <c r="O223">
        <v>210</v>
      </c>
      <c r="P223" t="s">
        <v>41</v>
      </c>
      <c r="Q223">
        <v>1398.5</v>
      </c>
      <c r="R223">
        <v>1398.5</v>
      </c>
      <c r="S223">
        <v>14684.25</v>
      </c>
      <c r="T223">
        <v>293685</v>
      </c>
      <c r="U223">
        <v>5</v>
      </c>
      <c r="V223" t="s">
        <v>42</v>
      </c>
      <c r="W223" t="s">
        <v>474</v>
      </c>
      <c r="X223" s="6" t="str">
        <f t="shared" si="0"/>
        <v>441814963</v>
      </c>
      <c r="Y223" s="7" t="str">
        <f t="shared" si="1"/>
        <v>RP</v>
      </c>
      <c r="Z223" s="7">
        <f t="shared" si="2"/>
        <v>210</v>
      </c>
      <c r="AA223" s="7">
        <f t="shared" si="3"/>
        <v>210</v>
      </c>
      <c r="AB223" s="7">
        <f t="shared" si="4"/>
        <v>210</v>
      </c>
      <c r="AC223" s="7">
        <f t="shared" si="5"/>
        <v>210</v>
      </c>
      <c r="AD223" s="7">
        <f t="shared" si="6"/>
        <v>210</v>
      </c>
      <c r="AE223" s="8" t="str" cm="1">
        <f t="array" ref="AE223">IFERROR(_xlfn.XLOOKUP(H223,Sheet1!$G:$G,Sheet1!$F:$F),IFERROR(_xlfn.XLOOKUP(1,(--($X$2:$X$1074=X223))*(--ISNUMBER(MATCH($H$2:$H$1074,Sheet1!$G:$G,0))),_xlfn.XLOOKUP($H$2:$H$1074,Sheet1!$G:$G,Sheet1!$F:$F,"")),"NOT FOUND"))</f>
        <v>GETKRTSFUT6416</v>
      </c>
      <c r="AF223" s="9" t="str">
        <f t="shared" si="13"/>
        <v>MAUVE</v>
      </c>
      <c r="AG223" s="10" t="str">
        <f t="shared" si="14"/>
        <v>HARIPAL</v>
      </c>
      <c r="AH223" s="8" t="str" cm="1">
        <f t="array" ref="AH223">IF(OR(J223="",AE223="",AE223="NOT FOUND"),"",IF(Y223="RP",_xlfn.LET(_xlpm.desc,_xlfn.XLOOKUP(1,(--(Sheet1!$F$2:$F$754=AE223))*(--ISNUMBER(FIND("-",Sheet1!$W$2:$W$754,FIND("-",Sheet1!$W$2:$W$754)+1))),Sheet1!$W$2:$W$754,""),IF(_xlpm.desc="","NOT FOUND",LEFT(_xlpm.desc,FIND("-",_xlpm.desc,FIND("-",_xlpm.desc)+1))&amp;AE223)),LEFT(J223,FIND("-",J223,FIND("-",J223)+1))&amp;AE223))</f>
        <v>KRTS-APWN26-GETKRTSFUT6416</v>
      </c>
    </row>
    <row r="224" spans="1:34" ht="15.75" customHeight="1" x14ac:dyDescent="0.2">
      <c r="A224" t="s">
        <v>61</v>
      </c>
      <c r="B224" t="s">
        <v>927</v>
      </c>
      <c r="C224" t="s">
        <v>1152</v>
      </c>
      <c r="D224" t="s">
        <v>1154</v>
      </c>
      <c r="E224" t="s">
        <v>34</v>
      </c>
      <c r="F224" t="s">
        <v>35</v>
      </c>
      <c r="G224" t="s">
        <v>36</v>
      </c>
      <c r="H224" t="s">
        <v>857</v>
      </c>
      <c r="I224" t="s">
        <v>858</v>
      </c>
      <c r="J224" t="s">
        <v>859</v>
      </c>
      <c r="K224" t="s">
        <v>474</v>
      </c>
      <c r="L224" t="s">
        <v>40</v>
      </c>
      <c r="M224">
        <v>1</v>
      </c>
      <c r="N224">
        <v>210</v>
      </c>
      <c r="O224">
        <v>210</v>
      </c>
      <c r="P224" t="s">
        <v>41</v>
      </c>
      <c r="Q224">
        <v>1398.5</v>
      </c>
      <c r="R224">
        <v>1398.5</v>
      </c>
      <c r="S224">
        <v>14684.25</v>
      </c>
      <c r="T224">
        <v>293685</v>
      </c>
      <c r="U224">
        <v>5</v>
      </c>
      <c r="V224" t="s">
        <v>42</v>
      </c>
      <c r="W224" t="s">
        <v>474</v>
      </c>
      <c r="X224" s="6" t="str">
        <f t="shared" si="0"/>
        <v>441814962</v>
      </c>
      <c r="Y224" s="7" t="str">
        <f t="shared" si="1"/>
        <v>RP</v>
      </c>
      <c r="Z224" s="7">
        <f t="shared" si="2"/>
        <v>210</v>
      </c>
      <c r="AA224" s="7">
        <f t="shared" si="3"/>
        <v>210</v>
      </c>
      <c r="AB224" s="7">
        <f t="shared" si="4"/>
        <v>210</v>
      </c>
      <c r="AC224" s="7">
        <f t="shared" si="5"/>
        <v>210</v>
      </c>
      <c r="AD224" s="7">
        <f t="shared" si="6"/>
        <v>210</v>
      </c>
      <c r="AE224" s="8" t="str" cm="1">
        <f t="array" ref="AE224">IFERROR(_xlfn.XLOOKUP(H224,Sheet1!$G:$G,Sheet1!$F:$F),IFERROR(_xlfn.XLOOKUP(1,(--($X$2:$X$1074=X224))*(--ISNUMBER(MATCH($H$2:$H$1074,Sheet1!$G:$G,0))),_xlfn.XLOOKUP($H$2:$H$1074,Sheet1!$G:$G,Sheet1!$F:$F,"")),"NOT FOUND"))</f>
        <v>GETKRTSFUT6415B</v>
      </c>
      <c r="AF224" s="9" t="str">
        <f t="shared" si="13"/>
        <v>RUST</v>
      </c>
      <c r="AG224" s="10" t="str">
        <f t="shared" si="14"/>
        <v>HARIPAL</v>
      </c>
      <c r="AH224" s="8" t="str" cm="1">
        <f t="array" ref="AH224">IF(OR(J224="",AE224="",AE224="NOT FOUND"),"",IF(Y224="RP",_xlfn.LET(_xlpm.desc,_xlfn.XLOOKUP(1,(--(Sheet1!$F$2:$F$754=AE224))*(--ISNUMBER(FIND("-",Sheet1!$W$2:$W$754,FIND("-",Sheet1!$W$2:$W$754)+1))),Sheet1!$W$2:$W$754,""),IF(_xlpm.desc="","NOT FOUND",LEFT(_xlpm.desc,FIND("-",_xlpm.desc,FIND("-",_xlpm.desc)+1))&amp;AE224)),LEFT(J224,FIND("-",J224,FIND("-",J224)+1))&amp;AE224))</f>
        <v>KRTS-APWN26-GETKRTSFUT6415B</v>
      </c>
    </row>
    <row r="225" spans="1:34" ht="15.75" customHeight="1" x14ac:dyDescent="0.2">
      <c r="A225" t="s">
        <v>61</v>
      </c>
      <c r="B225" t="s">
        <v>928</v>
      </c>
      <c r="C225" t="s">
        <v>1152</v>
      </c>
      <c r="D225" t="s">
        <v>1154</v>
      </c>
      <c r="E225" t="s">
        <v>34</v>
      </c>
      <c r="F225" t="s">
        <v>35</v>
      </c>
      <c r="G225" t="s">
        <v>36</v>
      </c>
      <c r="H225" t="s">
        <v>861</v>
      </c>
      <c r="I225" t="s">
        <v>862</v>
      </c>
      <c r="J225" t="s">
        <v>863</v>
      </c>
      <c r="K225" t="s">
        <v>474</v>
      </c>
      <c r="L225" t="s">
        <v>40</v>
      </c>
      <c r="M225">
        <v>1</v>
      </c>
      <c r="N225">
        <v>210</v>
      </c>
      <c r="O225">
        <v>210</v>
      </c>
      <c r="P225" t="s">
        <v>41</v>
      </c>
      <c r="Q225">
        <v>1398.5</v>
      </c>
      <c r="R225">
        <v>1398.5</v>
      </c>
      <c r="S225">
        <v>14684.25</v>
      </c>
      <c r="T225">
        <v>293685</v>
      </c>
      <c r="U225">
        <v>5</v>
      </c>
      <c r="V225" t="s">
        <v>42</v>
      </c>
      <c r="W225" t="s">
        <v>474</v>
      </c>
      <c r="X225" s="6" t="str">
        <f t="shared" si="0"/>
        <v>441814961</v>
      </c>
      <c r="Y225" s="7" t="str">
        <f t="shared" si="1"/>
        <v>RP</v>
      </c>
      <c r="Z225" s="7">
        <f t="shared" si="2"/>
        <v>210</v>
      </c>
      <c r="AA225" s="7">
        <f t="shared" si="3"/>
        <v>210</v>
      </c>
      <c r="AB225" s="7">
        <f t="shared" si="4"/>
        <v>210</v>
      </c>
      <c r="AC225" s="7">
        <f t="shared" si="5"/>
        <v>210</v>
      </c>
      <c r="AD225" s="7">
        <f t="shared" si="6"/>
        <v>210</v>
      </c>
      <c r="AE225" s="8" t="str" cm="1">
        <f t="array" ref="AE225">IFERROR(_xlfn.XLOOKUP(H225,Sheet1!$G:$G,Sheet1!$F:$F),IFERROR(_xlfn.XLOOKUP(1,(--($X$2:$X$1074=X225))*(--ISNUMBER(MATCH($H$2:$H$1074,Sheet1!$G:$G,0))),_xlfn.XLOOKUP($H$2:$H$1074,Sheet1!$G:$G,Sheet1!$F:$F,"")),"NOT FOUND"))</f>
        <v>GETKRTSFUT6415</v>
      </c>
      <c r="AF225" s="9" t="str">
        <f t="shared" si="13"/>
        <v>NAVY</v>
      </c>
      <c r="AG225" s="10" t="str">
        <f t="shared" si="14"/>
        <v>HARIPAL</v>
      </c>
      <c r="AH225" s="8" t="str" cm="1">
        <f t="array" ref="AH225">IF(OR(J225="",AE225="",AE225="NOT FOUND"),"",IF(Y225="RP",_xlfn.LET(_xlpm.desc,_xlfn.XLOOKUP(1,(--(Sheet1!$F$2:$F$754=AE225))*(--ISNUMBER(FIND("-",Sheet1!$W$2:$W$754,FIND("-",Sheet1!$W$2:$W$754)+1))),Sheet1!$W$2:$W$754,""),IF(_xlpm.desc="","NOT FOUND",LEFT(_xlpm.desc,FIND("-",_xlpm.desc,FIND("-",_xlpm.desc)+1))&amp;AE225)),LEFT(J225,FIND("-",J225,FIND("-",J225)+1))&amp;AE225))</f>
        <v>KRTS-APWN26-GETKRTSFUT6415</v>
      </c>
    </row>
    <row r="226" spans="1:34" ht="15.75" customHeight="1" x14ac:dyDescent="0.2">
      <c r="A226" t="s">
        <v>61</v>
      </c>
      <c r="B226" t="s">
        <v>929</v>
      </c>
      <c r="C226" t="s">
        <v>1152</v>
      </c>
      <c r="D226" t="s">
        <v>1155</v>
      </c>
      <c r="E226" t="s">
        <v>34</v>
      </c>
      <c r="F226" t="s">
        <v>35</v>
      </c>
      <c r="G226" t="s">
        <v>36</v>
      </c>
      <c r="H226" t="s">
        <v>873</v>
      </c>
      <c r="I226" t="s">
        <v>874</v>
      </c>
      <c r="J226" t="s">
        <v>876</v>
      </c>
      <c r="K226" t="s">
        <v>474</v>
      </c>
      <c r="L226" t="s">
        <v>40</v>
      </c>
      <c r="M226">
        <v>1</v>
      </c>
      <c r="N226">
        <v>264</v>
      </c>
      <c r="O226">
        <v>264</v>
      </c>
      <c r="P226" t="s">
        <v>41</v>
      </c>
      <c r="Q226">
        <v>1171.5</v>
      </c>
      <c r="R226">
        <v>1171.5</v>
      </c>
      <c r="S226">
        <v>15463.8</v>
      </c>
      <c r="T226">
        <v>309276</v>
      </c>
      <c r="U226">
        <v>5</v>
      </c>
      <c r="V226" t="s">
        <v>42</v>
      </c>
      <c r="W226" t="s">
        <v>474</v>
      </c>
      <c r="X226" s="6" t="str">
        <f t="shared" si="0"/>
        <v>441853990</v>
      </c>
      <c r="Y226" s="7" t="str">
        <f t="shared" si="1"/>
        <v>RP</v>
      </c>
      <c r="Z226" s="7">
        <f t="shared" si="2"/>
        <v>264</v>
      </c>
      <c r="AA226" s="7">
        <f t="shared" si="3"/>
        <v>264</v>
      </c>
      <c r="AB226" s="7">
        <f t="shared" si="4"/>
        <v>264</v>
      </c>
      <c r="AC226" s="7">
        <f t="shared" si="5"/>
        <v>264</v>
      </c>
      <c r="AD226" s="7">
        <f t="shared" si="6"/>
        <v>264</v>
      </c>
      <c r="AE226" s="8" t="str" cm="1">
        <f t="array" ref="AE226">IFERROR(_xlfn.XLOOKUP(H226,Sheet1!$G:$G,Sheet1!$F:$F),IFERROR(_xlfn.XLOOKUP(1,(--($X$2:$X$1074=X226))*(--ISNUMBER(MATCH($H$2:$H$1074,Sheet1!$G:$G,0))),_xlfn.XLOOKUP($H$2:$H$1074,Sheet1!$G:$G,Sheet1!$F:$F,"")),"NOT FOUND"))</f>
        <v>YETKRTSCUT5009</v>
      </c>
      <c r="AF226" s="9" t="str">
        <f t="shared" si="13"/>
        <v>BLACK</v>
      </c>
      <c r="AG226" s="10" t="str">
        <f t="shared" si="14"/>
        <v>HARIPAL</v>
      </c>
      <c r="AH226" s="8" t="str" cm="1">
        <f t="array" ref="AH226">IF(OR(J226="",AE226="",AE226="NOT FOUND"),"",IF(Y226="RP",_xlfn.LET(_xlpm.desc,_xlfn.XLOOKUP(1,(--(Sheet1!$F$2:$F$754=AE226))*(--ISNUMBER(FIND("-",Sheet1!$W$2:$W$754,FIND("-",Sheet1!$W$2:$W$754)+1))),Sheet1!$W$2:$W$754,""),IF(_xlpm.desc="","NOT FOUND",LEFT(_xlpm.desc,FIND("-",_xlpm.desc,FIND("-",_xlpm.desc)+1))&amp;AE226)),LEFT(J226,FIND("-",J226,FIND("-",J226)+1))&amp;AE226))</f>
        <v>KRTS-APSU26-YETKRTSCUT5009</v>
      </c>
    </row>
    <row r="227" spans="1:34" ht="15.75" customHeight="1" x14ac:dyDescent="0.2">
      <c r="A227" t="s">
        <v>61</v>
      </c>
      <c r="B227" t="s">
        <v>931</v>
      </c>
      <c r="C227" t="s">
        <v>1152</v>
      </c>
      <c r="D227" t="s">
        <v>1154</v>
      </c>
      <c r="E227" t="s">
        <v>34</v>
      </c>
      <c r="F227" t="s">
        <v>35</v>
      </c>
      <c r="G227" t="s">
        <v>36</v>
      </c>
      <c r="H227" t="s">
        <v>865</v>
      </c>
      <c r="I227" t="s">
        <v>866</v>
      </c>
      <c r="J227" t="s">
        <v>867</v>
      </c>
      <c r="K227" t="s">
        <v>474</v>
      </c>
      <c r="L227" t="s">
        <v>40</v>
      </c>
      <c r="M227">
        <v>1</v>
      </c>
      <c r="N227">
        <v>210</v>
      </c>
      <c r="O227">
        <v>210</v>
      </c>
      <c r="P227" t="s">
        <v>41</v>
      </c>
      <c r="Q227">
        <v>1398.5</v>
      </c>
      <c r="R227">
        <v>1398.5</v>
      </c>
      <c r="S227">
        <v>14684.25</v>
      </c>
      <c r="T227">
        <v>293685</v>
      </c>
      <c r="U227">
        <v>5</v>
      </c>
      <c r="V227" t="s">
        <v>42</v>
      </c>
      <c r="W227" t="s">
        <v>474</v>
      </c>
      <c r="X227" s="6" t="str">
        <f t="shared" si="0"/>
        <v>441814960</v>
      </c>
      <c r="Y227" s="7" t="str">
        <f t="shared" si="1"/>
        <v>RP</v>
      </c>
      <c r="Z227" s="7">
        <f t="shared" si="2"/>
        <v>210</v>
      </c>
      <c r="AA227" s="7">
        <f t="shared" si="3"/>
        <v>210</v>
      </c>
      <c r="AB227" s="7">
        <f t="shared" si="4"/>
        <v>210</v>
      </c>
      <c r="AC227" s="7">
        <f t="shared" si="5"/>
        <v>210</v>
      </c>
      <c r="AD227" s="7">
        <f t="shared" si="6"/>
        <v>210</v>
      </c>
      <c r="AE227" s="8" t="str" cm="1">
        <f t="array" ref="AE227">IFERROR(_xlfn.XLOOKUP(H227,Sheet1!$G:$G,Sheet1!$F:$F),IFERROR(_xlfn.XLOOKUP(1,(--($X$2:$X$1074=X227))*(--ISNUMBER(MATCH($H$2:$H$1074,Sheet1!$G:$G,0))),_xlfn.XLOOKUP($H$2:$H$1074,Sheet1!$G:$G,Sheet1!$F:$F,"")),"NOT FOUND"))</f>
        <v>GETKRTSFUT6414</v>
      </c>
      <c r="AF227" s="9" t="str">
        <f t="shared" si="13"/>
        <v>FUCHSIA</v>
      </c>
      <c r="AG227" s="10" t="str">
        <f t="shared" si="14"/>
        <v>HARIPAL</v>
      </c>
      <c r="AH227" s="8" t="str" cm="1">
        <f t="array" ref="AH227">IF(OR(J227="",AE227="",AE227="NOT FOUND"),"",IF(Y227="RP",_xlfn.LET(_xlpm.desc,_xlfn.XLOOKUP(1,(--(Sheet1!$F$2:$F$754=AE227))*(--ISNUMBER(FIND("-",Sheet1!$W$2:$W$754,FIND("-",Sheet1!$W$2:$W$754)+1))),Sheet1!$W$2:$W$754,""),IF(_xlpm.desc="","NOT FOUND",LEFT(_xlpm.desc,FIND("-",_xlpm.desc,FIND("-",_xlpm.desc)+1))&amp;AE227)),LEFT(J227,FIND("-",J227,FIND("-",J227)+1))&amp;AE227))</f>
        <v>KRTS-APWN26-GETKRTSFUT6414</v>
      </c>
    </row>
    <row r="228" spans="1:34" ht="15.75" customHeight="1" x14ac:dyDescent="0.2">
      <c r="A228" t="s">
        <v>61</v>
      </c>
      <c r="B228" t="s">
        <v>932</v>
      </c>
      <c r="C228" t="s">
        <v>1152</v>
      </c>
      <c r="D228" t="s">
        <v>1154</v>
      </c>
      <c r="E228" t="s">
        <v>34</v>
      </c>
      <c r="F228" t="s">
        <v>35</v>
      </c>
      <c r="G228" t="s">
        <v>36</v>
      </c>
      <c r="H228" t="s">
        <v>889</v>
      </c>
      <c r="I228" t="s">
        <v>890</v>
      </c>
      <c r="J228" t="s">
        <v>891</v>
      </c>
      <c r="K228" t="s">
        <v>474</v>
      </c>
      <c r="L228" t="s">
        <v>40</v>
      </c>
      <c r="M228">
        <v>1</v>
      </c>
      <c r="N228">
        <v>210</v>
      </c>
      <c r="O228">
        <v>210</v>
      </c>
      <c r="P228" t="s">
        <v>41</v>
      </c>
      <c r="Q228">
        <v>1398.5</v>
      </c>
      <c r="R228">
        <v>1398.5</v>
      </c>
      <c r="S228">
        <v>14684.25</v>
      </c>
      <c r="T228">
        <v>293685</v>
      </c>
      <c r="U228">
        <v>5</v>
      </c>
      <c r="V228" t="s">
        <v>42</v>
      </c>
      <c r="W228" t="s">
        <v>474</v>
      </c>
      <c r="X228" s="6" t="str">
        <f t="shared" si="0"/>
        <v>441814959</v>
      </c>
      <c r="Y228" s="7" t="str">
        <f t="shared" si="1"/>
        <v>RP</v>
      </c>
      <c r="Z228" s="7">
        <f t="shared" si="2"/>
        <v>210</v>
      </c>
      <c r="AA228" s="7">
        <f t="shared" si="3"/>
        <v>210</v>
      </c>
      <c r="AB228" s="7">
        <f t="shared" si="4"/>
        <v>210</v>
      </c>
      <c r="AC228" s="7">
        <f t="shared" si="5"/>
        <v>210</v>
      </c>
      <c r="AD228" s="7">
        <f t="shared" si="6"/>
        <v>210</v>
      </c>
      <c r="AE228" s="8" t="str" cm="1">
        <f t="array" ref="AE228">IFERROR(_xlfn.XLOOKUP(H228,Sheet1!$G:$G,Sheet1!$F:$F),IFERROR(_xlfn.XLOOKUP(1,(--($X$2:$X$1074=X228))*(--ISNUMBER(MATCH($H$2:$H$1074,Sheet1!$G:$G,0))),_xlfn.XLOOKUP($H$2:$H$1074,Sheet1!$G:$G,Sheet1!$F:$F,"")),"NOT FOUND"))</f>
        <v>GETKRTSFUT6413</v>
      </c>
      <c r="AF228" s="9" t="str">
        <f t="shared" si="13"/>
        <v>MAUVE</v>
      </c>
      <c r="AG228" s="10" t="str">
        <f t="shared" si="14"/>
        <v>HARIPAL</v>
      </c>
      <c r="AH228" s="8" t="str" cm="1">
        <f t="array" ref="AH228">IF(OR(J228="",AE228="",AE228="NOT FOUND"),"",IF(Y228="RP",_xlfn.LET(_xlpm.desc,_xlfn.XLOOKUP(1,(--(Sheet1!$F$2:$F$754=AE228))*(--ISNUMBER(FIND("-",Sheet1!$W$2:$W$754,FIND("-",Sheet1!$W$2:$W$754)+1))),Sheet1!$W$2:$W$754,""),IF(_xlpm.desc="","NOT FOUND",LEFT(_xlpm.desc,FIND("-",_xlpm.desc,FIND("-",_xlpm.desc)+1))&amp;AE228)),LEFT(J228,FIND("-",J228,FIND("-",J228)+1))&amp;AE228))</f>
        <v>KRTS-APWN26-GETKRTSFUT6413</v>
      </c>
    </row>
    <row r="229" spans="1:34" ht="15.75" customHeight="1" x14ac:dyDescent="0.2">
      <c r="A229" t="s">
        <v>61</v>
      </c>
      <c r="B229" t="s">
        <v>933</v>
      </c>
      <c r="C229" t="s">
        <v>1152</v>
      </c>
      <c r="D229" t="s">
        <v>1153</v>
      </c>
      <c r="E229" t="s">
        <v>34</v>
      </c>
      <c r="F229" t="s">
        <v>35</v>
      </c>
      <c r="G229" t="s">
        <v>36</v>
      </c>
      <c r="H229" t="s">
        <v>869</v>
      </c>
      <c r="I229" t="s">
        <v>870</v>
      </c>
      <c r="J229" t="s">
        <v>871</v>
      </c>
      <c r="K229" t="s">
        <v>474</v>
      </c>
      <c r="L229" t="s">
        <v>40</v>
      </c>
      <c r="M229">
        <v>1</v>
      </c>
      <c r="N229">
        <v>210</v>
      </c>
      <c r="O229">
        <v>210</v>
      </c>
      <c r="P229" t="s">
        <v>41</v>
      </c>
      <c r="Q229">
        <v>1383.5</v>
      </c>
      <c r="R229">
        <v>1383.5</v>
      </c>
      <c r="S229">
        <v>14526.75</v>
      </c>
      <c r="T229">
        <v>290535</v>
      </c>
      <c r="U229">
        <v>5</v>
      </c>
      <c r="V229" t="s">
        <v>42</v>
      </c>
      <c r="W229" t="s">
        <v>474</v>
      </c>
      <c r="X229" s="6" t="str">
        <f t="shared" si="0"/>
        <v>441814970</v>
      </c>
      <c r="Y229" s="7" t="str">
        <f t="shared" si="1"/>
        <v>RP</v>
      </c>
      <c r="Z229" s="7">
        <f t="shared" si="2"/>
        <v>210</v>
      </c>
      <c r="AA229" s="7">
        <f t="shared" si="3"/>
        <v>210</v>
      </c>
      <c r="AB229" s="7">
        <f t="shared" si="4"/>
        <v>210</v>
      </c>
      <c r="AC229" s="7">
        <f t="shared" si="5"/>
        <v>210</v>
      </c>
      <c r="AD229" s="7">
        <f t="shared" si="6"/>
        <v>210</v>
      </c>
      <c r="AE229" s="8" t="str" cm="1">
        <f t="array" ref="AE229">IFERROR(_xlfn.XLOOKUP(H229,Sheet1!$G:$G,Sheet1!$F:$F),IFERROR(_xlfn.XLOOKUP(1,(--($X$2:$X$1074=X229))*(--ISNUMBER(MATCH($H$2:$H$1074,Sheet1!$G:$G,0))),_xlfn.XLOOKUP($H$2:$H$1074,Sheet1!$G:$G,Sheet1!$F:$F,"")),"NOT FOUND"))</f>
        <v>GETKRTSFUT6451</v>
      </c>
      <c r="AF229" s="9" t="str">
        <f t="shared" si="13"/>
        <v>LIME GREEN</v>
      </c>
      <c r="AG229" s="10" t="str">
        <f t="shared" si="14"/>
        <v>HARIPAL</v>
      </c>
      <c r="AH229" s="8" t="str" cm="1">
        <f t="array" ref="AH229">IF(OR(J229="",AE229="",AE229="NOT FOUND"),"",IF(Y229="RP",_xlfn.LET(_xlpm.desc,_xlfn.XLOOKUP(1,(--(Sheet1!$F$2:$F$754=AE229))*(--ISNUMBER(FIND("-",Sheet1!$W$2:$W$754,FIND("-",Sheet1!$W$2:$W$754)+1))),Sheet1!$W$2:$W$754,""),IF(_xlpm.desc="","NOT FOUND",LEFT(_xlpm.desc,FIND("-",_xlpm.desc,FIND("-",_xlpm.desc)+1))&amp;AE229)),LEFT(J229,FIND("-",J229,FIND("-",J229)+1))&amp;AE229))</f>
        <v>KRTS-APWN26-GETKRTSFUT6451</v>
      </c>
    </row>
    <row r="230" spans="1:34" ht="15.75" customHeight="1" x14ac:dyDescent="0.2">
      <c r="A230" t="s">
        <v>30</v>
      </c>
      <c r="B230" t="s">
        <v>934</v>
      </c>
      <c r="C230" t="s">
        <v>1152</v>
      </c>
      <c r="D230" t="s">
        <v>1155</v>
      </c>
      <c r="E230" t="s">
        <v>34</v>
      </c>
      <c r="F230" t="s">
        <v>35</v>
      </c>
      <c r="G230" t="s">
        <v>434</v>
      </c>
      <c r="H230" t="s">
        <v>936</v>
      </c>
      <c r="I230" t="s">
        <v>937</v>
      </c>
      <c r="J230" t="s">
        <v>938</v>
      </c>
      <c r="K230" t="s">
        <v>474</v>
      </c>
      <c r="L230" t="s">
        <v>40</v>
      </c>
      <c r="M230">
        <v>1</v>
      </c>
      <c r="N230">
        <v>114</v>
      </c>
      <c r="O230">
        <v>114</v>
      </c>
      <c r="P230" t="s">
        <v>41</v>
      </c>
      <c r="Q230">
        <v>234.3</v>
      </c>
      <c r="R230">
        <v>234.3</v>
      </c>
      <c r="S230">
        <v>1335.51</v>
      </c>
      <c r="T230">
        <v>26710.2</v>
      </c>
      <c r="U230">
        <v>5</v>
      </c>
      <c r="V230" t="s">
        <v>42</v>
      </c>
      <c r="W230" t="s">
        <v>474</v>
      </c>
      <c r="X230" s="6" t="str">
        <f t="shared" si="0"/>
        <v>441853990</v>
      </c>
      <c r="Y230" s="7" t="str">
        <f t="shared" si="1"/>
        <v>DC</v>
      </c>
      <c r="Z230" s="7">
        <f t="shared" si="2"/>
        <v>0</v>
      </c>
      <c r="AA230" s="7">
        <f t="shared" si="3"/>
        <v>0</v>
      </c>
      <c r="AB230" s="7">
        <f t="shared" si="4"/>
        <v>0</v>
      </c>
      <c r="AC230" s="7">
        <f t="shared" si="5"/>
        <v>0</v>
      </c>
      <c r="AD230" s="7">
        <f t="shared" si="6"/>
        <v>114</v>
      </c>
      <c r="AE230" s="8" t="str" cm="1">
        <f t="array" ref="AE230">IFERROR(_xlfn.XLOOKUP(H230,Sheet1!$G:$G,Sheet1!$F:$F),IFERROR(_xlfn.XLOOKUP(1,(--($X$2:$X$1074=X230))*(--ISNUMBER(MATCH($H$2:$H$1074,Sheet1!$G:$G,0))),_xlfn.XLOOKUP($H$2:$H$1074,Sheet1!$G:$G,Sheet1!$F:$F,"")),"NOT FOUND"))</f>
        <v>YETKRTSCUT5009</v>
      </c>
      <c r="AF230" s="9" t="str">
        <f t="shared" si="13"/>
        <v>BLACK</v>
      </c>
      <c r="AG230" s="10" t="str">
        <f t="shared" si="14"/>
        <v>Bangalore</v>
      </c>
      <c r="AH230" s="8" t="str" cm="1">
        <f t="array" ref="AH230">IF(OR(J230="",AE230="",AE230="NOT FOUND"),"",IF(Y230="RP",_xlfn.LET(_xlpm.desc,_xlfn.XLOOKUP(1,(--(Sheet1!$F$2:$F$754=AE230))*(--ISNUMBER(FIND("-",Sheet1!$W$2:$W$754,FIND("-",Sheet1!$W$2:$W$754)+1))),Sheet1!$W$2:$W$754,""),IF(_xlpm.desc="","NOT FOUND",LEFT(_xlpm.desc,FIND("-",_xlpm.desc,FIND("-",_xlpm.desc)+1))&amp;AE230)),LEFT(J230,FIND("-",J230,FIND("-",J230)+1))&amp;AE230))</f>
        <v>KRTS-APSU26-YETKRTSCUT5009</v>
      </c>
    </row>
    <row r="231" spans="1:34" ht="15.75" customHeight="1" x14ac:dyDescent="0.2">
      <c r="A231" t="s">
        <v>30</v>
      </c>
      <c r="B231" t="s">
        <v>934</v>
      </c>
      <c r="C231" t="s">
        <v>1152</v>
      </c>
      <c r="D231" t="s">
        <v>1155</v>
      </c>
      <c r="E231" t="s">
        <v>34</v>
      </c>
      <c r="F231" t="s">
        <v>35</v>
      </c>
      <c r="G231" t="s">
        <v>540</v>
      </c>
      <c r="H231" t="s">
        <v>441</v>
      </c>
      <c r="I231" t="s">
        <v>442</v>
      </c>
      <c r="J231" t="s">
        <v>443</v>
      </c>
      <c r="K231" t="s">
        <v>474</v>
      </c>
      <c r="L231" t="s">
        <v>40</v>
      </c>
      <c r="M231">
        <v>1</v>
      </c>
      <c r="N231">
        <v>303</v>
      </c>
      <c r="O231">
        <v>303</v>
      </c>
      <c r="P231" t="s">
        <v>41</v>
      </c>
      <c r="Q231">
        <v>234.3</v>
      </c>
      <c r="R231">
        <v>234.3</v>
      </c>
      <c r="S231">
        <v>3549.65</v>
      </c>
      <c r="T231">
        <v>70992.899999999994</v>
      </c>
      <c r="U231">
        <v>5</v>
      </c>
      <c r="V231" t="s">
        <v>42</v>
      </c>
      <c r="W231" t="s">
        <v>474</v>
      </c>
      <c r="X231" s="6" t="str">
        <f t="shared" si="0"/>
        <v>441853990</v>
      </c>
      <c r="Y231" s="7" t="str">
        <f t="shared" si="1"/>
        <v>DC</v>
      </c>
      <c r="Z231" s="7">
        <f t="shared" si="2"/>
        <v>0</v>
      </c>
      <c r="AA231" s="7">
        <f t="shared" si="3"/>
        <v>0</v>
      </c>
      <c r="AB231" s="7">
        <f t="shared" si="4"/>
        <v>303</v>
      </c>
      <c r="AC231" s="7">
        <f t="shared" si="5"/>
        <v>0</v>
      </c>
      <c r="AD231" s="7">
        <f t="shared" si="6"/>
        <v>0</v>
      </c>
      <c r="AE231" s="8" t="str" cm="1">
        <f t="array" ref="AE231">IFERROR(_xlfn.XLOOKUP(H231,Sheet1!$G:$G,Sheet1!$F:$F),IFERROR(_xlfn.XLOOKUP(1,(--($X$2:$X$1074=X231))*(--ISNUMBER(MATCH($H$2:$H$1074,Sheet1!$G:$G,0))),_xlfn.XLOOKUP($H$2:$H$1074,Sheet1!$G:$G,Sheet1!$F:$F,"")),"NOT FOUND"))</f>
        <v>YETKRTSCUT5009</v>
      </c>
      <c r="AF231" s="9" t="str">
        <f t="shared" si="13"/>
        <v>BLACK</v>
      </c>
      <c r="AG231" s="10" t="str">
        <f t="shared" si="14"/>
        <v>Bangalore</v>
      </c>
      <c r="AH231" s="8" t="str" cm="1">
        <f t="array" ref="AH231">IF(OR(J231="",AE231="",AE231="NOT FOUND"),"",IF(Y231="RP",_xlfn.LET(_xlpm.desc,_xlfn.XLOOKUP(1,(--(Sheet1!$F$2:$F$754=AE231))*(--ISNUMBER(FIND("-",Sheet1!$W$2:$W$754,FIND("-",Sheet1!$W$2:$W$754)+1))),Sheet1!$W$2:$W$754,""),IF(_xlpm.desc="","NOT FOUND",LEFT(_xlpm.desc,FIND("-",_xlpm.desc,FIND("-",_xlpm.desc)+1))&amp;AE231)),LEFT(J231,FIND("-",J231,FIND("-",J231)+1))&amp;AE231))</f>
        <v>KRTS-APSU26-YETKRTSCUT5009</v>
      </c>
    </row>
    <row r="232" spans="1:34" ht="15.75" customHeight="1" x14ac:dyDescent="0.2">
      <c r="A232" t="s">
        <v>30</v>
      </c>
      <c r="B232" t="s">
        <v>934</v>
      </c>
      <c r="C232" t="s">
        <v>1152</v>
      </c>
      <c r="D232" t="s">
        <v>1155</v>
      </c>
      <c r="E232" t="s">
        <v>34</v>
      </c>
      <c r="F232" t="s">
        <v>35</v>
      </c>
      <c r="G232" t="s">
        <v>526</v>
      </c>
      <c r="H232" t="s">
        <v>438</v>
      </c>
      <c r="I232" t="s">
        <v>439</v>
      </c>
      <c r="J232" t="s">
        <v>440</v>
      </c>
      <c r="K232" t="s">
        <v>474</v>
      </c>
      <c r="L232" t="s">
        <v>40</v>
      </c>
      <c r="M232">
        <v>1</v>
      </c>
      <c r="N232">
        <v>322</v>
      </c>
      <c r="O232">
        <v>322</v>
      </c>
      <c r="P232" t="s">
        <v>41</v>
      </c>
      <c r="Q232">
        <v>234.3</v>
      </c>
      <c r="R232">
        <v>234.3</v>
      </c>
      <c r="S232">
        <v>3772.23</v>
      </c>
      <c r="T232">
        <v>75444.600000000006</v>
      </c>
      <c r="U232">
        <v>5</v>
      </c>
      <c r="V232" t="s">
        <v>42</v>
      </c>
      <c r="W232" t="s">
        <v>474</v>
      </c>
      <c r="X232" s="6" t="str">
        <f t="shared" si="0"/>
        <v>441853990</v>
      </c>
      <c r="Y232" s="7" t="str">
        <f t="shared" si="1"/>
        <v>DC</v>
      </c>
      <c r="Z232" s="7">
        <f t="shared" si="2"/>
        <v>0</v>
      </c>
      <c r="AA232" s="7">
        <f t="shared" si="3"/>
        <v>322</v>
      </c>
      <c r="AB232" s="7">
        <f t="shared" si="4"/>
        <v>0</v>
      </c>
      <c r="AC232" s="7">
        <f t="shared" si="5"/>
        <v>0</v>
      </c>
      <c r="AD232" s="7">
        <f t="shared" si="6"/>
        <v>0</v>
      </c>
      <c r="AE232" s="8" t="str" cm="1">
        <f t="array" ref="AE232">IFERROR(_xlfn.XLOOKUP(H232,Sheet1!$G:$G,Sheet1!$F:$F),IFERROR(_xlfn.XLOOKUP(1,(--($X$2:$X$1074=X232))*(--ISNUMBER(MATCH($H$2:$H$1074,Sheet1!$G:$G,0))),_xlfn.XLOOKUP($H$2:$H$1074,Sheet1!$G:$G,Sheet1!$F:$F,"")),"NOT FOUND"))</f>
        <v>YETKRTSCUT5009</v>
      </c>
      <c r="AF232" s="9" t="str">
        <f t="shared" si="13"/>
        <v>BLACK</v>
      </c>
      <c r="AG232" s="10" t="str">
        <f t="shared" si="14"/>
        <v>Bangalore</v>
      </c>
      <c r="AH232" s="8" t="str" cm="1">
        <f t="array" ref="AH232">IF(OR(J232="",AE232="",AE232="NOT FOUND"),"",IF(Y232="RP",_xlfn.LET(_xlpm.desc,_xlfn.XLOOKUP(1,(--(Sheet1!$F$2:$F$754=AE232))*(--ISNUMBER(FIND("-",Sheet1!$W$2:$W$754,FIND("-",Sheet1!$W$2:$W$754)+1))),Sheet1!$W$2:$W$754,""),IF(_xlpm.desc="","NOT FOUND",LEFT(_xlpm.desc,FIND("-",_xlpm.desc,FIND("-",_xlpm.desc)+1))&amp;AE232)),LEFT(J232,FIND("-",J232,FIND("-",J232)+1))&amp;AE232))</f>
        <v>KRTS-APSU26-YETKRTSCUT5009</v>
      </c>
    </row>
    <row r="233" spans="1:34" ht="15.75" customHeight="1" x14ac:dyDescent="0.2">
      <c r="A233" t="s">
        <v>30</v>
      </c>
      <c r="B233" t="s">
        <v>934</v>
      </c>
      <c r="C233" t="s">
        <v>1152</v>
      </c>
      <c r="D233" t="s">
        <v>1155</v>
      </c>
      <c r="E233" t="s">
        <v>34</v>
      </c>
      <c r="F233" t="s">
        <v>35</v>
      </c>
      <c r="G233" t="s">
        <v>542</v>
      </c>
      <c r="H233" t="s">
        <v>940</v>
      </c>
      <c r="I233" t="s">
        <v>941</v>
      </c>
      <c r="J233" t="s">
        <v>942</v>
      </c>
      <c r="K233" t="s">
        <v>474</v>
      </c>
      <c r="L233" t="s">
        <v>40</v>
      </c>
      <c r="M233">
        <v>1</v>
      </c>
      <c r="N233">
        <v>76</v>
      </c>
      <c r="O233">
        <v>76</v>
      </c>
      <c r="P233" t="s">
        <v>41</v>
      </c>
      <c r="Q233">
        <v>234.3</v>
      </c>
      <c r="R233">
        <v>234.3</v>
      </c>
      <c r="S233">
        <v>890.34</v>
      </c>
      <c r="T233">
        <v>17806.8</v>
      </c>
      <c r="U233">
        <v>5</v>
      </c>
      <c r="V233" t="s">
        <v>42</v>
      </c>
      <c r="W233" t="s">
        <v>474</v>
      </c>
      <c r="X233" s="6" t="str">
        <f t="shared" si="0"/>
        <v>441853990</v>
      </c>
      <c r="Y233" s="7" t="str">
        <f t="shared" si="1"/>
        <v>DC</v>
      </c>
      <c r="Z233" s="7">
        <f t="shared" si="2"/>
        <v>76</v>
      </c>
      <c r="AA233" s="7">
        <f t="shared" si="3"/>
        <v>0</v>
      </c>
      <c r="AB233" s="7">
        <f t="shared" si="4"/>
        <v>0</v>
      </c>
      <c r="AC233" s="7">
        <f t="shared" si="5"/>
        <v>0</v>
      </c>
      <c r="AD233" s="7">
        <f t="shared" si="6"/>
        <v>0</v>
      </c>
      <c r="AE233" s="8" t="str" cm="1">
        <f t="array" ref="AE233">IFERROR(_xlfn.XLOOKUP(H233,Sheet1!$G:$G,Sheet1!$F:$F),IFERROR(_xlfn.XLOOKUP(1,(--($X$2:$X$1074=X233))*(--ISNUMBER(MATCH($H$2:$H$1074,Sheet1!$G:$G,0))),_xlfn.XLOOKUP($H$2:$H$1074,Sheet1!$G:$G,Sheet1!$F:$F,"")),"NOT FOUND"))</f>
        <v>YETKRTSCUT5009</v>
      </c>
      <c r="AF233" s="9" t="str">
        <f t="shared" si="13"/>
        <v>BLACK</v>
      </c>
      <c r="AG233" s="10" t="str">
        <f t="shared" si="14"/>
        <v>Bangalore</v>
      </c>
      <c r="AH233" s="8" t="str" cm="1">
        <f t="array" ref="AH233">IF(OR(J233="",AE233="",AE233="NOT FOUND"),"",IF(Y233="RP",_xlfn.LET(_xlpm.desc,_xlfn.XLOOKUP(1,(--(Sheet1!$F$2:$F$754=AE233))*(--ISNUMBER(FIND("-",Sheet1!$W$2:$W$754,FIND("-",Sheet1!$W$2:$W$754)+1))),Sheet1!$W$2:$W$754,""),IF(_xlpm.desc="","NOT FOUND",LEFT(_xlpm.desc,FIND("-",_xlpm.desc,FIND("-",_xlpm.desc)+1))&amp;AE233)),LEFT(J233,FIND("-",J233,FIND("-",J233)+1))&amp;AE233))</f>
        <v>KRTS-APSU26-YETKRTSCUT5009</v>
      </c>
    </row>
    <row r="234" spans="1:34" ht="15.75" customHeight="1" x14ac:dyDescent="0.2">
      <c r="A234" t="s">
        <v>30</v>
      </c>
      <c r="B234" t="s">
        <v>934</v>
      </c>
      <c r="C234" t="s">
        <v>1152</v>
      </c>
      <c r="D234" t="s">
        <v>1155</v>
      </c>
      <c r="E234" t="s">
        <v>34</v>
      </c>
      <c r="F234" t="s">
        <v>35</v>
      </c>
      <c r="G234" t="s">
        <v>520</v>
      </c>
      <c r="H234" t="s">
        <v>444</v>
      </c>
      <c r="I234" t="s">
        <v>445</v>
      </c>
      <c r="J234" t="s">
        <v>446</v>
      </c>
      <c r="K234" t="s">
        <v>474</v>
      </c>
      <c r="L234" t="s">
        <v>40</v>
      </c>
      <c r="M234">
        <v>1</v>
      </c>
      <c r="N234">
        <v>322</v>
      </c>
      <c r="O234">
        <v>322</v>
      </c>
      <c r="P234" t="s">
        <v>41</v>
      </c>
      <c r="Q234">
        <v>234.3</v>
      </c>
      <c r="R234">
        <v>234.3</v>
      </c>
      <c r="S234">
        <v>3772.23</v>
      </c>
      <c r="T234">
        <v>75444.600000000006</v>
      </c>
      <c r="U234">
        <v>5</v>
      </c>
      <c r="V234" t="s">
        <v>42</v>
      </c>
      <c r="W234" t="s">
        <v>474</v>
      </c>
      <c r="X234" s="6" t="str">
        <f t="shared" si="0"/>
        <v>441853990</v>
      </c>
      <c r="Y234" s="7" t="str">
        <f t="shared" si="1"/>
        <v>DC</v>
      </c>
      <c r="Z234" s="7">
        <f t="shared" si="2"/>
        <v>0</v>
      </c>
      <c r="AA234" s="7">
        <f t="shared" si="3"/>
        <v>0</v>
      </c>
      <c r="AB234" s="7">
        <f t="shared" si="4"/>
        <v>0</v>
      </c>
      <c r="AC234" s="7">
        <f t="shared" si="5"/>
        <v>322</v>
      </c>
      <c r="AD234" s="7">
        <f t="shared" si="6"/>
        <v>0</v>
      </c>
      <c r="AE234" s="8" t="str" cm="1">
        <f t="array" ref="AE234">IFERROR(_xlfn.XLOOKUP(H234,Sheet1!$G:$G,Sheet1!$F:$F),IFERROR(_xlfn.XLOOKUP(1,(--($X$2:$X$1074=X234))*(--ISNUMBER(MATCH($H$2:$H$1074,Sheet1!$G:$G,0))),_xlfn.XLOOKUP($H$2:$H$1074,Sheet1!$G:$G,Sheet1!$F:$F,"")),"NOT FOUND"))</f>
        <v>YETKRTSCUT5009</v>
      </c>
      <c r="AF234" s="9" t="str">
        <f t="shared" si="13"/>
        <v>BLACK</v>
      </c>
      <c r="AG234" s="10" t="str">
        <f t="shared" si="14"/>
        <v>Bangalore</v>
      </c>
      <c r="AH234" s="8" t="str" cm="1">
        <f t="array" ref="AH234">IF(OR(J234="",AE234="",AE234="NOT FOUND"),"",IF(Y234="RP",_xlfn.LET(_xlpm.desc,_xlfn.XLOOKUP(1,(--(Sheet1!$F$2:$F$754=AE234))*(--ISNUMBER(FIND("-",Sheet1!$W$2:$W$754,FIND("-",Sheet1!$W$2:$W$754)+1))),Sheet1!$W$2:$W$754,""),IF(_xlpm.desc="","NOT FOUND",LEFT(_xlpm.desc,FIND("-",_xlpm.desc,FIND("-",_xlpm.desc)+1))&amp;AE234)),LEFT(J234,FIND("-",J234,FIND("-",J234)+1))&amp;AE234))</f>
        <v>KRTS-APSU26-YETKRTSCUT5009</v>
      </c>
    </row>
    <row r="235" spans="1:34" ht="15.75" customHeight="1" x14ac:dyDescent="0.2">
      <c r="A235" t="s">
        <v>59</v>
      </c>
      <c r="B235" t="s">
        <v>943</v>
      </c>
      <c r="C235" t="s">
        <v>1152</v>
      </c>
      <c r="D235" t="s">
        <v>1155</v>
      </c>
      <c r="E235" t="s">
        <v>34</v>
      </c>
      <c r="F235" t="s">
        <v>35</v>
      </c>
      <c r="G235" t="s">
        <v>434</v>
      </c>
      <c r="H235" t="s">
        <v>936</v>
      </c>
      <c r="I235" t="s">
        <v>937</v>
      </c>
      <c r="J235" t="s">
        <v>938</v>
      </c>
      <c r="K235" t="s">
        <v>474</v>
      </c>
      <c r="L235" t="s">
        <v>40</v>
      </c>
      <c r="M235">
        <v>1</v>
      </c>
      <c r="N235">
        <v>69</v>
      </c>
      <c r="O235">
        <v>69</v>
      </c>
      <c r="P235" t="s">
        <v>41</v>
      </c>
      <c r="Q235">
        <v>234.3</v>
      </c>
      <c r="R235">
        <v>234.3</v>
      </c>
      <c r="S235">
        <v>808.34</v>
      </c>
      <c r="T235">
        <v>16166.7</v>
      </c>
      <c r="U235">
        <v>5</v>
      </c>
      <c r="V235" t="s">
        <v>42</v>
      </c>
      <c r="W235" t="s">
        <v>474</v>
      </c>
      <c r="X235" s="6" t="str">
        <f t="shared" si="0"/>
        <v>441853990</v>
      </c>
      <c r="Y235" s="7" t="str">
        <f t="shared" si="1"/>
        <v>DC</v>
      </c>
      <c r="Z235" s="7">
        <f t="shared" si="2"/>
        <v>0</v>
      </c>
      <c r="AA235" s="7">
        <f t="shared" si="3"/>
        <v>0</v>
      </c>
      <c r="AB235" s="7">
        <f t="shared" si="4"/>
        <v>0</v>
      </c>
      <c r="AC235" s="7">
        <f t="shared" si="5"/>
        <v>0</v>
      </c>
      <c r="AD235" s="7">
        <f t="shared" si="6"/>
        <v>69</v>
      </c>
      <c r="AE235" s="8" t="str" cm="1">
        <f t="array" ref="AE235">IFERROR(_xlfn.XLOOKUP(H235,Sheet1!$G:$G,Sheet1!$F:$F),IFERROR(_xlfn.XLOOKUP(1,(--($X$2:$X$1074=X235))*(--ISNUMBER(MATCH($H$2:$H$1074,Sheet1!$G:$G,0))),_xlfn.XLOOKUP($H$2:$H$1074,Sheet1!$G:$G,Sheet1!$F:$F,"")),"NOT FOUND"))</f>
        <v>YETKRTSCUT5009</v>
      </c>
      <c r="AF235" s="9" t="str">
        <f t="shared" si="13"/>
        <v>BLACK</v>
      </c>
      <c r="AG235" s="10" t="str">
        <f t="shared" si="14"/>
        <v>JHAJJAR</v>
      </c>
      <c r="AH235" s="8" t="str" cm="1">
        <f t="array" ref="AH235">IF(OR(J235="",AE235="",AE235="NOT FOUND"),"",IF(Y235="RP",_xlfn.LET(_xlpm.desc,_xlfn.XLOOKUP(1,(--(Sheet1!$F$2:$F$754=AE235))*(--ISNUMBER(FIND("-",Sheet1!$W$2:$W$754,FIND("-",Sheet1!$W$2:$W$754)+1))),Sheet1!$W$2:$W$754,""),IF(_xlpm.desc="","NOT FOUND",LEFT(_xlpm.desc,FIND("-",_xlpm.desc,FIND("-",_xlpm.desc)+1))&amp;AE235)),LEFT(J235,FIND("-",J235,FIND("-",J235)+1))&amp;AE235))</f>
        <v>KRTS-APSU26-YETKRTSCUT5009</v>
      </c>
    </row>
    <row r="236" spans="1:34" ht="15.75" customHeight="1" x14ac:dyDescent="0.2">
      <c r="A236" t="s">
        <v>59</v>
      </c>
      <c r="B236" t="s">
        <v>943</v>
      </c>
      <c r="C236" t="s">
        <v>1152</v>
      </c>
      <c r="D236" t="s">
        <v>1155</v>
      </c>
      <c r="E236" t="s">
        <v>34</v>
      </c>
      <c r="F236" t="s">
        <v>35</v>
      </c>
      <c r="G236" t="s">
        <v>540</v>
      </c>
      <c r="H236" t="s">
        <v>441</v>
      </c>
      <c r="I236" t="s">
        <v>442</v>
      </c>
      <c r="J236" t="s">
        <v>443</v>
      </c>
      <c r="K236" t="s">
        <v>474</v>
      </c>
      <c r="L236" t="s">
        <v>40</v>
      </c>
      <c r="M236">
        <v>1</v>
      </c>
      <c r="N236">
        <v>186</v>
      </c>
      <c r="O236">
        <v>186</v>
      </c>
      <c r="P236" t="s">
        <v>41</v>
      </c>
      <c r="Q236">
        <v>234.3</v>
      </c>
      <c r="R236">
        <v>234.3</v>
      </c>
      <c r="S236">
        <v>2178.9899999999998</v>
      </c>
      <c r="T236">
        <v>43579.8</v>
      </c>
      <c r="U236">
        <v>5</v>
      </c>
      <c r="V236" t="s">
        <v>42</v>
      </c>
      <c r="W236" t="s">
        <v>474</v>
      </c>
      <c r="X236" s="6" t="str">
        <f t="shared" si="0"/>
        <v>441853990</v>
      </c>
      <c r="Y236" s="7" t="str">
        <f t="shared" si="1"/>
        <v>DC</v>
      </c>
      <c r="Z236" s="7">
        <f t="shared" si="2"/>
        <v>0</v>
      </c>
      <c r="AA236" s="7">
        <f t="shared" si="3"/>
        <v>0</v>
      </c>
      <c r="AB236" s="7">
        <f t="shared" si="4"/>
        <v>186</v>
      </c>
      <c r="AC236" s="7">
        <f t="shared" si="5"/>
        <v>0</v>
      </c>
      <c r="AD236" s="7">
        <f t="shared" si="6"/>
        <v>0</v>
      </c>
      <c r="AE236" s="8" t="str" cm="1">
        <f t="array" ref="AE236">IFERROR(_xlfn.XLOOKUP(H236,Sheet1!$G:$G,Sheet1!$F:$F),IFERROR(_xlfn.XLOOKUP(1,(--($X$2:$X$1074=X236))*(--ISNUMBER(MATCH($H$2:$H$1074,Sheet1!$G:$G,0))),_xlfn.XLOOKUP($H$2:$H$1074,Sheet1!$G:$G,Sheet1!$F:$F,"")),"NOT FOUND"))</f>
        <v>YETKRTSCUT5009</v>
      </c>
      <c r="AF236" s="9" t="str">
        <f t="shared" si="13"/>
        <v>BLACK</v>
      </c>
      <c r="AG236" s="10" t="str">
        <f t="shared" si="14"/>
        <v>JHAJJAR</v>
      </c>
      <c r="AH236" s="8" t="str" cm="1">
        <f t="array" ref="AH236">IF(OR(J236="",AE236="",AE236="NOT FOUND"),"",IF(Y236="RP",_xlfn.LET(_xlpm.desc,_xlfn.XLOOKUP(1,(--(Sheet1!$F$2:$F$754=AE236))*(--ISNUMBER(FIND("-",Sheet1!$W$2:$W$754,FIND("-",Sheet1!$W$2:$W$754)+1))),Sheet1!$W$2:$W$754,""),IF(_xlpm.desc="","NOT FOUND",LEFT(_xlpm.desc,FIND("-",_xlpm.desc,FIND("-",_xlpm.desc)+1))&amp;AE236)),LEFT(J236,FIND("-",J236,FIND("-",J236)+1))&amp;AE236))</f>
        <v>KRTS-APSU26-YETKRTSCUT5009</v>
      </c>
    </row>
    <row r="237" spans="1:34" ht="15.75" customHeight="1" x14ac:dyDescent="0.2">
      <c r="A237" t="s">
        <v>59</v>
      </c>
      <c r="B237" t="s">
        <v>943</v>
      </c>
      <c r="C237" t="s">
        <v>1152</v>
      </c>
      <c r="D237" t="s">
        <v>1155</v>
      </c>
      <c r="E237" t="s">
        <v>34</v>
      </c>
      <c r="F237" t="s">
        <v>35</v>
      </c>
      <c r="G237" t="s">
        <v>526</v>
      </c>
      <c r="H237" t="s">
        <v>438</v>
      </c>
      <c r="I237" t="s">
        <v>439</v>
      </c>
      <c r="J237" t="s">
        <v>440</v>
      </c>
      <c r="K237" t="s">
        <v>474</v>
      </c>
      <c r="L237" t="s">
        <v>40</v>
      </c>
      <c r="M237">
        <v>1</v>
      </c>
      <c r="N237">
        <v>197</v>
      </c>
      <c r="O237">
        <v>197</v>
      </c>
      <c r="P237" t="s">
        <v>41</v>
      </c>
      <c r="Q237">
        <v>234.3</v>
      </c>
      <c r="R237">
        <v>234.3</v>
      </c>
      <c r="S237">
        <v>2307.86</v>
      </c>
      <c r="T237">
        <v>46157.1</v>
      </c>
      <c r="U237">
        <v>5</v>
      </c>
      <c r="V237" t="s">
        <v>42</v>
      </c>
      <c r="W237" t="s">
        <v>474</v>
      </c>
      <c r="X237" s="6" t="str">
        <f t="shared" si="0"/>
        <v>441853990</v>
      </c>
      <c r="Y237" s="7" t="str">
        <f t="shared" si="1"/>
        <v>DC</v>
      </c>
      <c r="Z237" s="7">
        <f t="shared" si="2"/>
        <v>0</v>
      </c>
      <c r="AA237" s="7">
        <f t="shared" si="3"/>
        <v>197</v>
      </c>
      <c r="AB237" s="7">
        <f t="shared" si="4"/>
        <v>0</v>
      </c>
      <c r="AC237" s="7">
        <f t="shared" si="5"/>
        <v>0</v>
      </c>
      <c r="AD237" s="7">
        <f t="shared" si="6"/>
        <v>0</v>
      </c>
      <c r="AE237" s="8" t="str" cm="1">
        <f t="array" ref="AE237">IFERROR(_xlfn.XLOOKUP(H237,Sheet1!$G:$G,Sheet1!$F:$F),IFERROR(_xlfn.XLOOKUP(1,(--($X$2:$X$1074=X237))*(--ISNUMBER(MATCH($H$2:$H$1074,Sheet1!$G:$G,0))),_xlfn.XLOOKUP($H$2:$H$1074,Sheet1!$G:$G,Sheet1!$F:$F,"")),"NOT FOUND"))</f>
        <v>YETKRTSCUT5009</v>
      </c>
      <c r="AF237" s="9" t="str">
        <f t="shared" si="13"/>
        <v>BLACK</v>
      </c>
      <c r="AG237" s="10" t="str">
        <f t="shared" si="14"/>
        <v>JHAJJAR</v>
      </c>
      <c r="AH237" s="8" t="str" cm="1">
        <f t="array" ref="AH237">IF(OR(J237="",AE237="",AE237="NOT FOUND"),"",IF(Y237="RP",_xlfn.LET(_xlpm.desc,_xlfn.XLOOKUP(1,(--(Sheet1!$F$2:$F$754=AE237))*(--ISNUMBER(FIND("-",Sheet1!$W$2:$W$754,FIND("-",Sheet1!$W$2:$W$754)+1))),Sheet1!$W$2:$W$754,""),IF(_xlpm.desc="","NOT FOUND",LEFT(_xlpm.desc,FIND("-",_xlpm.desc,FIND("-",_xlpm.desc)+1))&amp;AE237)),LEFT(J237,FIND("-",J237,FIND("-",J237)+1))&amp;AE237))</f>
        <v>KRTS-APSU26-YETKRTSCUT5009</v>
      </c>
    </row>
    <row r="238" spans="1:34" ht="15.75" customHeight="1" x14ac:dyDescent="0.2">
      <c r="A238" t="s">
        <v>59</v>
      </c>
      <c r="B238" t="s">
        <v>943</v>
      </c>
      <c r="C238" t="s">
        <v>1152</v>
      </c>
      <c r="D238" t="s">
        <v>1155</v>
      </c>
      <c r="E238" t="s">
        <v>34</v>
      </c>
      <c r="F238" t="s">
        <v>35</v>
      </c>
      <c r="G238" t="s">
        <v>542</v>
      </c>
      <c r="H238" t="s">
        <v>940</v>
      </c>
      <c r="I238" t="s">
        <v>941</v>
      </c>
      <c r="J238" t="s">
        <v>942</v>
      </c>
      <c r="K238" t="s">
        <v>474</v>
      </c>
      <c r="L238" t="s">
        <v>40</v>
      </c>
      <c r="M238">
        <v>1</v>
      </c>
      <c r="N238">
        <v>46</v>
      </c>
      <c r="O238">
        <v>46</v>
      </c>
      <c r="P238" t="s">
        <v>41</v>
      </c>
      <c r="Q238">
        <v>234.3</v>
      </c>
      <c r="R238">
        <v>234.3</v>
      </c>
      <c r="S238">
        <v>538.89</v>
      </c>
      <c r="T238">
        <v>10777.8</v>
      </c>
      <c r="U238">
        <v>5</v>
      </c>
      <c r="V238" t="s">
        <v>42</v>
      </c>
      <c r="W238" t="s">
        <v>474</v>
      </c>
      <c r="X238" s="6" t="str">
        <f t="shared" si="0"/>
        <v>441853990</v>
      </c>
      <c r="Y238" s="7" t="str">
        <f t="shared" si="1"/>
        <v>DC</v>
      </c>
      <c r="Z238" s="7">
        <f t="shared" si="2"/>
        <v>46</v>
      </c>
      <c r="AA238" s="7">
        <f t="shared" si="3"/>
        <v>0</v>
      </c>
      <c r="AB238" s="7">
        <f t="shared" si="4"/>
        <v>0</v>
      </c>
      <c r="AC238" s="7">
        <f t="shared" si="5"/>
        <v>0</v>
      </c>
      <c r="AD238" s="7">
        <f t="shared" si="6"/>
        <v>0</v>
      </c>
      <c r="AE238" s="8" t="str" cm="1">
        <f t="array" ref="AE238">IFERROR(_xlfn.XLOOKUP(H238,Sheet1!$G:$G,Sheet1!$F:$F),IFERROR(_xlfn.XLOOKUP(1,(--($X$2:$X$1074=X238))*(--ISNUMBER(MATCH($H$2:$H$1074,Sheet1!$G:$G,0))),_xlfn.XLOOKUP($H$2:$H$1074,Sheet1!$G:$G,Sheet1!$F:$F,"")),"NOT FOUND"))</f>
        <v>YETKRTSCUT5009</v>
      </c>
      <c r="AF238" s="9" t="str">
        <f t="shared" si="13"/>
        <v>BLACK</v>
      </c>
      <c r="AG238" s="10" t="str">
        <f t="shared" si="14"/>
        <v>JHAJJAR</v>
      </c>
      <c r="AH238" s="8" t="str" cm="1">
        <f t="array" ref="AH238">IF(OR(J238="",AE238="",AE238="NOT FOUND"),"",IF(Y238="RP",_xlfn.LET(_xlpm.desc,_xlfn.XLOOKUP(1,(--(Sheet1!$F$2:$F$754=AE238))*(--ISNUMBER(FIND("-",Sheet1!$W$2:$W$754,FIND("-",Sheet1!$W$2:$W$754)+1))),Sheet1!$W$2:$W$754,""),IF(_xlpm.desc="","NOT FOUND",LEFT(_xlpm.desc,FIND("-",_xlpm.desc,FIND("-",_xlpm.desc)+1))&amp;AE238)),LEFT(J238,FIND("-",J238,FIND("-",J238)+1))&amp;AE238))</f>
        <v>KRTS-APSU26-YETKRTSCUT5009</v>
      </c>
    </row>
    <row r="239" spans="1:34" ht="15.75" customHeight="1" x14ac:dyDescent="0.2">
      <c r="A239" t="s">
        <v>59</v>
      </c>
      <c r="B239" t="s">
        <v>943</v>
      </c>
      <c r="C239" t="s">
        <v>1152</v>
      </c>
      <c r="D239" t="s">
        <v>1155</v>
      </c>
      <c r="E239" t="s">
        <v>34</v>
      </c>
      <c r="F239" t="s">
        <v>35</v>
      </c>
      <c r="G239" t="s">
        <v>520</v>
      </c>
      <c r="H239" t="s">
        <v>444</v>
      </c>
      <c r="I239" t="s">
        <v>445</v>
      </c>
      <c r="J239" t="s">
        <v>446</v>
      </c>
      <c r="K239" t="s">
        <v>474</v>
      </c>
      <c r="L239" t="s">
        <v>40</v>
      </c>
      <c r="M239">
        <v>1</v>
      </c>
      <c r="N239">
        <v>197</v>
      </c>
      <c r="O239">
        <v>197</v>
      </c>
      <c r="P239" t="s">
        <v>41</v>
      </c>
      <c r="Q239">
        <v>234.3</v>
      </c>
      <c r="R239">
        <v>234.3</v>
      </c>
      <c r="S239">
        <v>2307.86</v>
      </c>
      <c r="T239">
        <v>46157.1</v>
      </c>
      <c r="U239">
        <v>5</v>
      </c>
      <c r="V239" t="s">
        <v>42</v>
      </c>
      <c r="W239" t="s">
        <v>474</v>
      </c>
      <c r="X239" s="6" t="str">
        <f t="shared" si="0"/>
        <v>441853990</v>
      </c>
      <c r="Y239" s="7" t="str">
        <f t="shared" si="1"/>
        <v>DC</v>
      </c>
      <c r="Z239" s="7">
        <f t="shared" si="2"/>
        <v>0</v>
      </c>
      <c r="AA239" s="7">
        <f t="shared" si="3"/>
        <v>0</v>
      </c>
      <c r="AB239" s="7">
        <f t="shared" si="4"/>
        <v>0</v>
      </c>
      <c r="AC239" s="7">
        <f t="shared" si="5"/>
        <v>197</v>
      </c>
      <c r="AD239" s="7">
        <f t="shared" si="6"/>
        <v>0</v>
      </c>
      <c r="AE239" s="8" t="str" cm="1">
        <f t="array" ref="AE239">IFERROR(_xlfn.XLOOKUP(H239,Sheet1!$G:$G,Sheet1!$F:$F),IFERROR(_xlfn.XLOOKUP(1,(--($X$2:$X$1074=X239))*(--ISNUMBER(MATCH($H$2:$H$1074,Sheet1!$G:$G,0))),_xlfn.XLOOKUP($H$2:$H$1074,Sheet1!$G:$G,Sheet1!$F:$F,"")),"NOT FOUND"))</f>
        <v>YETKRTSCUT5009</v>
      </c>
      <c r="AF239" s="9" t="str">
        <f t="shared" si="13"/>
        <v>BLACK</v>
      </c>
      <c r="AG239" s="10" t="str">
        <f t="shared" si="14"/>
        <v>JHAJJAR</v>
      </c>
      <c r="AH239" s="8" t="str" cm="1">
        <f t="array" ref="AH239">IF(OR(J239="",AE239="",AE239="NOT FOUND"),"",IF(Y239="RP",_xlfn.LET(_xlpm.desc,_xlfn.XLOOKUP(1,(--(Sheet1!$F$2:$F$754=AE239))*(--ISNUMBER(FIND("-",Sheet1!$W$2:$W$754,FIND("-",Sheet1!$W$2:$W$754)+1))),Sheet1!$W$2:$W$754,""),IF(_xlpm.desc="","NOT FOUND",LEFT(_xlpm.desc,FIND("-",_xlpm.desc,FIND("-",_xlpm.desc)+1))&amp;AE239)),LEFT(J239,FIND("-",J239,FIND("-",J239)+1))&amp;AE239))</f>
        <v>KRTS-APSU26-YETKRTSCUT5009</v>
      </c>
    </row>
    <row r="240" spans="1:34" ht="15.75" customHeight="1" x14ac:dyDescent="0.2">
      <c r="A240" t="s">
        <v>61</v>
      </c>
      <c r="B240" t="s">
        <v>946</v>
      </c>
      <c r="C240" t="s">
        <v>1152</v>
      </c>
      <c r="D240" t="s">
        <v>1155</v>
      </c>
      <c r="E240" t="s">
        <v>34</v>
      </c>
      <c r="F240" t="s">
        <v>35</v>
      </c>
      <c r="G240" t="s">
        <v>434</v>
      </c>
      <c r="H240" t="s">
        <v>936</v>
      </c>
      <c r="I240" t="s">
        <v>937</v>
      </c>
      <c r="J240" t="s">
        <v>938</v>
      </c>
      <c r="K240" t="s">
        <v>474</v>
      </c>
      <c r="L240" t="s">
        <v>40</v>
      </c>
      <c r="M240">
        <v>1</v>
      </c>
      <c r="N240">
        <v>57</v>
      </c>
      <c r="O240">
        <v>57</v>
      </c>
      <c r="P240" t="s">
        <v>41</v>
      </c>
      <c r="Q240">
        <v>234.3</v>
      </c>
      <c r="R240">
        <v>234.3</v>
      </c>
      <c r="S240">
        <v>667.76</v>
      </c>
      <c r="T240">
        <v>13355.1</v>
      </c>
      <c r="U240">
        <v>5</v>
      </c>
      <c r="V240" t="s">
        <v>42</v>
      </c>
      <c r="W240" t="s">
        <v>474</v>
      </c>
      <c r="X240" s="6" t="str">
        <f t="shared" si="0"/>
        <v>441853990</v>
      </c>
      <c r="Y240" s="7" t="str">
        <f t="shared" si="1"/>
        <v>DC</v>
      </c>
      <c r="Z240" s="7">
        <f t="shared" si="2"/>
        <v>0</v>
      </c>
      <c r="AA240" s="7">
        <f t="shared" si="3"/>
        <v>0</v>
      </c>
      <c r="AB240" s="7">
        <f t="shared" si="4"/>
        <v>0</v>
      </c>
      <c r="AC240" s="7">
        <f t="shared" si="5"/>
        <v>0</v>
      </c>
      <c r="AD240" s="7">
        <f t="shared" si="6"/>
        <v>57</v>
      </c>
      <c r="AE240" s="8" t="str" cm="1">
        <f t="array" ref="AE240">IFERROR(_xlfn.XLOOKUP(H240,Sheet1!$G:$G,Sheet1!$F:$F),IFERROR(_xlfn.XLOOKUP(1,(--($X$2:$X$1074=X240))*(--ISNUMBER(MATCH($H$2:$H$1074,Sheet1!$G:$G,0))),_xlfn.XLOOKUP($H$2:$H$1074,Sheet1!$G:$G,Sheet1!$F:$F,"")),"NOT FOUND"))</f>
        <v>YETKRTSCUT5009</v>
      </c>
      <c r="AF240" s="9" t="str">
        <f t="shared" si="13"/>
        <v>BLACK</v>
      </c>
      <c r="AG240" s="10" t="str">
        <f t="shared" si="14"/>
        <v>HARIPAL</v>
      </c>
      <c r="AH240" s="8" t="str" cm="1">
        <f t="array" ref="AH240">IF(OR(J240="",AE240="",AE240="NOT FOUND"),"",IF(Y240="RP",_xlfn.LET(_xlpm.desc,_xlfn.XLOOKUP(1,(--(Sheet1!$F$2:$F$754=AE240))*(--ISNUMBER(FIND("-",Sheet1!$W$2:$W$754,FIND("-",Sheet1!$W$2:$W$754)+1))),Sheet1!$W$2:$W$754,""),IF(_xlpm.desc="","NOT FOUND",LEFT(_xlpm.desc,FIND("-",_xlpm.desc,FIND("-",_xlpm.desc)+1))&amp;AE240)),LEFT(J240,FIND("-",J240,FIND("-",J240)+1))&amp;AE240))</f>
        <v>KRTS-APSU26-YETKRTSCUT5009</v>
      </c>
    </row>
    <row r="241" spans="1:34" ht="15.75" customHeight="1" x14ac:dyDescent="0.2">
      <c r="A241" t="s">
        <v>61</v>
      </c>
      <c r="B241" t="s">
        <v>946</v>
      </c>
      <c r="C241" t="s">
        <v>1152</v>
      </c>
      <c r="D241" t="s">
        <v>1155</v>
      </c>
      <c r="E241" t="s">
        <v>34</v>
      </c>
      <c r="F241" t="s">
        <v>35</v>
      </c>
      <c r="G241" t="s">
        <v>540</v>
      </c>
      <c r="H241" t="s">
        <v>441</v>
      </c>
      <c r="I241" t="s">
        <v>442</v>
      </c>
      <c r="J241" t="s">
        <v>443</v>
      </c>
      <c r="K241" t="s">
        <v>474</v>
      </c>
      <c r="L241" t="s">
        <v>40</v>
      </c>
      <c r="M241">
        <v>1</v>
      </c>
      <c r="N241">
        <v>151</v>
      </c>
      <c r="O241">
        <v>151</v>
      </c>
      <c r="P241" t="s">
        <v>41</v>
      </c>
      <c r="Q241">
        <v>234.3</v>
      </c>
      <c r="R241">
        <v>234.3</v>
      </c>
      <c r="S241">
        <v>1768.97</v>
      </c>
      <c r="T241">
        <v>35379.300000000003</v>
      </c>
      <c r="U241">
        <v>5</v>
      </c>
      <c r="V241" t="s">
        <v>42</v>
      </c>
      <c r="W241" t="s">
        <v>474</v>
      </c>
      <c r="X241" s="6" t="str">
        <f t="shared" si="0"/>
        <v>441853990</v>
      </c>
      <c r="Y241" s="7" t="str">
        <f t="shared" si="1"/>
        <v>DC</v>
      </c>
      <c r="Z241" s="7">
        <f t="shared" si="2"/>
        <v>0</v>
      </c>
      <c r="AA241" s="7">
        <f t="shared" si="3"/>
        <v>0</v>
      </c>
      <c r="AB241" s="7">
        <f t="shared" si="4"/>
        <v>151</v>
      </c>
      <c r="AC241" s="7">
        <f t="shared" si="5"/>
        <v>0</v>
      </c>
      <c r="AD241" s="7">
        <f t="shared" si="6"/>
        <v>0</v>
      </c>
      <c r="AE241" s="8" t="str" cm="1">
        <f t="array" ref="AE241">IFERROR(_xlfn.XLOOKUP(H241,Sheet1!$G:$G,Sheet1!$F:$F),IFERROR(_xlfn.XLOOKUP(1,(--($X$2:$X$1074=X241))*(--ISNUMBER(MATCH($H$2:$H$1074,Sheet1!$G:$G,0))),_xlfn.XLOOKUP($H$2:$H$1074,Sheet1!$G:$G,Sheet1!$F:$F,"")),"NOT FOUND"))</f>
        <v>YETKRTSCUT5009</v>
      </c>
      <c r="AF241" s="9" t="str">
        <f t="shared" si="13"/>
        <v>BLACK</v>
      </c>
      <c r="AG241" s="10" t="str">
        <f t="shared" si="14"/>
        <v>HARIPAL</v>
      </c>
      <c r="AH241" s="8" t="str" cm="1">
        <f t="array" ref="AH241">IF(OR(J241="",AE241="",AE241="NOT FOUND"),"",IF(Y241="RP",_xlfn.LET(_xlpm.desc,_xlfn.XLOOKUP(1,(--(Sheet1!$F$2:$F$754=AE241))*(--ISNUMBER(FIND("-",Sheet1!$W$2:$W$754,FIND("-",Sheet1!$W$2:$W$754)+1))),Sheet1!$W$2:$W$754,""),IF(_xlpm.desc="","NOT FOUND",LEFT(_xlpm.desc,FIND("-",_xlpm.desc,FIND("-",_xlpm.desc)+1))&amp;AE241)),LEFT(J241,FIND("-",J241,FIND("-",J241)+1))&amp;AE241))</f>
        <v>KRTS-APSU26-YETKRTSCUT5009</v>
      </c>
    </row>
    <row r="242" spans="1:34" ht="15.75" customHeight="1" x14ac:dyDescent="0.2">
      <c r="A242" t="s">
        <v>61</v>
      </c>
      <c r="B242" t="s">
        <v>946</v>
      </c>
      <c r="C242" t="s">
        <v>1152</v>
      </c>
      <c r="D242" t="s">
        <v>1155</v>
      </c>
      <c r="E242" t="s">
        <v>34</v>
      </c>
      <c r="F242" t="s">
        <v>35</v>
      </c>
      <c r="G242" t="s">
        <v>526</v>
      </c>
      <c r="H242" t="s">
        <v>438</v>
      </c>
      <c r="I242" t="s">
        <v>439</v>
      </c>
      <c r="J242" t="s">
        <v>440</v>
      </c>
      <c r="K242" t="s">
        <v>474</v>
      </c>
      <c r="L242" t="s">
        <v>40</v>
      </c>
      <c r="M242">
        <v>1</v>
      </c>
      <c r="N242">
        <v>161</v>
      </c>
      <c r="O242">
        <v>161</v>
      </c>
      <c r="P242" t="s">
        <v>41</v>
      </c>
      <c r="Q242">
        <v>234.3</v>
      </c>
      <c r="R242">
        <v>234.3</v>
      </c>
      <c r="S242">
        <v>1886.12</v>
      </c>
      <c r="T242">
        <v>37722.300000000003</v>
      </c>
      <c r="U242">
        <v>5</v>
      </c>
      <c r="V242" t="s">
        <v>42</v>
      </c>
      <c r="W242" t="s">
        <v>474</v>
      </c>
      <c r="X242" s="6" t="str">
        <f t="shared" si="0"/>
        <v>441853990</v>
      </c>
      <c r="Y242" s="7" t="str">
        <f t="shared" si="1"/>
        <v>DC</v>
      </c>
      <c r="Z242" s="7">
        <f t="shared" si="2"/>
        <v>0</v>
      </c>
      <c r="AA242" s="7">
        <f t="shared" si="3"/>
        <v>161</v>
      </c>
      <c r="AB242" s="7">
        <f t="shared" si="4"/>
        <v>0</v>
      </c>
      <c r="AC242" s="7">
        <f t="shared" si="5"/>
        <v>0</v>
      </c>
      <c r="AD242" s="7">
        <f t="shared" si="6"/>
        <v>0</v>
      </c>
      <c r="AE242" s="8" t="str" cm="1">
        <f t="array" ref="AE242">IFERROR(_xlfn.XLOOKUP(H242,Sheet1!$G:$G,Sheet1!$F:$F),IFERROR(_xlfn.XLOOKUP(1,(--($X$2:$X$1074=X242))*(--ISNUMBER(MATCH($H$2:$H$1074,Sheet1!$G:$G,0))),_xlfn.XLOOKUP($H$2:$H$1074,Sheet1!$G:$G,Sheet1!$F:$F,"")),"NOT FOUND"))</f>
        <v>YETKRTSCUT5009</v>
      </c>
      <c r="AF242" s="9" t="str">
        <f t="shared" si="13"/>
        <v>BLACK</v>
      </c>
      <c r="AG242" s="10" t="str">
        <f t="shared" si="14"/>
        <v>HARIPAL</v>
      </c>
      <c r="AH242" s="8" t="str" cm="1">
        <f t="array" ref="AH242">IF(OR(J242="",AE242="",AE242="NOT FOUND"),"",IF(Y242="RP",_xlfn.LET(_xlpm.desc,_xlfn.XLOOKUP(1,(--(Sheet1!$F$2:$F$754=AE242))*(--ISNUMBER(FIND("-",Sheet1!$W$2:$W$754,FIND("-",Sheet1!$W$2:$W$754)+1))),Sheet1!$W$2:$W$754,""),IF(_xlpm.desc="","NOT FOUND",LEFT(_xlpm.desc,FIND("-",_xlpm.desc,FIND("-",_xlpm.desc)+1))&amp;AE242)),LEFT(J242,FIND("-",J242,FIND("-",J242)+1))&amp;AE242))</f>
        <v>KRTS-APSU26-YETKRTSCUT5009</v>
      </c>
    </row>
    <row r="243" spans="1:34" ht="15.75" customHeight="1" x14ac:dyDescent="0.2">
      <c r="A243" t="s">
        <v>61</v>
      </c>
      <c r="B243" t="s">
        <v>946</v>
      </c>
      <c r="C243" t="s">
        <v>1152</v>
      </c>
      <c r="D243" t="s">
        <v>1155</v>
      </c>
      <c r="E243" t="s">
        <v>34</v>
      </c>
      <c r="F243" t="s">
        <v>35</v>
      </c>
      <c r="G243" t="s">
        <v>542</v>
      </c>
      <c r="H243" t="s">
        <v>940</v>
      </c>
      <c r="I243" t="s">
        <v>941</v>
      </c>
      <c r="J243" t="s">
        <v>942</v>
      </c>
      <c r="K243" t="s">
        <v>474</v>
      </c>
      <c r="L243" t="s">
        <v>40</v>
      </c>
      <c r="M243">
        <v>1</v>
      </c>
      <c r="N243">
        <v>38</v>
      </c>
      <c r="O243">
        <v>38</v>
      </c>
      <c r="P243" t="s">
        <v>41</v>
      </c>
      <c r="Q243">
        <v>234.3</v>
      </c>
      <c r="R243">
        <v>234.3</v>
      </c>
      <c r="S243">
        <v>445.17</v>
      </c>
      <c r="T243">
        <v>8903.4</v>
      </c>
      <c r="U243">
        <v>5</v>
      </c>
      <c r="V243" t="s">
        <v>42</v>
      </c>
      <c r="W243" t="s">
        <v>474</v>
      </c>
      <c r="X243" s="6" t="str">
        <f t="shared" si="0"/>
        <v>441853990</v>
      </c>
      <c r="Y243" s="7" t="str">
        <f t="shared" si="1"/>
        <v>DC</v>
      </c>
      <c r="Z243" s="7">
        <f t="shared" si="2"/>
        <v>38</v>
      </c>
      <c r="AA243" s="7">
        <f t="shared" si="3"/>
        <v>0</v>
      </c>
      <c r="AB243" s="7">
        <f t="shared" si="4"/>
        <v>0</v>
      </c>
      <c r="AC243" s="7">
        <f t="shared" si="5"/>
        <v>0</v>
      </c>
      <c r="AD243" s="7">
        <f t="shared" si="6"/>
        <v>0</v>
      </c>
      <c r="AE243" s="8" t="str" cm="1">
        <f t="array" ref="AE243">IFERROR(_xlfn.XLOOKUP(H243,Sheet1!$G:$G,Sheet1!$F:$F),IFERROR(_xlfn.XLOOKUP(1,(--($X$2:$X$1074=X243))*(--ISNUMBER(MATCH($H$2:$H$1074,Sheet1!$G:$G,0))),_xlfn.XLOOKUP($H$2:$H$1074,Sheet1!$G:$G,Sheet1!$F:$F,"")),"NOT FOUND"))</f>
        <v>YETKRTSCUT5009</v>
      </c>
      <c r="AF243" s="9" t="str">
        <f t="shared" si="13"/>
        <v>BLACK</v>
      </c>
      <c r="AG243" s="10" t="str">
        <f t="shared" si="14"/>
        <v>HARIPAL</v>
      </c>
      <c r="AH243" s="8" t="str" cm="1">
        <f t="array" ref="AH243">IF(OR(J243="",AE243="",AE243="NOT FOUND"),"",IF(Y243="RP",_xlfn.LET(_xlpm.desc,_xlfn.XLOOKUP(1,(--(Sheet1!$F$2:$F$754=AE243))*(--ISNUMBER(FIND("-",Sheet1!$W$2:$W$754,FIND("-",Sheet1!$W$2:$W$754)+1))),Sheet1!$W$2:$W$754,""),IF(_xlpm.desc="","NOT FOUND",LEFT(_xlpm.desc,FIND("-",_xlpm.desc,FIND("-",_xlpm.desc)+1))&amp;AE243)),LEFT(J243,FIND("-",J243,FIND("-",J243)+1))&amp;AE243))</f>
        <v>KRTS-APSU26-YETKRTSCUT5009</v>
      </c>
    </row>
    <row r="244" spans="1:34" ht="15.75" customHeight="1" x14ac:dyDescent="0.2">
      <c r="A244" t="s">
        <v>61</v>
      </c>
      <c r="B244" t="s">
        <v>946</v>
      </c>
      <c r="C244" t="s">
        <v>1152</v>
      </c>
      <c r="D244" t="s">
        <v>1155</v>
      </c>
      <c r="E244" t="s">
        <v>34</v>
      </c>
      <c r="F244" t="s">
        <v>35</v>
      </c>
      <c r="G244" t="s">
        <v>520</v>
      </c>
      <c r="H244" t="s">
        <v>444</v>
      </c>
      <c r="I244" t="s">
        <v>445</v>
      </c>
      <c r="J244" t="s">
        <v>446</v>
      </c>
      <c r="K244" t="s">
        <v>474</v>
      </c>
      <c r="L244" t="s">
        <v>40</v>
      </c>
      <c r="M244">
        <v>1</v>
      </c>
      <c r="N244">
        <v>161</v>
      </c>
      <c r="O244">
        <v>161</v>
      </c>
      <c r="P244" t="s">
        <v>41</v>
      </c>
      <c r="Q244">
        <v>234.3</v>
      </c>
      <c r="R244">
        <v>234.3</v>
      </c>
      <c r="S244">
        <v>1886.12</v>
      </c>
      <c r="T244">
        <v>37722.300000000003</v>
      </c>
      <c r="U244">
        <v>5</v>
      </c>
      <c r="V244" t="s">
        <v>42</v>
      </c>
      <c r="W244" t="s">
        <v>474</v>
      </c>
      <c r="X244" s="6" t="str">
        <f t="shared" si="0"/>
        <v>441853990</v>
      </c>
      <c r="Y244" s="7" t="str">
        <f t="shared" si="1"/>
        <v>DC</v>
      </c>
      <c r="Z244" s="7">
        <f t="shared" si="2"/>
        <v>0</v>
      </c>
      <c r="AA244" s="7">
        <f t="shared" si="3"/>
        <v>0</v>
      </c>
      <c r="AB244" s="7">
        <f t="shared" si="4"/>
        <v>0</v>
      </c>
      <c r="AC244" s="7">
        <f t="shared" si="5"/>
        <v>161</v>
      </c>
      <c r="AD244" s="7">
        <f t="shared" si="6"/>
        <v>0</v>
      </c>
      <c r="AE244" s="8" t="str" cm="1">
        <f t="array" ref="AE244">IFERROR(_xlfn.XLOOKUP(H244,Sheet1!$G:$G,Sheet1!$F:$F),IFERROR(_xlfn.XLOOKUP(1,(--($X$2:$X$1074=X244))*(--ISNUMBER(MATCH($H$2:$H$1074,Sheet1!$G:$G,0))),_xlfn.XLOOKUP($H$2:$H$1074,Sheet1!$G:$G,Sheet1!$F:$F,"")),"NOT FOUND"))</f>
        <v>YETKRTSCUT5009</v>
      </c>
      <c r="AF244" s="9" t="str">
        <f t="shared" si="13"/>
        <v>BLACK</v>
      </c>
      <c r="AG244" s="10" t="str">
        <f t="shared" si="14"/>
        <v>HARIPAL</v>
      </c>
      <c r="AH244" s="8" t="str" cm="1">
        <f t="array" ref="AH244">IF(OR(J244="",AE244="",AE244="NOT FOUND"),"",IF(Y244="RP",_xlfn.LET(_xlpm.desc,_xlfn.XLOOKUP(1,(--(Sheet1!$F$2:$F$754=AE244))*(--ISNUMBER(FIND("-",Sheet1!$W$2:$W$754,FIND("-",Sheet1!$W$2:$W$754)+1))),Sheet1!$W$2:$W$754,""),IF(_xlpm.desc="","NOT FOUND",LEFT(_xlpm.desc,FIND("-",_xlpm.desc,FIND("-",_xlpm.desc)+1))&amp;AE244)),LEFT(J244,FIND("-",J244,FIND("-",J244)+1))&amp;AE244))</f>
        <v>KRTS-APSU26-YETKRTSCUT5009</v>
      </c>
    </row>
    <row r="245" spans="1:34" ht="15.75" customHeight="1" x14ac:dyDescent="0.2">
      <c r="A245" t="s">
        <v>30</v>
      </c>
      <c r="B245" t="s">
        <v>949</v>
      </c>
      <c r="C245" t="s">
        <v>1152</v>
      </c>
      <c r="D245" t="s">
        <v>1155</v>
      </c>
      <c r="E245" t="s">
        <v>34</v>
      </c>
      <c r="F245" t="s">
        <v>35</v>
      </c>
      <c r="G245" t="s">
        <v>36</v>
      </c>
      <c r="H245" t="s">
        <v>950</v>
      </c>
      <c r="I245" t="s">
        <v>951</v>
      </c>
      <c r="J245" t="s">
        <v>953</v>
      </c>
      <c r="K245" t="s">
        <v>474</v>
      </c>
      <c r="L245" t="s">
        <v>40</v>
      </c>
      <c r="M245">
        <v>1</v>
      </c>
      <c r="N245">
        <v>85</v>
      </c>
      <c r="O245">
        <v>85</v>
      </c>
      <c r="P245" t="s">
        <v>41</v>
      </c>
      <c r="Q245">
        <v>239.7</v>
      </c>
      <c r="R245">
        <v>239.7</v>
      </c>
      <c r="S245">
        <v>1018.73</v>
      </c>
      <c r="T245">
        <v>20374.5</v>
      </c>
      <c r="U245">
        <v>5</v>
      </c>
      <c r="V245" t="s">
        <v>42</v>
      </c>
      <c r="W245" t="s">
        <v>474</v>
      </c>
      <c r="X245" s="6" t="str">
        <f t="shared" si="0"/>
        <v>441814973</v>
      </c>
      <c r="Y245" s="7" t="str">
        <f t="shared" si="1"/>
        <v>DC</v>
      </c>
      <c r="Z245" s="7">
        <f t="shared" si="2"/>
        <v>85</v>
      </c>
      <c r="AA245" s="7">
        <f t="shared" si="3"/>
        <v>0</v>
      </c>
      <c r="AB245" s="7">
        <f t="shared" si="4"/>
        <v>0</v>
      </c>
      <c r="AC245" s="7">
        <f t="shared" si="5"/>
        <v>0</v>
      </c>
      <c r="AD245" s="7">
        <f t="shared" si="6"/>
        <v>0</v>
      </c>
      <c r="AE245" s="8" t="str" cm="1">
        <f t="array" ref="AE245">IFERROR(_xlfn.XLOOKUP(H245,Sheet1!$G:$G,Sheet1!$F:$F),IFERROR(_xlfn.XLOOKUP(1,(--($X$2:$X$1074=X245))*(--ISNUMBER(MATCH($H$2:$H$1074,Sheet1!$G:$G,0))),_xlfn.XLOOKUP($H$2:$H$1074,Sheet1!$G:$G,Sheet1!$F:$F,"")),"NOT FOUND"))</f>
        <v>GETKRTSCUT7163</v>
      </c>
      <c r="AF245" s="9" t="str">
        <f t="shared" si="13"/>
        <v>BLACK</v>
      </c>
      <c r="AG245" s="10" t="str">
        <f t="shared" si="14"/>
        <v>Bangalore</v>
      </c>
      <c r="AH245" s="8" t="str" cm="1">
        <f t="array" ref="AH245">IF(OR(J245="",AE245="",AE245="NOT FOUND"),"",IF(Y245="RP",_xlfn.LET(_xlpm.desc,_xlfn.XLOOKUP(1,(--(Sheet1!$F$2:$F$754=AE245))*(--ISNUMBER(FIND("-",Sheet1!$W$2:$W$754,FIND("-",Sheet1!$W$2:$W$754)+1))),Sheet1!$W$2:$W$754,""),IF(_xlpm.desc="","NOT FOUND",LEFT(_xlpm.desc,FIND("-",_xlpm.desc,FIND("-",_xlpm.desc)+1))&amp;AE245)),LEFT(J245,FIND("-",J245,FIND("-",J245)+1))&amp;AE245))</f>
        <v>KRTS-APWN26-GETKRTSCUT7163</v>
      </c>
    </row>
    <row r="246" spans="1:34" ht="15.75" customHeight="1" x14ac:dyDescent="0.2">
      <c r="A246" t="s">
        <v>30</v>
      </c>
      <c r="B246" t="s">
        <v>949</v>
      </c>
      <c r="C246" t="s">
        <v>1152</v>
      </c>
      <c r="D246" t="s">
        <v>1155</v>
      </c>
      <c r="E246" t="s">
        <v>34</v>
      </c>
      <c r="F246" t="s">
        <v>35</v>
      </c>
      <c r="G246" t="s">
        <v>43</v>
      </c>
      <c r="H246" t="s">
        <v>954</v>
      </c>
      <c r="I246" t="s">
        <v>955</v>
      </c>
      <c r="J246" t="s">
        <v>957</v>
      </c>
      <c r="K246" t="s">
        <v>474</v>
      </c>
      <c r="L246" t="s">
        <v>40</v>
      </c>
      <c r="M246">
        <v>1</v>
      </c>
      <c r="N246">
        <v>363</v>
      </c>
      <c r="O246">
        <v>363</v>
      </c>
      <c r="P246" t="s">
        <v>41</v>
      </c>
      <c r="Q246">
        <v>239.7</v>
      </c>
      <c r="R246">
        <v>239.7</v>
      </c>
      <c r="S246">
        <v>4350.5600000000004</v>
      </c>
      <c r="T246">
        <v>87011.1</v>
      </c>
      <c r="U246">
        <v>5</v>
      </c>
      <c r="V246" t="s">
        <v>42</v>
      </c>
      <c r="W246" t="s">
        <v>474</v>
      </c>
      <c r="X246" s="6" t="str">
        <f t="shared" si="0"/>
        <v>441814973</v>
      </c>
      <c r="Y246" s="7" t="str">
        <f t="shared" si="1"/>
        <v>DC</v>
      </c>
      <c r="Z246" s="7">
        <f t="shared" si="2"/>
        <v>0</v>
      </c>
      <c r="AA246" s="7">
        <f t="shared" si="3"/>
        <v>363</v>
      </c>
      <c r="AB246" s="7">
        <f t="shared" si="4"/>
        <v>0</v>
      </c>
      <c r="AC246" s="7">
        <f t="shared" si="5"/>
        <v>0</v>
      </c>
      <c r="AD246" s="7">
        <f t="shared" si="6"/>
        <v>0</v>
      </c>
      <c r="AE246" s="8" t="str" cm="1">
        <f t="array" ref="AE246">IFERROR(_xlfn.XLOOKUP(H246,Sheet1!$G:$G,Sheet1!$F:$F),IFERROR(_xlfn.XLOOKUP(1,(--($X$2:$X$1074=X246))*(--ISNUMBER(MATCH($H$2:$H$1074,Sheet1!$G:$G,0))),_xlfn.XLOOKUP($H$2:$H$1074,Sheet1!$G:$G,Sheet1!$F:$F,"")),"NOT FOUND"))</f>
        <v>GETKRTSCUT7163</v>
      </c>
      <c r="AF246" s="9" t="str">
        <f t="shared" si="13"/>
        <v>BLACK</v>
      </c>
      <c r="AG246" s="10" t="str">
        <f t="shared" si="14"/>
        <v>Bangalore</v>
      </c>
      <c r="AH246" s="8" t="str" cm="1">
        <f t="array" ref="AH246">IF(OR(J246="",AE246="",AE246="NOT FOUND"),"",IF(Y246="RP",_xlfn.LET(_xlpm.desc,_xlfn.XLOOKUP(1,(--(Sheet1!$F$2:$F$754=AE246))*(--ISNUMBER(FIND("-",Sheet1!$W$2:$W$754,FIND("-",Sheet1!$W$2:$W$754)+1))),Sheet1!$W$2:$W$754,""),IF(_xlpm.desc="","NOT FOUND",LEFT(_xlpm.desc,FIND("-",_xlpm.desc,FIND("-",_xlpm.desc)+1))&amp;AE246)),LEFT(J246,FIND("-",J246,FIND("-",J246)+1))&amp;AE246))</f>
        <v>KRTS-APWN26-GETKRTSCUT7163</v>
      </c>
    </row>
    <row r="247" spans="1:34" ht="15.75" customHeight="1" x14ac:dyDescent="0.2">
      <c r="A247" t="s">
        <v>30</v>
      </c>
      <c r="B247" t="s">
        <v>949</v>
      </c>
      <c r="C247" t="s">
        <v>1152</v>
      </c>
      <c r="D247" t="s">
        <v>1155</v>
      </c>
      <c r="E247" t="s">
        <v>34</v>
      </c>
      <c r="F247" t="s">
        <v>35</v>
      </c>
      <c r="G247" t="s">
        <v>47</v>
      </c>
      <c r="H247" t="s">
        <v>958</v>
      </c>
      <c r="I247" t="s">
        <v>959</v>
      </c>
      <c r="J247" t="s">
        <v>961</v>
      </c>
      <c r="K247" t="s">
        <v>474</v>
      </c>
      <c r="L247" t="s">
        <v>40</v>
      </c>
      <c r="M247">
        <v>1</v>
      </c>
      <c r="N247">
        <v>341</v>
      </c>
      <c r="O247">
        <v>341</v>
      </c>
      <c r="P247" t="s">
        <v>41</v>
      </c>
      <c r="Q247">
        <v>239.7</v>
      </c>
      <c r="R247">
        <v>239.7</v>
      </c>
      <c r="S247">
        <v>4086.89</v>
      </c>
      <c r="T247">
        <v>81737.7</v>
      </c>
      <c r="U247">
        <v>5</v>
      </c>
      <c r="V247" t="s">
        <v>42</v>
      </c>
      <c r="W247" t="s">
        <v>474</v>
      </c>
      <c r="X247" s="6" t="str">
        <f t="shared" si="0"/>
        <v>441814973</v>
      </c>
      <c r="Y247" s="7" t="str">
        <f t="shared" si="1"/>
        <v>DC</v>
      </c>
      <c r="Z247" s="7">
        <f t="shared" si="2"/>
        <v>0</v>
      </c>
      <c r="AA247" s="7">
        <f t="shared" si="3"/>
        <v>0</v>
      </c>
      <c r="AB247" s="7">
        <f t="shared" si="4"/>
        <v>341</v>
      </c>
      <c r="AC247" s="7">
        <f t="shared" si="5"/>
        <v>0</v>
      </c>
      <c r="AD247" s="7">
        <f t="shared" si="6"/>
        <v>0</v>
      </c>
      <c r="AE247" s="8" t="str" cm="1">
        <f t="array" ref="AE247">IFERROR(_xlfn.XLOOKUP(H247,Sheet1!$G:$G,Sheet1!$F:$F),IFERROR(_xlfn.XLOOKUP(1,(--($X$2:$X$1074=X247))*(--ISNUMBER(MATCH($H$2:$H$1074,Sheet1!$G:$G,0))),_xlfn.XLOOKUP($H$2:$H$1074,Sheet1!$G:$G,Sheet1!$F:$F,"")),"NOT FOUND"))</f>
        <v>GETKRTSCUT7163</v>
      </c>
      <c r="AF247" s="9" t="str">
        <f t="shared" si="13"/>
        <v>BLACK</v>
      </c>
      <c r="AG247" s="10" t="str">
        <f t="shared" si="14"/>
        <v>Bangalore</v>
      </c>
      <c r="AH247" s="8" t="str" cm="1">
        <f t="array" ref="AH247">IF(OR(J247="",AE247="",AE247="NOT FOUND"),"",IF(Y247="RP",_xlfn.LET(_xlpm.desc,_xlfn.XLOOKUP(1,(--(Sheet1!$F$2:$F$754=AE247))*(--ISNUMBER(FIND("-",Sheet1!$W$2:$W$754,FIND("-",Sheet1!$W$2:$W$754)+1))),Sheet1!$W$2:$W$754,""),IF(_xlpm.desc="","NOT FOUND",LEFT(_xlpm.desc,FIND("-",_xlpm.desc,FIND("-",_xlpm.desc)+1))&amp;AE247)),LEFT(J247,FIND("-",J247,FIND("-",J247)+1))&amp;AE247))</f>
        <v>KRTS-APWN26-GETKRTSCUT7163</v>
      </c>
    </row>
    <row r="248" spans="1:34" ht="15.75" customHeight="1" x14ac:dyDescent="0.2">
      <c r="A248" t="s">
        <v>30</v>
      </c>
      <c r="B248" t="s">
        <v>949</v>
      </c>
      <c r="C248" t="s">
        <v>1152</v>
      </c>
      <c r="D248" t="s">
        <v>1155</v>
      </c>
      <c r="E248" t="s">
        <v>34</v>
      </c>
      <c r="F248" t="s">
        <v>35</v>
      </c>
      <c r="G248" t="s">
        <v>51</v>
      </c>
      <c r="H248" t="s">
        <v>962</v>
      </c>
      <c r="I248" t="s">
        <v>963</v>
      </c>
      <c r="J248" t="s">
        <v>964</v>
      </c>
      <c r="K248" t="s">
        <v>474</v>
      </c>
      <c r="L248" t="s">
        <v>40</v>
      </c>
      <c r="M248">
        <v>1</v>
      </c>
      <c r="N248">
        <v>363</v>
      </c>
      <c r="O248">
        <v>363</v>
      </c>
      <c r="P248" t="s">
        <v>41</v>
      </c>
      <c r="Q248">
        <v>239.7</v>
      </c>
      <c r="R248">
        <v>239.7</v>
      </c>
      <c r="S248">
        <v>4350.5600000000004</v>
      </c>
      <c r="T248">
        <v>87011.1</v>
      </c>
      <c r="U248">
        <v>5</v>
      </c>
      <c r="V248" t="s">
        <v>42</v>
      </c>
      <c r="W248" t="s">
        <v>474</v>
      </c>
      <c r="X248" s="6" t="str">
        <f t="shared" si="0"/>
        <v>441814973</v>
      </c>
      <c r="Y248" s="7" t="str">
        <f t="shared" si="1"/>
        <v>DC</v>
      </c>
      <c r="Z248" s="7">
        <f t="shared" si="2"/>
        <v>0</v>
      </c>
      <c r="AA248" s="7">
        <f t="shared" si="3"/>
        <v>0</v>
      </c>
      <c r="AB248" s="7">
        <f t="shared" si="4"/>
        <v>0</v>
      </c>
      <c r="AC248" s="7">
        <f t="shared" si="5"/>
        <v>363</v>
      </c>
      <c r="AD248" s="7">
        <f t="shared" si="6"/>
        <v>0</v>
      </c>
      <c r="AE248" s="8" t="str" cm="1">
        <f t="array" ref="AE248">IFERROR(_xlfn.XLOOKUP(H248,Sheet1!$G:$G,Sheet1!$F:$F),IFERROR(_xlfn.XLOOKUP(1,(--($X$2:$X$1074=X248))*(--ISNUMBER(MATCH($H$2:$H$1074,Sheet1!$G:$G,0))),_xlfn.XLOOKUP($H$2:$H$1074,Sheet1!$G:$G,Sheet1!$F:$F,"")),"NOT FOUND"))</f>
        <v>GETKRTSCUT7163</v>
      </c>
      <c r="AF248" s="9" t="str">
        <f t="shared" si="13"/>
        <v>BLACK</v>
      </c>
      <c r="AG248" s="10" t="str">
        <f t="shared" si="14"/>
        <v>Bangalore</v>
      </c>
      <c r="AH248" s="8" t="str" cm="1">
        <f t="array" ref="AH248">IF(OR(J248="",AE248="",AE248="NOT FOUND"),"",IF(Y248="RP",_xlfn.LET(_xlpm.desc,_xlfn.XLOOKUP(1,(--(Sheet1!$F$2:$F$754=AE248))*(--ISNUMBER(FIND("-",Sheet1!$W$2:$W$754,FIND("-",Sheet1!$W$2:$W$754)+1))),Sheet1!$W$2:$W$754,""),IF(_xlpm.desc="","NOT FOUND",LEFT(_xlpm.desc,FIND("-",_xlpm.desc,FIND("-",_xlpm.desc)+1))&amp;AE248)),LEFT(J248,FIND("-",J248,FIND("-",J248)+1))&amp;AE248))</f>
        <v>KRTS-APWN26-GETKRTSCUT7163</v>
      </c>
    </row>
    <row r="249" spans="1:34" ht="15.75" customHeight="1" x14ac:dyDescent="0.2">
      <c r="A249" t="s">
        <v>30</v>
      </c>
      <c r="B249" t="s">
        <v>949</v>
      </c>
      <c r="C249" t="s">
        <v>1152</v>
      </c>
      <c r="D249" t="s">
        <v>1155</v>
      </c>
      <c r="E249" t="s">
        <v>34</v>
      </c>
      <c r="F249" t="s">
        <v>35</v>
      </c>
      <c r="G249" t="s">
        <v>55</v>
      </c>
      <c r="H249" t="s">
        <v>965</v>
      </c>
      <c r="I249" t="s">
        <v>966</v>
      </c>
      <c r="J249" t="s">
        <v>968</v>
      </c>
      <c r="K249" t="s">
        <v>474</v>
      </c>
      <c r="L249" t="s">
        <v>40</v>
      </c>
      <c r="M249">
        <v>1</v>
      </c>
      <c r="N249">
        <v>128</v>
      </c>
      <c r="O249">
        <v>128</v>
      </c>
      <c r="P249" t="s">
        <v>41</v>
      </c>
      <c r="Q249">
        <v>239.7</v>
      </c>
      <c r="R249">
        <v>239.7</v>
      </c>
      <c r="S249">
        <v>1534.08</v>
      </c>
      <c r="T249">
        <v>30681.599999999999</v>
      </c>
      <c r="U249">
        <v>5</v>
      </c>
      <c r="V249" t="s">
        <v>42</v>
      </c>
      <c r="W249" t="s">
        <v>474</v>
      </c>
      <c r="X249" s="6" t="str">
        <f t="shared" si="0"/>
        <v>441814973</v>
      </c>
      <c r="Y249" s="7" t="str">
        <f t="shared" si="1"/>
        <v>DC</v>
      </c>
      <c r="Z249" s="7">
        <f t="shared" si="2"/>
        <v>0</v>
      </c>
      <c r="AA249" s="7">
        <f t="shared" si="3"/>
        <v>0</v>
      </c>
      <c r="AB249" s="7">
        <f t="shared" si="4"/>
        <v>0</v>
      </c>
      <c r="AC249" s="7">
        <f t="shared" si="5"/>
        <v>0</v>
      </c>
      <c r="AD249" s="7">
        <f t="shared" si="6"/>
        <v>128</v>
      </c>
      <c r="AE249" s="8" t="str" cm="1">
        <f t="array" ref="AE249">IFERROR(_xlfn.XLOOKUP(H249,Sheet1!$G:$G,Sheet1!$F:$F),IFERROR(_xlfn.XLOOKUP(1,(--($X$2:$X$1074=X249))*(--ISNUMBER(MATCH($H$2:$H$1074,Sheet1!$G:$G,0))),_xlfn.XLOOKUP($H$2:$H$1074,Sheet1!$G:$G,Sheet1!$F:$F,"")),"NOT FOUND"))</f>
        <v>GETKRTSCUT7163</v>
      </c>
      <c r="AF249" s="9" t="str">
        <f t="shared" si="13"/>
        <v>BLACK</v>
      </c>
      <c r="AG249" s="10" t="str">
        <f t="shared" si="14"/>
        <v>Bangalore</v>
      </c>
      <c r="AH249" s="8" t="str" cm="1">
        <f t="array" ref="AH249">IF(OR(J249="",AE249="",AE249="NOT FOUND"),"",IF(Y249="RP",_xlfn.LET(_xlpm.desc,_xlfn.XLOOKUP(1,(--(Sheet1!$F$2:$F$754=AE249))*(--ISNUMBER(FIND("-",Sheet1!$W$2:$W$754,FIND("-",Sheet1!$W$2:$W$754)+1))),Sheet1!$W$2:$W$754,""),IF(_xlpm.desc="","NOT FOUND",LEFT(_xlpm.desc,FIND("-",_xlpm.desc,FIND("-",_xlpm.desc)+1))&amp;AE249)),LEFT(J249,FIND("-",J249,FIND("-",J249)+1))&amp;AE249))</f>
        <v>KRTS-APWN26-GETKRTSCUT7163</v>
      </c>
    </row>
    <row r="250" spans="1:34" ht="15.75" customHeight="1" x14ac:dyDescent="0.2">
      <c r="A250" t="s">
        <v>30</v>
      </c>
      <c r="B250" t="s">
        <v>969</v>
      </c>
      <c r="C250" t="s">
        <v>1152</v>
      </c>
      <c r="D250" t="s">
        <v>1155</v>
      </c>
      <c r="E250" t="s">
        <v>34</v>
      </c>
      <c r="F250" t="s">
        <v>35</v>
      </c>
      <c r="G250" t="s">
        <v>36</v>
      </c>
      <c r="H250" t="s">
        <v>970</v>
      </c>
      <c r="I250" t="s">
        <v>971</v>
      </c>
      <c r="J250" t="s">
        <v>972</v>
      </c>
      <c r="K250" t="s">
        <v>474</v>
      </c>
      <c r="L250" t="s">
        <v>40</v>
      </c>
      <c r="M250">
        <v>1</v>
      </c>
      <c r="N250">
        <v>39</v>
      </c>
      <c r="O250">
        <v>39</v>
      </c>
      <c r="P250" t="s">
        <v>41</v>
      </c>
      <c r="Q250">
        <v>279.7</v>
      </c>
      <c r="R250">
        <v>279.7</v>
      </c>
      <c r="S250">
        <v>545.41999999999996</v>
      </c>
      <c r="T250">
        <v>10908.3</v>
      </c>
      <c r="U250">
        <v>5</v>
      </c>
      <c r="V250" t="s">
        <v>42</v>
      </c>
      <c r="W250" t="s">
        <v>474</v>
      </c>
      <c r="X250" s="6" t="str">
        <f t="shared" si="0"/>
        <v>441814972</v>
      </c>
      <c r="Y250" s="7" t="str">
        <f t="shared" si="1"/>
        <v>DC</v>
      </c>
      <c r="Z250" s="7">
        <f t="shared" si="2"/>
        <v>39</v>
      </c>
      <c r="AA250" s="7">
        <f t="shared" si="3"/>
        <v>0</v>
      </c>
      <c r="AB250" s="7">
        <f t="shared" si="4"/>
        <v>0</v>
      </c>
      <c r="AC250" s="7">
        <f t="shared" si="5"/>
        <v>0</v>
      </c>
      <c r="AD250" s="7">
        <f t="shared" si="6"/>
        <v>0</v>
      </c>
      <c r="AE250" s="8" t="str" cm="1">
        <f t="array" ref="AE250">IFERROR(_xlfn.XLOOKUP(H250,Sheet1!$G:$G,Sheet1!$F:$F),IFERROR(_xlfn.XLOOKUP(1,(--($X$2:$X$1074=X250))*(--ISNUMBER(MATCH($H$2:$H$1074,Sheet1!$G:$G,0))),_xlfn.XLOOKUP($H$2:$H$1074,Sheet1!$G:$G,Sheet1!$F:$F,"")),"NOT FOUND"))</f>
        <v>GETKRTSFUT6457</v>
      </c>
      <c r="AF250" s="9" t="str">
        <f t="shared" si="13"/>
        <v>BLACK</v>
      </c>
      <c r="AG250" s="10" t="str">
        <f t="shared" si="14"/>
        <v>Bangalore</v>
      </c>
      <c r="AH250" s="8" t="str" cm="1">
        <f t="array" ref="AH250">IF(OR(J250="",AE250="",AE250="NOT FOUND"),"",IF(Y250="RP",_xlfn.LET(_xlpm.desc,_xlfn.XLOOKUP(1,(--(Sheet1!$F$2:$F$754=AE250))*(--ISNUMBER(FIND("-",Sheet1!$W$2:$W$754,FIND("-",Sheet1!$W$2:$W$754)+1))),Sheet1!$W$2:$W$754,""),IF(_xlpm.desc="","NOT FOUND",LEFT(_xlpm.desc,FIND("-",_xlpm.desc,FIND("-",_xlpm.desc)+1))&amp;AE250)),LEFT(J250,FIND("-",J250,FIND("-",J250)+1))&amp;AE250))</f>
        <v>KRTS-APWN26-GETKRTSFUT6457</v>
      </c>
    </row>
    <row r="251" spans="1:34" ht="15.75" customHeight="1" x14ac:dyDescent="0.2">
      <c r="A251" t="s">
        <v>30</v>
      </c>
      <c r="B251" t="s">
        <v>969</v>
      </c>
      <c r="C251" t="s">
        <v>1152</v>
      </c>
      <c r="D251" t="s">
        <v>1155</v>
      </c>
      <c r="E251" t="s">
        <v>34</v>
      </c>
      <c r="F251" t="s">
        <v>35</v>
      </c>
      <c r="G251" t="s">
        <v>43</v>
      </c>
      <c r="H251" t="s">
        <v>973</v>
      </c>
      <c r="I251" t="s">
        <v>974</v>
      </c>
      <c r="J251" t="s">
        <v>976</v>
      </c>
      <c r="K251" t="s">
        <v>474</v>
      </c>
      <c r="L251" t="s">
        <v>40</v>
      </c>
      <c r="M251">
        <v>1</v>
      </c>
      <c r="N251">
        <v>165</v>
      </c>
      <c r="O251">
        <v>165</v>
      </c>
      <c r="P251" t="s">
        <v>41</v>
      </c>
      <c r="Q251">
        <v>279.7</v>
      </c>
      <c r="R251">
        <v>279.7</v>
      </c>
      <c r="S251">
        <v>2307.5300000000002</v>
      </c>
      <c r="T251">
        <v>46150.5</v>
      </c>
      <c r="U251">
        <v>5</v>
      </c>
      <c r="V251" t="s">
        <v>42</v>
      </c>
      <c r="W251" t="s">
        <v>474</v>
      </c>
      <c r="X251" s="6" t="str">
        <f t="shared" si="0"/>
        <v>441814972</v>
      </c>
      <c r="Y251" s="7" t="str">
        <f t="shared" si="1"/>
        <v>DC</v>
      </c>
      <c r="Z251" s="7">
        <f t="shared" si="2"/>
        <v>0</v>
      </c>
      <c r="AA251" s="7">
        <f t="shared" si="3"/>
        <v>165</v>
      </c>
      <c r="AB251" s="7">
        <f t="shared" si="4"/>
        <v>0</v>
      </c>
      <c r="AC251" s="7">
        <f t="shared" si="5"/>
        <v>0</v>
      </c>
      <c r="AD251" s="7">
        <f t="shared" si="6"/>
        <v>0</v>
      </c>
      <c r="AE251" s="8" t="str" cm="1">
        <f t="array" ref="AE251">IFERROR(_xlfn.XLOOKUP(H251,Sheet1!$G:$G,Sheet1!$F:$F),IFERROR(_xlfn.XLOOKUP(1,(--($X$2:$X$1074=X251))*(--ISNUMBER(MATCH($H$2:$H$1074,Sheet1!$G:$G,0))),_xlfn.XLOOKUP($H$2:$H$1074,Sheet1!$G:$G,Sheet1!$F:$F,"")),"NOT FOUND"))</f>
        <v>GETKRTSFUT6457</v>
      </c>
      <c r="AF251" s="9" t="str">
        <f t="shared" si="13"/>
        <v>BLACK</v>
      </c>
      <c r="AG251" s="10" t="str">
        <f t="shared" si="14"/>
        <v>Bangalore</v>
      </c>
      <c r="AH251" s="8" t="str" cm="1">
        <f t="array" ref="AH251">IF(OR(J251="",AE251="",AE251="NOT FOUND"),"",IF(Y251="RP",_xlfn.LET(_xlpm.desc,_xlfn.XLOOKUP(1,(--(Sheet1!$F$2:$F$754=AE251))*(--ISNUMBER(FIND("-",Sheet1!$W$2:$W$754,FIND("-",Sheet1!$W$2:$W$754)+1))),Sheet1!$W$2:$W$754,""),IF(_xlpm.desc="","NOT FOUND",LEFT(_xlpm.desc,FIND("-",_xlpm.desc,FIND("-",_xlpm.desc)+1))&amp;AE251)),LEFT(J251,FIND("-",J251,FIND("-",J251)+1))&amp;AE251))</f>
        <v>KRTS-APWN26-GETKRTSFUT6457</v>
      </c>
    </row>
    <row r="252" spans="1:34" ht="15.75" customHeight="1" x14ac:dyDescent="0.2">
      <c r="A252" t="s">
        <v>30</v>
      </c>
      <c r="B252" t="s">
        <v>969</v>
      </c>
      <c r="C252" t="s">
        <v>1152</v>
      </c>
      <c r="D252" t="s">
        <v>1155</v>
      </c>
      <c r="E252" t="s">
        <v>34</v>
      </c>
      <c r="F252" t="s">
        <v>35</v>
      </c>
      <c r="G252" t="s">
        <v>47</v>
      </c>
      <c r="H252" t="s">
        <v>977</v>
      </c>
      <c r="I252" t="s">
        <v>978</v>
      </c>
      <c r="J252" t="s">
        <v>980</v>
      </c>
      <c r="K252" t="s">
        <v>474</v>
      </c>
      <c r="L252" t="s">
        <v>40</v>
      </c>
      <c r="M252">
        <v>1</v>
      </c>
      <c r="N252">
        <v>155</v>
      </c>
      <c r="O252">
        <v>155</v>
      </c>
      <c r="P252" t="s">
        <v>41</v>
      </c>
      <c r="Q252">
        <v>279.7</v>
      </c>
      <c r="R252">
        <v>279.7</v>
      </c>
      <c r="S252">
        <v>2167.6799999999998</v>
      </c>
      <c r="T252">
        <v>43353.5</v>
      </c>
      <c r="U252">
        <v>5</v>
      </c>
      <c r="V252" t="s">
        <v>42</v>
      </c>
      <c r="W252" t="s">
        <v>474</v>
      </c>
      <c r="X252" s="6" t="str">
        <f t="shared" si="0"/>
        <v>441814972</v>
      </c>
      <c r="Y252" s="7" t="str">
        <f t="shared" si="1"/>
        <v>DC</v>
      </c>
      <c r="Z252" s="7">
        <f t="shared" si="2"/>
        <v>0</v>
      </c>
      <c r="AA252" s="7">
        <f t="shared" si="3"/>
        <v>0</v>
      </c>
      <c r="AB252" s="7">
        <f t="shared" si="4"/>
        <v>155</v>
      </c>
      <c r="AC252" s="7">
        <f t="shared" si="5"/>
        <v>0</v>
      </c>
      <c r="AD252" s="7">
        <f t="shared" si="6"/>
        <v>0</v>
      </c>
      <c r="AE252" s="8" t="str" cm="1">
        <f t="array" ref="AE252">IFERROR(_xlfn.XLOOKUP(H252,Sheet1!$G:$G,Sheet1!$F:$F),IFERROR(_xlfn.XLOOKUP(1,(--($X$2:$X$1074=X252))*(--ISNUMBER(MATCH($H$2:$H$1074,Sheet1!$G:$G,0))),_xlfn.XLOOKUP($H$2:$H$1074,Sheet1!$G:$G,Sheet1!$F:$F,"")),"NOT FOUND"))</f>
        <v>GETKRTSFUT6457</v>
      </c>
      <c r="AF252" s="9" t="str">
        <f t="shared" si="13"/>
        <v>BLACK</v>
      </c>
      <c r="AG252" s="10" t="str">
        <f t="shared" si="14"/>
        <v>Bangalore</v>
      </c>
      <c r="AH252" s="8" t="str" cm="1">
        <f t="array" ref="AH252">IF(OR(J252="",AE252="",AE252="NOT FOUND"),"",IF(Y252="RP",_xlfn.LET(_xlpm.desc,_xlfn.XLOOKUP(1,(--(Sheet1!$F$2:$F$754=AE252))*(--ISNUMBER(FIND("-",Sheet1!$W$2:$W$754,FIND("-",Sheet1!$W$2:$W$754)+1))),Sheet1!$W$2:$W$754,""),IF(_xlpm.desc="","NOT FOUND",LEFT(_xlpm.desc,FIND("-",_xlpm.desc,FIND("-",_xlpm.desc)+1))&amp;AE252)),LEFT(J252,FIND("-",J252,FIND("-",J252)+1))&amp;AE252))</f>
        <v>KRTS-APWN26-GETKRTSFUT6457</v>
      </c>
    </row>
    <row r="253" spans="1:34" ht="15.75" customHeight="1" x14ac:dyDescent="0.2">
      <c r="A253" t="s">
        <v>30</v>
      </c>
      <c r="B253" t="s">
        <v>969</v>
      </c>
      <c r="C253" t="s">
        <v>1152</v>
      </c>
      <c r="D253" t="s">
        <v>1155</v>
      </c>
      <c r="E253" t="s">
        <v>34</v>
      </c>
      <c r="F253" t="s">
        <v>35</v>
      </c>
      <c r="G253" t="s">
        <v>51</v>
      </c>
      <c r="H253" t="s">
        <v>981</v>
      </c>
      <c r="I253" t="s">
        <v>982</v>
      </c>
      <c r="J253" t="s">
        <v>983</v>
      </c>
      <c r="K253" t="s">
        <v>474</v>
      </c>
      <c r="L253" t="s">
        <v>40</v>
      </c>
      <c r="M253">
        <v>1</v>
      </c>
      <c r="N253">
        <v>165</v>
      </c>
      <c r="O253">
        <v>165</v>
      </c>
      <c r="P253" t="s">
        <v>41</v>
      </c>
      <c r="Q253">
        <v>279.7</v>
      </c>
      <c r="R253">
        <v>279.7</v>
      </c>
      <c r="S253">
        <v>2307.5300000000002</v>
      </c>
      <c r="T253">
        <v>46150.5</v>
      </c>
      <c r="U253">
        <v>5</v>
      </c>
      <c r="V253" t="s">
        <v>42</v>
      </c>
      <c r="W253" t="s">
        <v>474</v>
      </c>
      <c r="X253" s="6" t="str">
        <f t="shared" si="0"/>
        <v>441814972</v>
      </c>
      <c r="Y253" s="7" t="str">
        <f t="shared" si="1"/>
        <v>DC</v>
      </c>
      <c r="Z253" s="7">
        <f t="shared" si="2"/>
        <v>0</v>
      </c>
      <c r="AA253" s="7">
        <f t="shared" si="3"/>
        <v>0</v>
      </c>
      <c r="AB253" s="7">
        <f t="shared" si="4"/>
        <v>0</v>
      </c>
      <c r="AC253" s="7">
        <f t="shared" si="5"/>
        <v>165</v>
      </c>
      <c r="AD253" s="7">
        <f t="shared" si="6"/>
        <v>0</v>
      </c>
      <c r="AE253" s="8" t="str" cm="1">
        <f t="array" ref="AE253">IFERROR(_xlfn.XLOOKUP(H253,Sheet1!$G:$G,Sheet1!$F:$F),IFERROR(_xlfn.XLOOKUP(1,(--($X$2:$X$1074=X253))*(--ISNUMBER(MATCH($H$2:$H$1074,Sheet1!$G:$G,0))),_xlfn.XLOOKUP($H$2:$H$1074,Sheet1!$G:$G,Sheet1!$F:$F,"")),"NOT FOUND"))</f>
        <v>GETKRTSFUT6457</v>
      </c>
      <c r="AF253" s="9" t="str">
        <f t="shared" si="13"/>
        <v>BLACK</v>
      </c>
      <c r="AG253" s="10" t="str">
        <f t="shared" si="14"/>
        <v>Bangalore</v>
      </c>
      <c r="AH253" s="8" t="str" cm="1">
        <f t="array" ref="AH253">IF(OR(J253="",AE253="",AE253="NOT FOUND"),"",IF(Y253="RP",_xlfn.LET(_xlpm.desc,_xlfn.XLOOKUP(1,(--(Sheet1!$F$2:$F$754=AE253))*(--ISNUMBER(FIND("-",Sheet1!$W$2:$W$754,FIND("-",Sheet1!$W$2:$W$754)+1))),Sheet1!$W$2:$W$754,""),IF(_xlpm.desc="","NOT FOUND",LEFT(_xlpm.desc,FIND("-",_xlpm.desc,FIND("-",_xlpm.desc)+1))&amp;AE253)),LEFT(J253,FIND("-",J253,FIND("-",J253)+1))&amp;AE253))</f>
        <v>KRTS-APWN26-GETKRTSFUT6457</v>
      </c>
    </row>
    <row r="254" spans="1:34" ht="15.75" customHeight="1" x14ac:dyDescent="0.2">
      <c r="A254" t="s">
        <v>30</v>
      </c>
      <c r="B254" t="s">
        <v>969</v>
      </c>
      <c r="C254" t="s">
        <v>1152</v>
      </c>
      <c r="D254" t="s">
        <v>1155</v>
      </c>
      <c r="E254" t="s">
        <v>34</v>
      </c>
      <c r="F254" t="s">
        <v>35</v>
      </c>
      <c r="G254" t="s">
        <v>55</v>
      </c>
      <c r="H254" t="s">
        <v>984</v>
      </c>
      <c r="I254" t="s">
        <v>985</v>
      </c>
      <c r="J254" t="s">
        <v>986</v>
      </c>
      <c r="K254" t="s">
        <v>474</v>
      </c>
      <c r="L254" t="s">
        <v>40</v>
      </c>
      <c r="M254">
        <v>1</v>
      </c>
      <c r="N254">
        <v>58</v>
      </c>
      <c r="O254">
        <v>58</v>
      </c>
      <c r="P254" t="s">
        <v>41</v>
      </c>
      <c r="Q254">
        <v>279.7</v>
      </c>
      <c r="R254">
        <v>279.7</v>
      </c>
      <c r="S254">
        <v>811.13</v>
      </c>
      <c r="T254">
        <v>16222.6</v>
      </c>
      <c r="U254">
        <v>5</v>
      </c>
      <c r="V254" t="s">
        <v>42</v>
      </c>
      <c r="W254" t="s">
        <v>474</v>
      </c>
      <c r="X254" s="6" t="str">
        <f t="shared" si="0"/>
        <v>441814972</v>
      </c>
      <c r="Y254" s="7" t="str">
        <f t="shared" si="1"/>
        <v>DC</v>
      </c>
      <c r="Z254" s="7">
        <f t="shared" si="2"/>
        <v>0</v>
      </c>
      <c r="AA254" s="7">
        <f t="shared" si="3"/>
        <v>0</v>
      </c>
      <c r="AB254" s="7">
        <f t="shared" si="4"/>
        <v>0</v>
      </c>
      <c r="AC254" s="7">
        <f t="shared" si="5"/>
        <v>0</v>
      </c>
      <c r="AD254" s="7">
        <f t="shared" si="6"/>
        <v>58</v>
      </c>
      <c r="AE254" s="8" t="str" cm="1">
        <f t="array" ref="AE254">IFERROR(_xlfn.XLOOKUP(H254,Sheet1!$G:$G,Sheet1!$F:$F),IFERROR(_xlfn.XLOOKUP(1,(--($X$2:$X$1074=X254))*(--ISNUMBER(MATCH($H$2:$H$1074,Sheet1!$G:$G,0))),_xlfn.XLOOKUP($H$2:$H$1074,Sheet1!$G:$G,Sheet1!$F:$F,"")),"NOT FOUND"))</f>
        <v>GETKRTSFUT6457</v>
      </c>
      <c r="AF254" s="9" t="str">
        <f t="shared" si="13"/>
        <v>BLACK</v>
      </c>
      <c r="AG254" s="10" t="str">
        <f t="shared" si="14"/>
        <v>Bangalore</v>
      </c>
      <c r="AH254" s="8" t="str" cm="1">
        <f t="array" ref="AH254">IF(OR(J254="",AE254="",AE254="NOT FOUND"),"",IF(Y254="RP",_xlfn.LET(_xlpm.desc,_xlfn.XLOOKUP(1,(--(Sheet1!$F$2:$F$754=AE254))*(--ISNUMBER(FIND("-",Sheet1!$W$2:$W$754,FIND("-",Sheet1!$W$2:$W$754)+1))),Sheet1!$W$2:$W$754,""),IF(_xlpm.desc="","NOT FOUND",LEFT(_xlpm.desc,FIND("-",_xlpm.desc,FIND("-",_xlpm.desc)+1))&amp;AE254)),LEFT(J254,FIND("-",J254,FIND("-",J254)+1))&amp;AE254))</f>
        <v>KRTS-APWN26-GETKRTSFUT6457</v>
      </c>
    </row>
    <row r="255" spans="1:34" ht="15.75" customHeight="1" x14ac:dyDescent="0.2">
      <c r="A255" t="s">
        <v>30</v>
      </c>
      <c r="B255" t="s">
        <v>987</v>
      </c>
      <c r="C255" t="s">
        <v>1152</v>
      </c>
      <c r="D255" t="s">
        <v>1153</v>
      </c>
      <c r="E255" t="s">
        <v>34</v>
      </c>
      <c r="F255" t="s">
        <v>35</v>
      </c>
      <c r="G255" t="s">
        <v>36</v>
      </c>
      <c r="H255" t="s">
        <v>988</v>
      </c>
      <c r="I255" t="s">
        <v>989</v>
      </c>
      <c r="J255" t="s">
        <v>990</v>
      </c>
      <c r="K255" t="s">
        <v>474</v>
      </c>
      <c r="L255" t="s">
        <v>40</v>
      </c>
      <c r="M255">
        <v>1</v>
      </c>
      <c r="N255">
        <v>64</v>
      </c>
      <c r="O255">
        <v>64</v>
      </c>
      <c r="P255" t="s">
        <v>41</v>
      </c>
      <c r="Q255">
        <v>269.7</v>
      </c>
      <c r="R255">
        <v>269.7</v>
      </c>
      <c r="S255">
        <v>863.04</v>
      </c>
      <c r="T255">
        <v>17260.8</v>
      </c>
      <c r="U255">
        <v>5</v>
      </c>
      <c r="V255" t="s">
        <v>42</v>
      </c>
      <c r="W255" t="s">
        <v>474</v>
      </c>
      <c r="X255" s="6" t="str">
        <f t="shared" si="0"/>
        <v>441814971</v>
      </c>
      <c r="Y255" s="7" t="str">
        <f t="shared" si="1"/>
        <v>DC</v>
      </c>
      <c r="Z255" s="7">
        <f t="shared" si="2"/>
        <v>64</v>
      </c>
      <c r="AA255" s="7">
        <f t="shared" si="3"/>
        <v>0</v>
      </c>
      <c r="AB255" s="7">
        <f t="shared" si="4"/>
        <v>0</v>
      </c>
      <c r="AC255" s="7">
        <f t="shared" si="5"/>
        <v>0</v>
      </c>
      <c r="AD255" s="7">
        <f t="shared" si="6"/>
        <v>0</v>
      </c>
      <c r="AE255" s="8" t="str" cm="1">
        <f t="array" ref="AE255">IFERROR(_xlfn.XLOOKUP(H255,Sheet1!$G:$G,Sheet1!$F:$F),IFERROR(_xlfn.XLOOKUP(1,(--($X$2:$X$1074=X255))*(--ISNUMBER(MATCH($H$2:$H$1074,Sheet1!$G:$G,0))),_xlfn.XLOOKUP($H$2:$H$1074,Sheet1!$G:$G,Sheet1!$F:$F,"")),"NOT FOUND"))</f>
        <v>GETKRTSFUT6452</v>
      </c>
      <c r="AF255" s="9" t="str">
        <f t="shared" si="13"/>
        <v>CREAM</v>
      </c>
      <c r="AG255" s="10" t="str">
        <f t="shared" si="14"/>
        <v>Bangalore</v>
      </c>
      <c r="AH255" s="8" t="str" cm="1">
        <f t="array" ref="AH255">IF(OR(J255="",AE255="",AE255="NOT FOUND"),"",IF(Y255="RP",_xlfn.LET(_xlpm.desc,_xlfn.XLOOKUP(1,(--(Sheet1!$F$2:$F$754=AE255))*(--ISNUMBER(FIND("-",Sheet1!$W$2:$W$754,FIND("-",Sheet1!$W$2:$W$754)+1))),Sheet1!$W$2:$W$754,""),IF(_xlpm.desc="","NOT FOUND",LEFT(_xlpm.desc,FIND("-",_xlpm.desc,FIND("-",_xlpm.desc)+1))&amp;AE255)),LEFT(J255,FIND("-",J255,FIND("-",J255)+1))&amp;AE255))</f>
        <v>KRTS-APWN26-GETKRTSFUT6452</v>
      </c>
    </row>
    <row r="256" spans="1:34" ht="15.75" customHeight="1" x14ac:dyDescent="0.2">
      <c r="A256" t="s">
        <v>30</v>
      </c>
      <c r="B256" t="s">
        <v>987</v>
      </c>
      <c r="C256" t="s">
        <v>1152</v>
      </c>
      <c r="D256" t="s">
        <v>1153</v>
      </c>
      <c r="E256" t="s">
        <v>34</v>
      </c>
      <c r="F256" t="s">
        <v>35</v>
      </c>
      <c r="G256" t="s">
        <v>43</v>
      </c>
      <c r="H256" t="s">
        <v>991</v>
      </c>
      <c r="I256" t="s">
        <v>992</v>
      </c>
      <c r="J256" t="s">
        <v>993</v>
      </c>
      <c r="K256" t="s">
        <v>474</v>
      </c>
      <c r="L256" t="s">
        <v>40</v>
      </c>
      <c r="M256">
        <v>1</v>
      </c>
      <c r="N256">
        <v>273</v>
      </c>
      <c r="O256">
        <v>273</v>
      </c>
      <c r="P256" t="s">
        <v>41</v>
      </c>
      <c r="Q256">
        <v>269.7</v>
      </c>
      <c r="R256">
        <v>269.7</v>
      </c>
      <c r="S256">
        <v>3681.41</v>
      </c>
      <c r="T256">
        <v>73628.100000000006</v>
      </c>
      <c r="U256">
        <v>5</v>
      </c>
      <c r="V256" t="s">
        <v>42</v>
      </c>
      <c r="W256" t="s">
        <v>474</v>
      </c>
      <c r="X256" s="6" t="str">
        <f t="shared" si="0"/>
        <v>441814971</v>
      </c>
      <c r="Y256" s="7" t="str">
        <f t="shared" si="1"/>
        <v>DC</v>
      </c>
      <c r="Z256" s="7">
        <f t="shared" si="2"/>
        <v>0</v>
      </c>
      <c r="AA256" s="7">
        <f t="shared" si="3"/>
        <v>273</v>
      </c>
      <c r="AB256" s="7">
        <f t="shared" si="4"/>
        <v>0</v>
      </c>
      <c r="AC256" s="7">
        <f t="shared" si="5"/>
        <v>0</v>
      </c>
      <c r="AD256" s="7">
        <f t="shared" si="6"/>
        <v>0</v>
      </c>
      <c r="AE256" s="8" t="str" cm="1">
        <f t="array" ref="AE256">IFERROR(_xlfn.XLOOKUP(H256,Sheet1!$G:$G,Sheet1!$F:$F),IFERROR(_xlfn.XLOOKUP(1,(--($X$2:$X$1074=X256))*(--ISNUMBER(MATCH($H$2:$H$1074,Sheet1!$G:$G,0))),_xlfn.XLOOKUP($H$2:$H$1074,Sheet1!$G:$G,Sheet1!$F:$F,"")),"NOT FOUND"))</f>
        <v>GETKRTSFUT6452</v>
      </c>
      <c r="AF256" s="9" t="str">
        <f t="shared" si="13"/>
        <v>CREAM</v>
      </c>
      <c r="AG256" s="10" t="str">
        <f t="shared" si="14"/>
        <v>Bangalore</v>
      </c>
      <c r="AH256" s="8" t="str" cm="1">
        <f t="array" ref="AH256">IF(OR(J256="",AE256="",AE256="NOT FOUND"),"",IF(Y256="RP",_xlfn.LET(_xlpm.desc,_xlfn.XLOOKUP(1,(--(Sheet1!$F$2:$F$754=AE256))*(--ISNUMBER(FIND("-",Sheet1!$W$2:$W$754,FIND("-",Sheet1!$W$2:$W$754)+1))),Sheet1!$W$2:$W$754,""),IF(_xlpm.desc="","NOT FOUND",LEFT(_xlpm.desc,FIND("-",_xlpm.desc,FIND("-",_xlpm.desc)+1))&amp;AE256)),LEFT(J256,FIND("-",J256,FIND("-",J256)+1))&amp;AE256))</f>
        <v>KRTS-APWN26-GETKRTSFUT6452</v>
      </c>
    </row>
    <row r="257" spans="1:34" ht="15.75" customHeight="1" x14ac:dyDescent="0.2">
      <c r="A257" t="s">
        <v>30</v>
      </c>
      <c r="B257" t="s">
        <v>987</v>
      </c>
      <c r="C257" t="s">
        <v>1152</v>
      </c>
      <c r="D257" t="s">
        <v>1153</v>
      </c>
      <c r="E257" t="s">
        <v>34</v>
      </c>
      <c r="F257" t="s">
        <v>35</v>
      </c>
      <c r="G257" t="s">
        <v>47</v>
      </c>
      <c r="H257" t="s">
        <v>994</v>
      </c>
      <c r="I257" t="s">
        <v>995</v>
      </c>
      <c r="J257" t="s">
        <v>996</v>
      </c>
      <c r="K257" t="s">
        <v>474</v>
      </c>
      <c r="L257" t="s">
        <v>40</v>
      </c>
      <c r="M257">
        <v>1</v>
      </c>
      <c r="N257">
        <v>257</v>
      </c>
      <c r="O257">
        <v>257</v>
      </c>
      <c r="P257" t="s">
        <v>41</v>
      </c>
      <c r="Q257">
        <v>269.7</v>
      </c>
      <c r="R257">
        <v>269.7</v>
      </c>
      <c r="S257">
        <v>3465.65</v>
      </c>
      <c r="T257">
        <v>69312.899999999994</v>
      </c>
      <c r="U257">
        <v>5</v>
      </c>
      <c r="V257" t="s">
        <v>42</v>
      </c>
      <c r="W257" t="s">
        <v>474</v>
      </c>
      <c r="X257" s="6" t="str">
        <f t="shared" ref="X257:X511" si="15">IF(ISNUMBER(VALUE(LEFT(J257,1))),LEFT(J257,MIN(IFERROR(FIND("A",UPPER(J257)),LEN(J257)+1),IFERROR(FIND("B",UPPER(J257)),LEN(J257)+1),IFERROR(FIND("C",UPPER(J257)),LEN(J257)+1),IFERROR(FIND("D",UPPER(J257)),LEN(J257)+1),IFERROR(FIND("E",UPPER(J257)),LEN(J257)+1),IFERROR(FIND("F",UPPER(J257)),LEN(J257)+1),IFERROR(FIND("G",UPPER(J257)),LEN(J257)+1),IFERROR(FIND("H",UPPER(J257)),LEN(J257)+1),IFERROR(FIND("I",UPPER(J257)),LEN(J257)+1),IFERROR(FIND("J",UPPER(J257)),LEN(J257)+1),IFERROR(FIND("K",UPPER(J257)),LEN(J257)+1),IFERROR(FIND("L",UPPER(J257)),LEN(J257)+1),IFERROR(FIND("M",UPPER(J257)),LEN(J257)+1),IFERROR(FIND("N",UPPER(J257)),LEN(J257)+1),IFERROR(FIND("O",UPPER(J257)),LEN(J257)+1),IFERROR(FIND("P",UPPER(J257)),LEN(J257)+1),IFERROR(FIND("Q",UPPER(J257)),LEN(J257)+1),IFERROR(FIND("R",UPPER(J257)),LEN(J257)+1),IFERROR(FIND("S",UPPER(J257)),LEN(J257)+1),IFERROR(FIND("T",UPPER(J257)),LEN(J257)+1),IFERROR(FIND("U",UPPER(J257)),LEN(J257)+1),IFERROR(FIND("V",UPPER(J257)),LEN(J257)+1),IFERROR(FIND("W",UPPER(J257)),LEN(J257)+1),IFERROR(FIND("X",UPPER(J257)),LEN(J257)+1),IFERROR(FIND("Y",UPPER(J257)),LEN(J257)+1),IFERROR(FIND("Z",UPPER(J257)),LEN(J257)+1))-1),LEFT(TEXT(I257,"0"),LEN(TEXT(I257,"0"))-3))</f>
        <v>441814971</v>
      </c>
      <c r="Y257" s="7" t="str">
        <f t="shared" ref="Y257:Y511" si="16">IF(ISNUMBER(SEARCH("(RP)",J257)),"RP","DC")</f>
        <v>DC</v>
      </c>
      <c r="Z257" s="7">
        <f t="shared" ref="Z257:Z511" si="17">IF(ISNUMBER(SEARCH("(RP)",J257)),O257,IF(RIGHT(TRIM(J257),3)=", S",O257,0))</f>
        <v>0</v>
      </c>
      <c r="AA257" s="7">
        <f t="shared" ref="AA257:AA511" si="18">IF(ISNUMBER(SEARCH("(RP)",J257)),O257,IF(RIGHT(TRIM(J257),3)=", M",O257,0))</f>
        <v>0</v>
      </c>
      <c r="AB257" s="7">
        <f t="shared" ref="AB257:AB511" si="19">IF(ISNUMBER(SEARCH("(RP)",J257)),O257,IF(RIGHT(TRIM(J257),3)=", L",O257,0))</f>
        <v>257</v>
      </c>
      <c r="AC257" s="7">
        <f t="shared" ref="AC257:AC511" si="20">IF(ISNUMBER(SEARCH("(RP)",J257)),O257,IF(RIGHT(TRIM(J257),4)=", XL",O257,0))</f>
        <v>0</v>
      </c>
      <c r="AD257" s="7">
        <f t="shared" ref="AD257:AD511" si="21">IF(ISNUMBER(SEARCH("(RP)",J257)),O257,IF(OR(RIGHT(TRIM(J257),5)=", XXL",RIGHT(TRIM(J257),5)=", 2XL"),O257,0))</f>
        <v>0</v>
      </c>
      <c r="AE257" s="8" t="str" cm="1">
        <f t="array" ref="AE257">IFERROR(_xlfn.XLOOKUP(H257,Sheet1!$G:$G,Sheet1!$F:$F),IFERROR(_xlfn.XLOOKUP(1,(--($X$2:$X$1074=X257))*(--ISNUMBER(MATCH($H$2:$H$1074,Sheet1!$G:$G,0))),_xlfn.XLOOKUP($H$2:$H$1074,Sheet1!$G:$G,Sheet1!$F:$F,"")),"NOT FOUND"))</f>
        <v>GETKRTSFUT6452</v>
      </c>
      <c r="AF257" s="9" t="str">
        <f t="shared" si="13"/>
        <v>CREAM</v>
      </c>
      <c r="AG257" s="10" t="str">
        <f t="shared" si="14"/>
        <v>Bangalore</v>
      </c>
      <c r="AH257" s="8" t="str" cm="1">
        <f t="array" ref="AH257">IF(OR(J257="",AE257="",AE257="NOT FOUND"),"",IF(Y257="RP",_xlfn.LET(_xlpm.desc,_xlfn.XLOOKUP(1,(--(Sheet1!$F$2:$F$754=AE257))*(--ISNUMBER(FIND("-",Sheet1!$W$2:$W$754,FIND("-",Sheet1!$W$2:$W$754)+1))),Sheet1!$W$2:$W$754,""),IF(_xlpm.desc="","NOT FOUND",LEFT(_xlpm.desc,FIND("-",_xlpm.desc,FIND("-",_xlpm.desc)+1))&amp;AE257)),LEFT(J257,FIND("-",J257,FIND("-",J257)+1))&amp;AE257))</f>
        <v>KRTS-APWN26-GETKRTSFUT6452</v>
      </c>
    </row>
    <row r="258" spans="1:34" ht="15.75" customHeight="1" x14ac:dyDescent="0.2">
      <c r="A258" t="s">
        <v>30</v>
      </c>
      <c r="B258" t="s">
        <v>987</v>
      </c>
      <c r="C258" t="s">
        <v>1152</v>
      </c>
      <c r="D258" t="s">
        <v>1153</v>
      </c>
      <c r="E258" t="s">
        <v>34</v>
      </c>
      <c r="F258" t="s">
        <v>35</v>
      </c>
      <c r="G258" t="s">
        <v>51</v>
      </c>
      <c r="H258" t="s">
        <v>997</v>
      </c>
      <c r="I258" t="s">
        <v>998</v>
      </c>
      <c r="J258" t="s">
        <v>999</v>
      </c>
      <c r="K258" t="s">
        <v>474</v>
      </c>
      <c r="L258" t="s">
        <v>40</v>
      </c>
      <c r="M258">
        <v>1</v>
      </c>
      <c r="N258">
        <v>273</v>
      </c>
      <c r="O258">
        <v>273</v>
      </c>
      <c r="P258" t="s">
        <v>41</v>
      </c>
      <c r="Q258">
        <v>269.7</v>
      </c>
      <c r="R258">
        <v>269.7</v>
      </c>
      <c r="S258">
        <v>3681.41</v>
      </c>
      <c r="T258">
        <v>73628.100000000006</v>
      </c>
      <c r="U258">
        <v>5</v>
      </c>
      <c r="V258" t="s">
        <v>42</v>
      </c>
      <c r="W258" t="s">
        <v>474</v>
      </c>
      <c r="X258" s="6" t="str">
        <f t="shared" si="15"/>
        <v>441814971</v>
      </c>
      <c r="Y258" s="7" t="str">
        <f t="shared" si="16"/>
        <v>DC</v>
      </c>
      <c r="Z258" s="7">
        <f t="shared" si="17"/>
        <v>0</v>
      </c>
      <c r="AA258" s="7">
        <f t="shared" si="18"/>
        <v>0</v>
      </c>
      <c r="AB258" s="7">
        <f t="shared" si="19"/>
        <v>0</v>
      </c>
      <c r="AC258" s="7">
        <f t="shared" si="20"/>
        <v>273</v>
      </c>
      <c r="AD258" s="7">
        <f t="shared" si="21"/>
        <v>0</v>
      </c>
      <c r="AE258" s="8" t="str" cm="1">
        <f t="array" ref="AE258">IFERROR(_xlfn.XLOOKUP(H258,Sheet1!$G:$G,Sheet1!$F:$F),IFERROR(_xlfn.XLOOKUP(1,(--($X$2:$X$1074=X258))*(--ISNUMBER(MATCH($H$2:$H$1074,Sheet1!$G:$G,0))),_xlfn.XLOOKUP($H$2:$H$1074,Sheet1!$G:$G,Sheet1!$F:$F,"")),"NOT FOUND"))</f>
        <v>GETKRTSFUT6452</v>
      </c>
      <c r="AF258" s="9" t="str">
        <f t="shared" si="13"/>
        <v>CREAM</v>
      </c>
      <c r="AG258" s="10" t="str">
        <f t="shared" si="14"/>
        <v>Bangalore</v>
      </c>
      <c r="AH258" s="8" t="str" cm="1">
        <f t="array" ref="AH258">IF(OR(J258="",AE258="",AE258="NOT FOUND"),"",IF(Y258="RP",_xlfn.LET(_xlpm.desc,_xlfn.XLOOKUP(1,(--(Sheet1!$F$2:$F$754=AE258))*(--ISNUMBER(FIND("-",Sheet1!$W$2:$W$754,FIND("-",Sheet1!$W$2:$W$754)+1))),Sheet1!$W$2:$W$754,""),IF(_xlpm.desc="","NOT FOUND",LEFT(_xlpm.desc,FIND("-",_xlpm.desc,FIND("-",_xlpm.desc)+1))&amp;AE258)),LEFT(J258,FIND("-",J258,FIND("-",J258)+1))&amp;AE258))</f>
        <v>KRTS-APWN26-GETKRTSFUT6452</v>
      </c>
    </row>
    <row r="259" spans="1:34" ht="15.75" customHeight="1" x14ac:dyDescent="0.2">
      <c r="A259" t="s">
        <v>30</v>
      </c>
      <c r="B259" t="s">
        <v>987</v>
      </c>
      <c r="C259" t="s">
        <v>1152</v>
      </c>
      <c r="D259" t="s">
        <v>1153</v>
      </c>
      <c r="E259" t="s">
        <v>34</v>
      </c>
      <c r="F259" t="s">
        <v>35</v>
      </c>
      <c r="G259" t="s">
        <v>55</v>
      </c>
      <c r="H259" t="s">
        <v>1000</v>
      </c>
      <c r="I259" t="s">
        <v>1001</v>
      </c>
      <c r="J259" t="s">
        <v>1002</v>
      </c>
      <c r="K259" t="s">
        <v>474</v>
      </c>
      <c r="L259" t="s">
        <v>40</v>
      </c>
      <c r="M259">
        <v>1</v>
      </c>
      <c r="N259">
        <v>96</v>
      </c>
      <c r="O259">
        <v>96</v>
      </c>
      <c r="P259" t="s">
        <v>41</v>
      </c>
      <c r="Q259">
        <v>269.7</v>
      </c>
      <c r="R259">
        <v>269.7</v>
      </c>
      <c r="S259">
        <v>1294.56</v>
      </c>
      <c r="T259">
        <v>25891.200000000001</v>
      </c>
      <c r="U259">
        <v>5</v>
      </c>
      <c r="V259" t="s">
        <v>42</v>
      </c>
      <c r="W259" t="s">
        <v>474</v>
      </c>
      <c r="X259" s="6" t="str">
        <f t="shared" si="15"/>
        <v>441814971</v>
      </c>
      <c r="Y259" s="7" t="str">
        <f t="shared" si="16"/>
        <v>DC</v>
      </c>
      <c r="Z259" s="7">
        <f t="shared" si="17"/>
        <v>0</v>
      </c>
      <c r="AA259" s="7">
        <f t="shared" si="18"/>
        <v>0</v>
      </c>
      <c r="AB259" s="7">
        <f t="shared" si="19"/>
        <v>0</v>
      </c>
      <c r="AC259" s="7">
        <f t="shared" si="20"/>
        <v>0</v>
      </c>
      <c r="AD259" s="7">
        <f t="shared" si="21"/>
        <v>96</v>
      </c>
      <c r="AE259" s="8" t="str" cm="1">
        <f t="array" ref="AE259">IFERROR(_xlfn.XLOOKUP(H259,Sheet1!$G:$G,Sheet1!$F:$F),IFERROR(_xlfn.XLOOKUP(1,(--($X$2:$X$1074=X259))*(--ISNUMBER(MATCH($H$2:$H$1074,Sheet1!$G:$G,0))),_xlfn.XLOOKUP($H$2:$H$1074,Sheet1!$G:$G,Sheet1!$F:$F,"")),"NOT FOUND"))</f>
        <v>GETKRTSFUT6452</v>
      </c>
      <c r="AF259" s="9" t="str">
        <f t="shared" ref="AF259:AF322" si="22">IFERROR(IF(ISNUMBER(SEARCH("(RP)",J259)),TRIM(SUBSTITUTE(MID(J259,10,LEN(J259)),"(RP)","")),TRIM(MID(J259,FIND(",",J259)+1,FIND(",",J259,FIND(",",J259)+1)-FIND(",",J259)-1))),"")</f>
        <v>CREAM</v>
      </c>
      <c r="AG259" s="10" t="str">
        <f t="shared" ref="AG259:AG322" si="23">IF(A259="SZAF","Bangalore",IF(A259="SAEX","JHAJJAR",IF(A259="S0EU","HARIPAL","")))</f>
        <v>Bangalore</v>
      </c>
      <c r="AH259" s="8" t="str" cm="1">
        <f t="array" ref="AH259">IF(OR(J259="",AE259="",AE259="NOT FOUND"),"",IF(Y259="RP",_xlfn.LET(_xlpm.desc,_xlfn.XLOOKUP(1,(--(Sheet1!$F$2:$F$754=AE259))*(--ISNUMBER(FIND("-",Sheet1!$W$2:$W$754,FIND("-",Sheet1!$W$2:$W$754)+1))),Sheet1!$W$2:$W$754,""),IF(_xlpm.desc="","NOT FOUND",LEFT(_xlpm.desc,FIND("-",_xlpm.desc,FIND("-",_xlpm.desc)+1))&amp;AE259)),LEFT(J259,FIND("-",J259,FIND("-",J259)+1))&amp;AE259))</f>
        <v>KRTS-APWN26-GETKRTSFUT6452</v>
      </c>
    </row>
    <row r="260" spans="1:34" ht="15.75" customHeight="1" x14ac:dyDescent="0.2">
      <c r="A260" t="s">
        <v>59</v>
      </c>
      <c r="B260" t="s">
        <v>1003</v>
      </c>
      <c r="C260" t="s">
        <v>1152</v>
      </c>
      <c r="D260" t="s">
        <v>1155</v>
      </c>
      <c r="E260" t="s">
        <v>34</v>
      </c>
      <c r="F260" t="s">
        <v>35</v>
      </c>
      <c r="G260" t="s">
        <v>36</v>
      </c>
      <c r="H260" t="s">
        <v>950</v>
      </c>
      <c r="I260" t="s">
        <v>951</v>
      </c>
      <c r="J260" t="s">
        <v>953</v>
      </c>
      <c r="K260" t="s">
        <v>474</v>
      </c>
      <c r="L260" t="s">
        <v>40</v>
      </c>
      <c r="M260">
        <v>1</v>
      </c>
      <c r="N260">
        <v>52</v>
      </c>
      <c r="O260">
        <v>52</v>
      </c>
      <c r="P260" t="s">
        <v>41</v>
      </c>
      <c r="Q260">
        <v>239.7</v>
      </c>
      <c r="R260">
        <v>239.7</v>
      </c>
      <c r="S260">
        <v>623.22</v>
      </c>
      <c r="T260">
        <v>12464.4</v>
      </c>
      <c r="U260">
        <v>5</v>
      </c>
      <c r="V260" t="s">
        <v>42</v>
      </c>
      <c r="W260" t="s">
        <v>474</v>
      </c>
      <c r="X260" s="6" t="str">
        <f t="shared" si="15"/>
        <v>441814973</v>
      </c>
      <c r="Y260" s="7" t="str">
        <f t="shared" si="16"/>
        <v>DC</v>
      </c>
      <c r="Z260" s="7">
        <f t="shared" si="17"/>
        <v>52</v>
      </c>
      <c r="AA260" s="7">
        <f t="shared" si="18"/>
        <v>0</v>
      </c>
      <c r="AB260" s="7">
        <f t="shared" si="19"/>
        <v>0</v>
      </c>
      <c r="AC260" s="7">
        <f t="shared" si="20"/>
        <v>0</v>
      </c>
      <c r="AD260" s="7">
        <f t="shared" si="21"/>
        <v>0</v>
      </c>
      <c r="AE260" s="8" t="str" cm="1">
        <f t="array" ref="AE260">IFERROR(_xlfn.XLOOKUP(H260,Sheet1!$G:$G,Sheet1!$F:$F),IFERROR(_xlfn.XLOOKUP(1,(--($X$2:$X$1074=X260))*(--ISNUMBER(MATCH($H$2:$H$1074,Sheet1!$G:$G,0))),_xlfn.XLOOKUP($H$2:$H$1074,Sheet1!$G:$G,Sheet1!$F:$F,"")),"NOT FOUND"))</f>
        <v>GETKRTSCUT7163</v>
      </c>
      <c r="AF260" s="9" t="str">
        <f t="shared" si="22"/>
        <v>BLACK</v>
      </c>
      <c r="AG260" s="10" t="str">
        <f t="shared" si="23"/>
        <v>JHAJJAR</v>
      </c>
      <c r="AH260" s="8" t="str" cm="1">
        <f t="array" ref="AH260">IF(OR(J260="",AE260="",AE260="NOT FOUND"),"",IF(Y260="RP",_xlfn.LET(_xlpm.desc,_xlfn.XLOOKUP(1,(--(Sheet1!$F$2:$F$754=AE260))*(--ISNUMBER(FIND("-",Sheet1!$W$2:$W$754,FIND("-",Sheet1!$W$2:$W$754)+1))),Sheet1!$W$2:$W$754,""),IF(_xlpm.desc="","NOT FOUND",LEFT(_xlpm.desc,FIND("-",_xlpm.desc,FIND("-",_xlpm.desc)+1))&amp;AE260)),LEFT(J260,FIND("-",J260,FIND("-",J260)+1))&amp;AE260))</f>
        <v>KRTS-APWN26-GETKRTSCUT7163</v>
      </c>
    </row>
    <row r="261" spans="1:34" ht="15.75" customHeight="1" x14ac:dyDescent="0.2">
      <c r="A261" t="s">
        <v>59</v>
      </c>
      <c r="B261" t="s">
        <v>1003</v>
      </c>
      <c r="C261" t="s">
        <v>1152</v>
      </c>
      <c r="D261" t="s">
        <v>1155</v>
      </c>
      <c r="E261" t="s">
        <v>34</v>
      </c>
      <c r="F261" t="s">
        <v>35</v>
      </c>
      <c r="G261" t="s">
        <v>43</v>
      </c>
      <c r="H261" t="s">
        <v>954</v>
      </c>
      <c r="I261" t="s">
        <v>955</v>
      </c>
      <c r="J261" t="s">
        <v>957</v>
      </c>
      <c r="K261" t="s">
        <v>474</v>
      </c>
      <c r="L261" t="s">
        <v>40</v>
      </c>
      <c r="M261">
        <v>1</v>
      </c>
      <c r="N261">
        <v>222</v>
      </c>
      <c r="O261">
        <v>222</v>
      </c>
      <c r="P261" t="s">
        <v>41</v>
      </c>
      <c r="Q261">
        <v>239.7</v>
      </c>
      <c r="R261">
        <v>239.7</v>
      </c>
      <c r="S261">
        <v>2660.67</v>
      </c>
      <c r="T261">
        <v>53213.4</v>
      </c>
      <c r="U261">
        <v>5</v>
      </c>
      <c r="V261" t="s">
        <v>42</v>
      </c>
      <c r="W261" t="s">
        <v>474</v>
      </c>
      <c r="X261" s="6" t="str">
        <f t="shared" si="15"/>
        <v>441814973</v>
      </c>
      <c r="Y261" s="7" t="str">
        <f t="shared" si="16"/>
        <v>DC</v>
      </c>
      <c r="Z261" s="7">
        <f t="shared" si="17"/>
        <v>0</v>
      </c>
      <c r="AA261" s="7">
        <f t="shared" si="18"/>
        <v>222</v>
      </c>
      <c r="AB261" s="7">
        <f t="shared" si="19"/>
        <v>0</v>
      </c>
      <c r="AC261" s="7">
        <f t="shared" si="20"/>
        <v>0</v>
      </c>
      <c r="AD261" s="7">
        <f t="shared" si="21"/>
        <v>0</v>
      </c>
      <c r="AE261" s="8" t="str" cm="1">
        <f t="array" ref="AE261">IFERROR(_xlfn.XLOOKUP(H261,Sheet1!$G:$G,Sheet1!$F:$F),IFERROR(_xlfn.XLOOKUP(1,(--($X$2:$X$1074=X261))*(--ISNUMBER(MATCH($H$2:$H$1074,Sheet1!$G:$G,0))),_xlfn.XLOOKUP($H$2:$H$1074,Sheet1!$G:$G,Sheet1!$F:$F,"")),"NOT FOUND"))</f>
        <v>GETKRTSCUT7163</v>
      </c>
      <c r="AF261" s="9" t="str">
        <f t="shared" si="22"/>
        <v>BLACK</v>
      </c>
      <c r="AG261" s="10" t="str">
        <f t="shared" si="23"/>
        <v>JHAJJAR</v>
      </c>
      <c r="AH261" s="8" t="str" cm="1">
        <f t="array" ref="AH261">IF(OR(J261="",AE261="",AE261="NOT FOUND"),"",IF(Y261="RP",_xlfn.LET(_xlpm.desc,_xlfn.XLOOKUP(1,(--(Sheet1!$F$2:$F$754=AE261))*(--ISNUMBER(FIND("-",Sheet1!$W$2:$W$754,FIND("-",Sheet1!$W$2:$W$754)+1))),Sheet1!$W$2:$W$754,""),IF(_xlpm.desc="","NOT FOUND",LEFT(_xlpm.desc,FIND("-",_xlpm.desc,FIND("-",_xlpm.desc)+1))&amp;AE261)),LEFT(J261,FIND("-",J261,FIND("-",J261)+1))&amp;AE261))</f>
        <v>KRTS-APWN26-GETKRTSCUT7163</v>
      </c>
    </row>
    <row r="262" spans="1:34" ht="15.75" customHeight="1" x14ac:dyDescent="0.2">
      <c r="A262" t="s">
        <v>59</v>
      </c>
      <c r="B262" t="s">
        <v>1003</v>
      </c>
      <c r="C262" t="s">
        <v>1152</v>
      </c>
      <c r="D262" t="s">
        <v>1155</v>
      </c>
      <c r="E262" t="s">
        <v>34</v>
      </c>
      <c r="F262" t="s">
        <v>35</v>
      </c>
      <c r="G262" t="s">
        <v>47</v>
      </c>
      <c r="H262" t="s">
        <v>958</v>
      </c>
      <c r="I262" t="s">
        <v>959</v>
      </c>
      <c r="J262" t="s">
        <v>961</v>
      </c>
      <c r="K262" t="s">
        <v>474</v>
      </c>
      <c r="L262" t="s">
        <v>40</v>
      </c>
      <c r="M262">
        <v>1</v>
      </c>
      <c r="N262">
        <v>209</v>
      </c>
      <c r="O262">
        <v>209</v>
      </c>
      <c r="P262" t="s">
        <v>41</v>
      </c>
      <c r="Q262">
        <v>239.7</v>
      </c>
      <c r="R262">
        <v>239.7</v>
      </c>
      <c r="S262">
        <v>2504.87</v>
      </c>
      <c r="T262">
        <v>50097.3</v>
      </c>
      <c r="U262">
        <v>5</v>
      </c>
      <c r="V262" t="s">
        <v>42</v>
      </c>
      <c r="W262" t="s">
        <v>474</v>
      </c>
      <c r="X262" s="6" t="str">
        <f t="shared" si="15"/>
        <v>441814973</v>
      </c>
      <c r="Y262" s="7" t="str">
        <f t="shared" si="16"/>
        <v>DC</v>
      </c>
      <c r="Z262" s="7">
        <f t="shared" si="17"/>
        <v>0</v>
      </c>
      <c r="AA262" s="7">
        <f t="shared" si="18"/>
        <v>0</v>
      </c>
      <c r="AB262" s="7">
        <f t="shared" si="19"/>
        <v>209</v>
      </c>
      <c r="AC262" s="7">
        <f t="shared" si="20"/>
        <v>0</v>
      </c>
      <c r="AD262" s="7">
        <f t="shared" si="21"/>
        <v>0</v>
      </c>
      <c r="AE262" s="8" t="str" cm="1">
        <f t="array" ref="AE262">IFERROR(_xlfn.XLOOKUP(H262,Sheet1!$G:$G,Sheet1!$F:$F),IFERROR(_xlfn.XLOOKUP(1,(--($X$2:$X$1074=X262))*(--ISNUMBER(MATCH($H$2:$H$1074,Sheet1!$G:$G,0))),_xlfn.XLOOKUP($H$2:$H$1074,Sheet1!$G:$G,Sheet1!$F:$F,"")),"NOT FOUND"))</f>
        <v>GETKRTSCUT7163</v>
      </c>
      <c r="AF262" s="9" t="str">
        <f t="shared" si="22"/>
        <v>BLACK</v>
      </c>
      <c r="AG262" s="10" t="str">
        <f t="shared" si="23"/>
        <v>JHAJJAR</v>
      </c>
      <c r="AH262" s="8" t="str" cm="1">
        <f t="array" ref="AH262">IF(OR(J262="",AE262="",AE262="NOT FOUND"),"",IF(Y262="RP",_xlfn.LET(_xlpm.desc,_xlfn.XLOOKUP(1,(--(Sheet1!$F$2:$F$754=AE262))*(--ISNUMBER(FIND("-",Sheet1!$W$2:$W$754,FIND("-",Sheet1!$W$2:$W$754)+1))),Sheet1!$W$2:$W$754,""),IF(_xlpm.desc="","NOT FOUND",LEFT(_xlpm.desc,FIND("-",_xlpm.desc,FIND("-",_xlpm.desc)+1))&amp;AE262)),LEFT(J262,FIND("-",J262,FIND("-",J262)+1))&amp;AE262))</f>
        <v>KRTS-APWN26-GETKRTSCUT7163</v>
      </c>
    </row>
    <row r="263" spans="1:34" ht="15.75" customHeight="1" x14ac:dyDescent="0.2">
      <c r="A263" t="s">
        <v>59</v>
      </c>
      <c r="B263" t="s">
        <v>1003</v>
      </c>
      <c r="C263" t="s">
        <v>1152</v>
      </c>
      <c r="D263" t="s">
        <v>1155</v>
      </c>
      <c r="E263" t="s">
        <v>34</v>
      </c>
      <c r="F263" t="s">
        <v>35</v>
      </c>
      <c r="G263" t="s">
        <v>51</v>
      </c>
      <c r="H263" t="s">
        <v>962</v>
      </c>
      <c r="I263" t="s">
        <v>963</v>
      </c>
      <c r="J263" t="s">
        <v>964</v>
      </c>
      <c r="K263" t="s">
        <v>474</v>
      </c>
      <c r="L263" t="s">
        <v>40</v>
      </c>
      <c r="M263">
        <v>1</v>
      </c>
      <c r="N263">
        <v>222</v>
      </c>
      <c r="O263">
        <v>222</v>
      </c>
      <c r="P263" t="s">
        <v>41</v>
      </c>
      <c r="Q263">
        <v>239.7</v>
      </c>
      <c r="R263">
        <v>239.7</v>
      </c>
      <c r="S263">
        <v>2660.67</v>
      </c>
      <c r="T263">
        <v>53213.4</v>
      </c>
      <c r="U263">
        <v>5</v>
      </c>
      <c r="V263" t="s">
        <v>42</v>
      </c>
      <c r="W263" t="s">
        <v>474</v>
      </c>
      <c r="X263" s="6" t="str">
        <f t="shared" si="15"/>
        <v>441814973</v>
      </c>
      <c r="Y263" s="7" t="str">
        <f t="shared" si="16"/>
        <v>DC</v>
      </c>
      <c r="Z263" s="7">
        <f t="shared" si="17"/>
        <v>0</v>
      </c>
      <c r="AA263" s="7">
        <f t="shared" si="18"/>
        <v>0</v>
      </c>
      <c r="AB263" s="7">
        <f t="shared" si="19"/>
        <v>0</v>
      </c>
      <c r="AC263" s="7">
        <f t="shared" si="20"/>
        <v>222</v>
      </c>
      <c r="AD263" s="7">
        <f t="shared" si="21"/>
        <v>0</v>
      </c>
      <c r="AE263" s="8" t="str" cm="1">
        <f t="array" ref="AE263">IFERROR(_xlfn.XLOOKUP(H263,Sheet1!$G:$G,Sheet1!$F:$F),IFERROR(_xlfn.XLOOKUP(1,(--($X$2:$X$1074=X263))*(--ISNUMBER(MATCH($H$2:$H$1074,Sheet1!$G:$G,0))),_xlfn.XLOOKUP($H$2:$H$1074,Sheet1!$G:$G,Sheet1!$F:$F,"")),"NOT FOUND"))</f>
        <v>GETKRTSCUT7163</v>
      </c>
      <c r="AF263" s="9" t="str">
        <f t="shared" si="22"/>
        <v>BLACK</v>
      </c>
      <c r="AG263" s="10" t="str">
        <f t="shared" si="23"/>
        <v>JHAJJAR</v>
      </c>
      <c r="AH263" s="8" t="str" cm="1">
        <f t="array" ref="AH263">IF(OR(J263="",AE263="",AE263="NOT FOUND"),"",IF(Y263="RP",_xlfn.LET(_xlpm.desc,_xlfn.XLOOKUP(1,(--(Sheet1!$F$2:$F$754=AE263))*(--ISNUMBER(FIND("-",Sheet1!$W$2:$W$754,FIND("-",Sheet1!$W$2:$W$754)+1))),Sheet1!$W$2:$W$754,""),IF(_xlpm.desc="","NOT FOUND",LEFT(_xlpm.desc,FIND("-",_xlpm.desc,FIND("-",_xlpm.desc)+1))&amp;AE263)),LEFT(J263,FIND("-",J263,FIND("-",J263)+1))&amp;AE263))</f>
        <v>KRTS-APWN26-GETKRTSCUT7163</v>
      </c>
    </row>
    <row r="264" spans="1:34" ht="15.75" customHeight="1" x14ac:dyDescent="0.2">
      <c r="A264" t="s">
        <v>59</v>
      </c>
      <c r="B264" t="s">
        <v>1003</v>
      </c>
      <c r="C264" t="s">
        <v>1152</v>
      </c>
      <c r="D264" t="s">
        <v>1155</v>
      </c>
      <c r="E264" t="s">
        <v>34</v>
      </c>
      <c r="F264" t="s">
        <v>35</v>
      </c>
      <c r="G264" t="s">
        <v>55</v>
      </c>
      <c r="H264" t="s">
        <v>965</v>
      </c>
      <c r="I264" t="s">
        <v>966</v>
      </c>
      <c r="J264" t="s">
        <v>968</v>
      </c>
      <c r="K264" t="s">
        <v>474</v>
      </c>
      <c r="L264" t="s">
        <v>40</v>
      </c>
      <c r="M264">
        <v>1</v>
      </c>
      <c r="N264">
        <v>78</v>
      </c>
      <c r="O264">
        <v>78</v>
      </c>
      <c r="P264" t="s">
        <v>41</v>
      </c>
      <c r="Q264">
        <v>239.7</v>
      </c>
      <c r="R264">
        <v>239.7</v>
      </c>
      <c r="S264">
        <v>934.83</v>
      </c>
      <c r="T264">
        <v>18696.599999999999</v>
      </c>
      <c r="U264">
        <v>5</v>
      </c>
      <c r="V264" t="s">
        <v>42</v>
      </c>
      <c r="W264" t="s">
        <v>474</v>
      </c>
      <c r="X264" s="6" t="str">
        <f t="shared" si="15"/>
        <v>441814973</v>
      </c>
      <c r="Y264" s="7" t="str">
        <f t="shared" si="16"/>
        <v>DC</v>
      </c>
      <c r="Z264" s="7">
        <f t="shared" si="17"/>
        <v>0</v>
      </c>
      <c r="AA264" s="7">
        <f t="shared" si="18"/>
        <v>0</v>
      </c>
      <c r="AB264" s="7">
        <f t="shared" si="19"/>
        <v>0</v>
      </c>
      <c r="AC264" s="7">
        <f t="shared" si="20"/>
        <v>0</v>
      </c>
      <c r="AD264" s="7">
        <f t="shared" si="21"/>
        <v>78</v>
      </c>
      <c r="AE264" s="8" t="str" cm="1">
        <f t="array" ref="AE264">IFERROR(_xlfn.XLOOKUP(H264,Sheet1!$G:$G,Sheet1!$F:$F),IFERROR(_xlfn.XLOOKUP(1,(--($X$2:$X$1074=X264))*(--ISNUMBER(MATCH($H$2:$H$1074,Sheet1!$G:$G,0))),_xlfn.XLOOKUP($H$2:$H$1074,Sheet1!$G:$G,Sheet1!$F:$F,"")),"NOT FOUND"))</f>
        <v>GETKRTSCUT7163</v>
      </c>
      <c r="AF264" s="9" t="str">
        <f t="shared" si="22"/>
        <v>BLACK</v>
      </c>
      <c r="AG264" s="10" t="str">
        <f t="shared" si="23"/>
        <v>JHAJJAR</v>
      </c>
      <c r="AH264" s="8" t="str" cm="1">
        <f t="array" ref="AH264">IF(OR(J264="",AE264="",AE264="NOT FOUND"),"",IF(Y264="RP",_xlfn.LET(_xlpm.desc,_xlfn.XLOOKUP(1,(--(Sheet1!$F$2:$F$754=AE264))*(--ISNUMBER(FIND("-",Sheet1!$W$2:$W$754,FIND("-",Sheet1!$W$2:$W$754)+1))),Sheet1!$W$2:$W$754,""),IF(_xlpm.desc="","NOT FOUND",LEFT(_xlpm.desc,FIND("-",_xlpm.desc,FIND("-",_xlpm.desc)+1))&amp;AE264)),LEFT(J264,FIND("-",J264,FIND("-",J264)+1))&amp;AE264))</f>
        <v>KRTS-APWN26-GETKRTSCUT7163</v>
      </c>
    </row>
    <row r="265" spans="1:34" ht="15.75" customHeight="1" x14ac:dyDescent="0.2">
      <c r="A265" t="s">
        <v>59</v>
      </c>
      <c r="B265" t="s">
        <v>1007</v>
      </c>
      <c r="C265" t="s">
        <v>1152</v>
      </c>
      <c r="D265" t="s">
        <v>1155</v>
      </c>
      <c r="E265" t="s">
        <v>34</v>
      </c>
      <c r="F265" t="s">
        <v>35</v>
      </c>
      <c r="G265" t="s">
        <v>36</v>
      </c>
      <c r="H265" t="s">
        <v>970</v>
      </c>
      <c r="I265" t="s">
        <v>971</v>
      </c>
      <c r="J265" t="s">
        <v>972</v>
      </c>
      <c r="K265" t="s">
        <v>474</v>
      </c>
      <c r="L265" t="s">
        <v>40</v>
      </c>
      <c r="M265">
        <v>1</v>
      </c>
      <c r="N265">
        <v>30</v>
      </c>
      <c r="O265">
        <v>30</v>
      </c>
      <c r="P265" t="s">
        <v>41</v>
      </c>
      <c r="Q265">
        <v>279.7</v>
      </c>
      <c r="R265">
        <v>279.7</v>
      </c>
      <c r="S265">
        <v>419.55</v>
      </c>
      <c r="T265">
        <v>8391</v>
      </c>
      <c r="U265">
        <v>5</v>
      </c>
      <c r="V265" t="s">
        <v>42</v>
      </c>
      <c r="W265" t="s">
        <v>474</v>
      </c>
      <c r="X265" s="6" t="str">
        <f t="shared" si="15"/>
        <v>441814972</v>
      </c>
      <c r="Y265" s="7" t="str">
        <f t="shared" si="16"/>
        <v>DC</v>
      </c>
      <c r="Z265" s="7">
        <f t="shared" si="17"/>
        <v>30</v>
      </c>
      <c r="AA265" s="7">
        <f t="shared" si="18"/>
        <v>0</v>
      </c>
      <c r="AB265" s="7">
        <f t="shared" si="19"/>
        <v>0</v>
      </c>
      <c r="AC265" s="7">
        <f t="shared" si="20"/>
        <v>0</v>
      </c>
      <c r="AD265" s="7">
        <f t="shared" si="21"/>
        <v>0</v>
      </c>
      <c r="AE265" s="8" t="str" cm="1">
        <f t="array" ref="AE265">IFERROR(_xlfn.XLOOKUP(H265,Sheet1!$G:$G,Sheet1!$F:$F),IFERROR(_xlfn.XLOOKUP(1,(--($X$2:$X$1074=X265))*(--ISNUMBER(MATCH($H$2:$H$1074,Sheet1!$G:$G,0))),_xlfn.XLOOKUP($H$2:$H$1074,Sheet1!$G:$G,Sheet1!$F:$F,"")),"NOT FOUND"))</f>
        <v>GETKRTSFUT6457</v>
      </c>
      <c r="AF265" s="9" t="str">
        <f t="shared" si="22"/>
        <v>BLACK</v>
      </c>
      <c r="AG265" s="10" t="str">
        <f t="shared" si="23"/>
        <v>JHAJJAR</v>
      </c>
      <c r="AH265" s="8" t="str" cm="1">
        <f t="array" ref="AH265">IF(OR(J265="",AE265="",AE265="NOT FOUND"),"",IF(Y265="RP",_xlfn.LET(_xlpm.desc,_xlfn.XLOOKUP(1,(--(Sheet1!$F$2:$F$754=AE265))*(--ISNUMBER(FIND("-",Sheet1!$W$2:$W$754,FIND("-",Sheet1!$W$2:$W$754)+1))),Sheet1!$W$2:$W$754,""),IF(_xlpm.desc="","NOT FOUND",LEFT(_xlpm.desc,FIND("-",_xlpm.desc,FIND("-",_xlpm.desc)+1))&amp;AE265)),LEFT(J265,FIND("-",J265,FIND("-",J265)+1))&amp;AE265))</f>
        <v>KRTS-APWN26-GETKRTSFUT6457</v>
      </c>
    </row>
    <row r="266" spans="1:34" ht="15.75" customHeight="1" x14ac:dyDescent="0.2">
      <c r="A266" t="s">
        <v>59</v>
      </c>
      <c r="B266" t="s">
        <v>1007</v>
      </c>
      <c r="C266" t="s">
        <v>1152</v>
      </c>
      <c r="D266" t="s">
        <v>1155</v>
      </c>
      <c r="E266" t="s">
        <v>34</v>
      </c>
      <c r="F266" t="s">
        <v>35</v>
      </c>
      <c r="G266" t="s">
        <v>43</v>
      </c>
      <c r="H266" t="s">
        <v>973</v>
      </c>
      <c r="I266" t="s">
        <v>974</v>
      </c>
      <c r="J266" t="s">
        <v>976</v>
      </c>
      <c r="K266" t="s">
        <v>474</v>
      </c>
      <c r="L266" t="s">
        <v>40</v>
      </c>
      <c r="M266">
        <v>1</v>
      </c>
      <c r="N266">
        <v>107</v>
      </c>
      <c r="O266">
        <v>107</v>
      </c>
      <c r="P266" t="s">
        <v>41</v>
      </c>
      <c r="Q266">
        <v>279.7</v>
      </c>
      <c r="R266">
        <v>279.7</v>
      </c>
      <c r="S266">
        <v>1496.4</v>
      </c>
      <c r="T266">
        <v>29927.9</v>
      </c>
      <c r="U266">
        <v>5</v>
      </c>
      <c r="V266" t="s">
        <v>42</v>
      </c>
      <c r="W266" t="s">
        <v>474</v>
      </c>
      <c r="X266" s="6" t="str">
        <f t="shared" si="15"/>
        <v>441814972</v>
      </c>
      <c r="Y266" s="7" t="str">
        <f t="shared" si="16"/>
        <v>DC</v>
      </c>
      <c r="Z266" s="7">
        <f t="shared" si="17"/>
        <v>0</v>
      </c>
      <c r="AA266" s="7">
        <f t="shared" si="18"/>
        <v>107</v>
      </c>
      <c r="AB266" s="7">
        <f t="shared" si="19"/>
        <v>0</v>
      </c>
      <c r="AC266" s="7">
        <f t="shared" si="20"/>
        <v>0</v>
      </c>
      <c r="AD266" s="7">
        <f t="shared" si="21"/>
        <v>0</v>
      </c>
      <c r="AE266" s="8" t="str" cm="1">
        <f t="array" ref="AE266">IFERROR(_xlfn.XLOOKUP(H266,Sheet1!$G:$G,Sheet1!$F:$F),IFERROR(_xlfn.XLOOKUP(1,(--($X$2:$X$1074=X266))*(--ISNUMBER(MATCH($H$2:$H$1074,Sheet1!$G:$G,0))),_xlfn.XLOOKUP($H$2:$H$1074,Sheet1!$G:$G,Sheet1!$F:$F,"")),"NOT FOUND"))</f>
        <v>GETKRTSFUT6457</v>
      </c>
      <c r="AF266" s="9" t="str">
        <f t="shared" si="22"/>
        <v>BLACK</v>
      </c>
      <c r="AG266" s="10" t="str">
        <f t="shared" si="23"/>
        <v>JHAJJAR</v>
      </c>
      <c r="AH266" s="8" t="str" cm="1">
        <f t="array" ref="AH266">IF(OR(J266="",AE266="",AE266="NOT FOUND"),"",IF(Y266="RP",_xlfn.LET(_xlpm.desc,_xlfn.XLOOKUP(1,(--(Sheet1!$F$2:$F$754=AE266))*(--ISNUMBER(FIND("-",Sheet1!$W$2:$W$754,FIND("-",Sheet1!$W$2:$W$754)+1))),Sheet1!$W$2:$W$754,""),IF(_xlpm.desc="","NOT FOUND",LEFT(_xlpm.desc,FIND("-",_xlpm.desc,FIND("-",_xlpm.desc)+1))&amp;AE266)),LEFT(J266,FIND("-",J266,FIND("-",J266)+1))&amp;AE266))</f>
        <v>KRTS-APWN26-GETKRTSFUT6457</v>
      </c>
    </row>
    <row r="267" spans="1:34" ht="15.75" customHeight="1" x14ac:dyDescent="0.2">
      <c r="A267" t="s">
        <v>59</v>
      </c>
      <c r="B267" t="s">
        <v>1007</v>
      </c>
      <c r="C267" t="s">
        <v>1152</v>
      </c>
      <c r="D267" t="s">
        <v>1155</v>
      </c>
      <c r="E267" t="s">
        <v>34</v>
      </c>
      <c r="F267" t="s">
        <v>35</v>
      </c>
      <c r="G267" t="s">
        <v>47</v>
      </c>
      <c r="H267" t="s">
        <v>977</v>
      </c>
      <c r="I267" t="s">
        <v>978</v>
      </c>
      <c r="J267" t="s">
        <v>980</v>
      </c>
      <c r="K267" t="s">
        <v>474</v>
      </c>
      <c r="L267" t="s">
        <v>40</v>
      </c>
      <c r="M267">
        <v>1</v>
      </c>
      <c r="N267">
        <v>101</v>
      </c>
      <c r="O267">
        <v>101</v>
      </c>
      <c r="P267" t="s">
        <v>41</v>
      </c>
      <c r="Q267">
        <v>279.7</v>
      </c>
      <c r="R267">
        <v>279.7</v>
      </c>
      <c r="S267">
        <v>1412.49</v>
      </c>
      <c r="T267">
        <v>28249.7</v>
      </c>
      <c r="U267">
        <v>5</v>
      </c>
      <c r="V267" t="s">
        <v>42</v>
      </c>
      <c r="W267" t="s">
        <v>474</v>
      </c>
      <c r="X267" s="6" t="str">
        <f t="shared" si="15"/>
        <v>441814972</v>
      </c>
      <c r="Y267" s="7" t="str">
        <f t="shared" si="16"/>
        <v>DC</v>
      </c>
      <c r="Z267" s="7">
        <f t="shared" si="17"/>
        <v>0</v>
      </c>
      <c r="AA267" s="7">
        <f t="shared" si="18"/>
        <v>0</v>
      </c>
      <c r="AB267" s="7">
        <f t="shared" si="19"/>
        <v>101</v>
      </c>
      <c r="AC267" s="7">
        <f t="shared" si="20"/>
        <v>0</v>
      </c>
      <c r="AD267" s="7">
        <f t="shared" si="21"/>
        <v>0</v>
      </c>
      <c r="AE267" s="8" t="str" cm="1">
        <f t="array" ref="AE267">IFERROR(_xlfn.XLOOKUP(H267,Sheet1!$G:$G,Sheet1!$F:$F),IFERROR(_xlfn.XLOOKUP(1,(--($X$2:$X$1074=X267))*(--ISNUMBER(MATCH($H$2:$H$1074,Sheet1!$G:$G,0))),_xlfn.XLOOKUP($H$2:$H$1074,Sheet1!$G:$G,Sheet1!$F:$F,"")),"NOT FOUND"))</f>
        <v>GETKRTSFUT6457</v>
      </c>
      <c r="AF267" s="9" t="str">
        <f t="shared" si="22"/>
        <v>BLACK</v>
      </c>
      <c r="AG267" s="10" t="str">
        <f t="shared" si="23"/>
        <v>JHAJJAR</v>
      </c>
      <c r="AH267" s="8" t="str" cm="1">
        <f t="array" ref="AH267">IF(OR(J267="",AE267="",AE267="NOT FOUND"),"",IF(Y267="RP",_xlfn.LET(_xlpm.desc,_xlfn.XLOOKUP(1,(--(Sheet1!$F$2:$F$754=AE267))*(--ISNUMBER(FIND("-",Sheet1!$W$2:$W$754,FIND("-",Sheet1!$W$2:$W$754)+1))),Sheet1!$W$2:$W$754,""),IF(_xlpm.desc="","NOT FOUND",LEFT(_xlpm.desc,FIND("-",_xlpm.desc,FIND("-",_xlpm.desc)+1))&amp;AE267)),LEFT(J267,FIND("-",J267,FIND("-",J267)+1))&amp;AE267))</f>
        <v>KRTS-APWN26-GETKRTSFUT6457</v>
      </c>
    </row>
    <row r="268" spans="1:34" ht="15.75" customHeight="1" x14ac:dyDescent="0.2">
      <c r="A268" t="s">
        <v>59</v>
      </c>
      <c r="B268" t="s">
        <v>1007</v>
      </c>
      <c r="C268" t="s">
        <v>1152</v>
      </c>
      <c r="D268" t="s">
        <v>1155</v>
      </c>
      <c r="E268" t="s">
        <v>34</v>
      </c>
      <c r="F268" t="s">
        <v>35</v>
      </c>
      <c r="G268" t="s">
        <v>51</v>
      </c>
      <c r="H268" t="s">
        <v>981</v>
      </c>
      <c r="I268" t="s">
        <v>982</v>
      </c>
      <c r="J268" t="s">
        <v>983</v>
      </c>
      <c r="K268" t="s">
        <v>474</v>
      </c>
      <c r="L268" t="s">
        <v>40</v>
      </c>
      <c r="M268">
        <v>1</v>
      </c>
      <c r="N268">
        <v>107</v>
      </c>
      <c r="O268">
        <v>107</v>
      </c>
      <c r="P268" t="s">
        <v>41</v>
      </c>
      <c r="Q268">
        <v>279.7</v>
      </c>
      <c r="R268">
        <v>279.7</v>
      </c>
      <c r="S268">
        <v>1496.4</v>
      </c>
      <c r="T268">
        <v>29927.9</v>
      </c>
      <c r="U268">
        <v>5</v>
      </c>
      <c r="V268" t="s">
        <v>42</v>
      </c>
      <c r="W268" t="s">
        <v>474</v>
      </c>
      <c r="X268" s="6" t="str">
        <f t="shared" si="15"/>
        <v>441814972</v>
      </c>
      <c r="Y268" s="7" t="str">
        <f t="shared" si="16"/>
        <v>DC</v>
      </c>
      <c r="Z268" s="7">
        <f t="shared" si="17"/>
        <v>0</v>
      </c>
      <c r="AA268" s="7">
        <f t="shared" si="18"/>
        <v>0</v>
      </c>
      <c r="AB268" s="7">
        <f t="shared" si="19"/>
        <v>0</v>
      </c>
      <c r="AC268" s="7">
        <f t="shared" si="20"/>
        <v>107</v>
      </c>
      <c r="AD268" s="7">
        <f t="shared" si="21"/>
        <v>0</v>
      </c>
      <c r="AE268" s="8" t="str" cm="1">
        <f t="array" ref="AE268">IFERROR(_xlfn.XLOOKUP(H268,Sheet1!$G:$G,Sheet1!$F:$F),IFERROR(_xlfn.XLOOKUP(1,(--($X$2:$X$1074=X268))*(--ISNUMBER(MATCH($H$2:$H$1074,Sheet1!$G:$G,0))),_xlfn.XLOOKUP($H$2:$H$1074,Sheet1!$G:$G,Sheet1!$F:$F,"")),"NOT FOUND"))</f>
        <v>GETKRTSFUT6457</v>
      </c>
      <c r="AF268" s="9" t="str">
        <f t="shared" si="22"/>
        <v>BLACK</v>
      </c>
      <c r="AG268" s="10" t="str">
        <f t="shared" si="23"/>
        <v>JHAJJAR</v>
      </c>
      <c r="AH268" s="8" t="str" cm="1">
        <f t="array" ref="AH268">IF(OR(J268="",AE268="",AE268="NOT FOUND"),"",IF(Y268="RP",_xlfn.LET(_xlpm.desc,_xlfn.XLOOKUP(1,(--(Sheet1!$F$2:$F$754=AE268))*(--ISNUMBER(FIND("-",Sheet1!$W$2:$W$754,FIND("-",Sheet1!$W$2:$W$754)+1))),Sheet1!$W$2:$W$754,""),IF(_xlpm.desc="","NOT FOUND",LEFT(_xlpm.desc,FIND("-",_xlpm.desc,FIND("-",_xlpm.desc)+1))&amp;AE268)),LEFT(J268,FIND("-",J268,FIND("-",J268)+1))&amp;AE268))</f>
        <v>KRTS-APWN26-GETKRTSFUT6457</v>
      </c>
    </row>
    <row r="269" spans="1:34" ht="15.75" customHeight="1" x14ac:dyDescent="0.2">
      <c r="A269" t="s">
        <v>59</v>
      </c>
      <c r="B269" t="s">
        <v>1007</v>
      </c>
      <c r="C269" t="s">
        <v>1152</v>
      </c>
      <c r="D269" t="s">
        <v>1155</v>
      </c>
      <c r="E269" t="s">
        <v>34</v>
      </c>
      <c r="F269" t="s">
        <v>35</v>
      </c>
      <c r="G269" t="s">
        <v>55</v>
      </c>
      <c r="H269" t="s">
        <v>984</v>
      </c>
      <c r="I269" t="s">
        <v>985</v>
      </c>
      <c r="J269" t="s">
        <v>986</v>
      </c>
      <c r="K269" t="s">
        <v>474</v>
      </c>
      <c r="L269" t="s">
        <v>40</v>
      </c>
      <c r="M269">
        <v>1</v>
      </c>
      <c r="N269">
        <v>38</v>
      </c>
      <c r="O269">
        <v>38</v>
      </c>
      <c r="P269" t="s">
        <v>41</v>
      </c>
      <c r="Q269">
        <v>279.7</v>
      </c>
      <c r="R269">
        <v>279.7</v>
      </c>
      <c r="S269">
        <v>531.42999999999995</v>
      </c>
      <c r="T269">
        <v>10628.6</v>
      </c>
      <c r="U269">
        <v>5</v>
      </c>
      <c r="V269" t="s">
        <v>42</v>
      </c>
      <c r="W269" t="s">
        <v>474</v>
      </c>
      <c r="X269" s="6" t="str">
        <f t="shared" si="15"/>
        <v>441814972</v>
      </c>
      <c r="Y269" s="7" t="str">
        <f t="shared" si="16"/>
        <v>DC</v>
      </c>
      <c r="Z269" s="7">
        <f t="shared" si="17"/>
        <v>0</v>
      </c>
      <c r="AA269" s="7">
        <f t="shared" si="18"/>
        <v>0</v>
      </c>
      <c r="AB269" s="7">
        <f t="shared" si="19"/>
        <v>0</v>
      </c>
      <c r="AC269" s="7">
        <f t="shared" si="20"/>
        <v>0</v>
      </c>
      <c r="AD269" s="7">
        <f t="shared" si="21"/>
        <v>38</v>
      </c>
      <c r="AE269" s="8" t="str" cm="1">
        <f t="array" ref="AE269">IFERROR(_xlfn.XLOOKUP(H269,Sheet1!$G:$G,Sheet1!$F:$F),IFERROR(_xlfn.XLOOKUP(1,(--($X$2:$X$1074=X269))*(--ISNUMBER(MATCH($H$2:$H$1074,Sheet1!$G:$G,0))),_xlfn.XLOOKUP($H$2:$H$1074,Sheet1!$G:$G,Sheet1!$F:$F,"")),"NOT FOUND"))</f>
        <v>GETKRTSFUT6457</v>
      </c>
      <c r="AF269" s="9" t="str">
        <f t="shared" si="22"/>
        <v>BLACK</v>
      </c>
      <c r="AG269" s="10" t="str">
        <f t="shared" si="23"/>
        <v>JHAJJAR</v>
      </c>
      <c r="AH269" s="8" t="str" cm="1">
        <f t="array" ref="AH269">IF(OR(J269="",AE269="",AE269="NOT FOUND"),"",IF(Y269="RP",_xlfn.LET(_xlpm.desc,_xlfn.XLOOKUP(1,(--(Sheet1!$F$2:$F$754=AE269))*(--ISNUMBER(FIND("-",Sheet1!$W$2:$W$754,FIND("-",Sheet1!$W$2:$W$754)+1))),Sheet1!$W$2:$W$754,""),IF(_xlpm.desc="","NOT FOUND",LEFT(_xlpm.desc,FIND("-",_xlpm.desc,FIND("-",_xlpm.desc)+1))&amp;AE269)),LEFT(J269,FIND("-",J269,FIND("-",J269)+1))&amp;AE269))</f>
        <v>KRTS-APWN26-GETKRTSFUT6457</v>
      </c>
    </row>
    <row r="270" spans="1:34" ht="15.75" customHeight="1" x14ac:dyDescent="0.2">
      <c r="A270" t="s">
        <v>59</v>
      </c>
      <c r="B270" t="s">
        <v>1009</v>
      </c>
      <c r="C270" t="s">
        <v>1152</v>
      </c>
      <c r="D270" t="s">
        <v>1153</v>
      </c>
      <c r="E270" t="s">
        <v>34</v>
      </c>
      <c r="F270" t="s">
        <v>35</v>
      </c>
      <c r="G270" t="s">
        <v>36</v>
      </c>
      <c r="H270" t="s">
        <v>988</v>
      </c>
      <c r="I270" t="s">
        <v>989</v>
      </c>
      <c r="J270" t="s">
        <v>990</v>
      </c>
      <c r="K270" t="s">
        <v>474</v>
      </c>
      <c r="L270" t="s">
        <v>40</v>
      </c>
      <c r="M270">
        <v>1</v>
      </c>
      <c r="N270">
        <v>42</v>
      </c>
      <c r="O270">
        <v>42</v>
      </c>
      <c r="P270" t="s">
        <v>41</v>
      </c>
      <c r="Q270">
        <v>269.7</v>
      </c>
      <c r="R270">
        <v>269.7</v>
      </c>
      <c r="S270">
        <v>566.37</v>
      </c>
      <c r="T270">
        <v>11327.4</v>
      </c>
      <c r="U270">
        <v>5</v>
      </c>
      <c r="V270" t="s">
        <v>42</v>
      </c>
      <c r="W270" t="s">
        <v>474</v>
      </c>
      <c r="X270" s="6" t="str">
        <f t="shared" si="15"/>
        <v>441814971</v>
      </c>
      <c r="Y270" s="7" t="str">
        <f t="shared" si="16"/>
        <v>DC</v>
      </c>
      <c r="Z270" s="7">
        <f t="shared" si="17"/>
        <v>42</v>
      </c>
      <c r="AA270" s="7">
        <f t="shared" si="18"/>
        <v>0</v>
      </c>
      <c r="AB270" s="7">
        <f t="shared" si="19"/>
        <v>0</v>
      </c>
      <c r="AC270" s="7">
        <f t="shared" si="20"/>
        <v>0</v>
      </c>
      <c r="AD270" s="7">
        <f t="shared" si="21"/>
        <v>0</v>
      </c>
      <c r="AE270" s="8" t="str" cm="1">
        <f t="array" ref="AE270">IFERROR(_xlfn.XLOOKUP(H270,Sheet1!$G:$G,Sheet1!$F:$F),IFERROR(_xlfn.XLOOKUP(1,(--($X$2:$X$1074=X270))*(--ISNUMBER(MATCH($H$2:$H$1074,Sheet1!$G:$G,0))),_xlfn.XLOOKUP($H$2:$H$1074,Sheet1!$G:$G,Sheet1!$F:$F,"")),"NOT FOUND"))</f>
        <v>GETKRTSFUT6452</v>
      </c>
      <c r="AF270" s="9" t="str">
        <f t="shared" si="22"/>
        <v>CREAM</v>
      </c>
      <c r="AG270" s="10" t="str">
        <f t="shared" si="23"/>
        <v>JHAJJAR</v>
      </c>
      <c r="AH270" s="8" t="str" cm="1">
        <f t="array" ref="AH270">IF(OR(J270="",AE270="",AE270="NOT FOUND"),"",IF(Y270="RP",_xlfn.LET(_xlpm.desc,_xlfn.XLOOKUP(1,(--(Sheet1!$F$2:$F$754=AE270))*(--ISNUMBER(FIND("-",Sheet1!$W$2:$W$754,FIND("-",Sheet1!$W$2:$W$754)+1))),Sheet1!$W$2:$W$754,""),IF(_xlpm.desc="","NOT FOUND",LEFT(_xlpm.desc,FIND("-",_xlpm.desc,FIND("-",_xlpm.desc)+1))&amp;AE270)),LEFT(J270,FIND("-",J270,FIND("-",J270)+1))&amp;AE270))</f>
        <v>KRTS-APWN26-GETKRTSFUT6452</v>
      </c>
    </row>
    <row r="271" spans="1:34" ht="15.75" customHeight="1" x14ac:dyDescent="0.2">
      <c r="A271" t="s">
        <v>59</v>
      </c>
      <c r="B271" t="s">
        <v>1009</v>
      </c>
      <c r="C271" t="s">
        <v>1152</v>
      </c>
      <c r="D271" t="s">
        <v>1153</v>
      </c>
      <c r="E271" t="s">
        <v>34</v>
      </c>
      <c r="F271" t="s">
        <v>35</v>
      </c>
      <c r="G271" t="s">
        <v>43</v>
      </c>
      <c r="H271" t="s">
        <v>991</v>
      </c>
      <c r="I271" t="s">
        <v>992</v>
      </c>
      <c r="J271" t="s">
        <v>993</v>
      </c>
      <c r="K271" t="s">
        <v>474</v>
      </c>
      <c r="L271" t="s">
        <v>40</v>
      </c>
      <c r="M271">
        <v>1</v>
      </c>
      <c r="N271">
        <v>178</v>
      </c>
      <c r="O271">
        <v>178</v>
      </c>
      <c r="P271" t="s">
        <v>41</v>
      </c>
      <c r="Q271">
        <v>269.7</v>
      </c>
      <c r="R271">
        <v>269.7</v>
      </c>
      <c r="S271">
        <v>2400.33</v>
      </c>
      <c r="T271">
        <v>48006.6</v>
      </c>
      <c r="U271">
        <v>5</v>
      </c>
      <c r="V271" t="s">
        <v>42</v>
      </c>
      <c r="W271" t="s">
        <v>474</v>
      </c>
      <c r="X271" s="6" t="str">
        <f t="shared" si="15"/>
        <v>441814971</v>
      </c>
      <c r="Y271" s="7" t="str">
        <f t="shared" si="16"/>
        <v>DC</v>
      </c>
      <c r="Z271" s="7">
        <f t="shared" si="17"/>
        <v>0</v>
      </c>
      <c r="AA271" s="7">
        <f t="shared" si="18"/>
        <v>178</v>
      </c>
      <c r="AB271" s="7">
        <f t="shared" si="19"/>
        <v>0</v>
      </c>
      <c r="AC271" s="7">
        <f t="shared" si="20"/>
        <v>0</v>
      </c>
      <c r="AD271" s="7">
        <f t="shared" si="21"/>
        <v>0</v>
      </c>
      <c r="AE271" s="8" t="str" cm="1">
        <f t="array" ref="AE271">IFERROR(_xlfn.XLOOKUP(H271,Sheet1!$G:$G,Sheet1!$F:$F),IFERROR(_xlfn.XLOOKUP(1,(--($X$2:$X$1074=X271))*(--ISNUMBER(MATCH($H$2:$H$1074,Sheet1!$G:$G,0))),_xlfn.XLOOKUP($H$2:$H$1074,Sheet1!$G:$G,Sheet1!$F:$F,"")),"NOT FOUND"))</f>
        <v>GETKRTSFUT6452</v>
      </c>
      <c r="AF271" s="9" t="str">
        <f t="shared" si="22"/>
        <v>CREAM</v>
      </c>
      <c r="AG271" s="10" t="str">
        <f t="shared" si="23"/>
        <v>JHAJJAR</v>
      </c>
      <c r="AH271" s="8" t="str" cm="1">
        <f t="array" ref="AH271">IF(OR(J271="",AE271="",AE271="NOT FOUND"),"",IF(Y271="RP",_xlfn.LET(_xlpm.desc,_xlfn.XLOOKUP(1,(--(Sheet1!$F$2:$F$754=AE271))*(--ISNUMBER(FIND("-",Sheet1!$W$2:$W$754,FIND("-",Sheet1!$W$2:$W$754)+1))),Sheet1!$W$2:$W$754,""),IF(_xlpm.desc="","NOT FOUND",LEFT(_xlpm.desc,FIND("-",_xlpm.desc,FIND("-",_xlpm.desc)+1))&amp;AE271)),LEFT(J271,FIND("-",J271,FIND("-",J271)+1))&amp;AE271))</f>
        <v>KRTS-APWN26-GETKRTSFUT6452</v>
      </c>
    </row>
    <row r="272" spans="1:34" ht="15.75" customHeight="1" x14ac:dyDescent="0.2">
      <c r="A272" t="s">
        <v>59</v>
      </c>
      <c r="B272" t="s">
        <v>1009</v>
      </c>
      <c r="C272" t="s">
        <v>1152</v>
      </c>
      <c r="D272" t="s">
        <v>1153</v>
      </c>
      <c r="E272" t="s">
        <v>34</v>
      </c>
      <c r="F272" t="s">
        <v>35</v>
      </c>
      <c r="G272" t="s">
        <v>47</v>
      </c>
      <c r="H272" t="s">
        <v>994</v>
      </c>
      <c r="I272" t="s">
        <v>995</v>
      </c>
      <c r="J272" t="s">
        <v>996</v>
      </c>
      <c r="K272" t="s">
        <v>474</v>
      </c>
      <c r="L272" t="s">
        <v>40</v>
      </c>
      <c r="M272">
        <v>1</v>
      </c>
      <c r="N272">
        <v>167</v>
      </c>
      <c r="O272">
        <v>167</v>
      </c>
      <c r="P272" t="s">
        <v>41</v>
      </c>
      <c r="Q272">
        <v>269.7</v>
      </c>
      <c r="R272">
        <v>269.7</v>
      </c>
      <c r="S272">
        <v>2252</v>
      </c>
      <c r="T272">
        <v>45039.9</v>
      </c>
      <c r="U272">
        <v>5</v>
      </c>
      <c r="V272" t="s">
        <v>42</v>
      </c>
      <c r="W272" t="s">
        <v>474</v>
      </c>
      <c r="X272" s="6" t="str">
        <f t="shared" si="15"/>
        <v>441814971</v>
      </c>
      <c r="Y272" s="7" t="str">
        <f t="shared" si="16"/>
        <v>DC</v>
      </c>
      <c r="Z272" s="7">
        <f t="shared" si="17"/>
        <v>0</v>
      </c>
      <c r="AA272" s="7">
        <f t="shared" si="18"/>
        <v>0</v>
      </c>
      <c r="AB272" s="7">
        <f t="shared" si="19"/>
        <v>167</v>
      </c>
      <c r="AC272" s="7">
        <f t="shared" si="20"/>
        <v>0</v>
      </c>
      <c r="AD272" s="7">
        <f t="shared" si="21"/>
        <v>0</v>
      </c>
      <c r="AE272" s="8" t="str" cm="1">
        <f t="array" ref="AE272">IFERROR(_xlfn.XLOOKUP(H272,Sheet1!$G:$G,Sheet1!$F:$F),IFERROR(_xlfn.XLOOKUP(1,(--($X$2:$X$1074=X272))*(--ISNUMBER(MATCH($H$2:$H$1074,Sheet1!$G:$G,0))),_xlfn.XLOOKUP($H$2:$H$1074,Sheet1!$G:$G,Sheet1!$F:$F,"")),"NOT FOUND"))</f>
        <v>GETKRTSFUT6452</v>
      </c>
      <c r="AF272" s="9" t="str">
        <f t="shared" si="22"/>
        <v>CREAM</v>
      </c>
      <c r="AG272" s="10" t="str">
        <f t="shared" si="23"/>
        <v>JHAJJAR</v>
      </c>
      <c r="AH272" s="8" t="str" cm="1">
        <f t="array" ref="AH272">IF(OR(J272="",AE272="",AE272="NOT FOUND"),"",IF(Y272="RP",_xlfn.LET(_xlpm.desc,_xlfn.XLOOKUP(1,(--(Sheet1!$F$2:$F$754=AE272))*(--ISNUMBER(FIND("-",Sheet1!$W$2:$W$754,FIND("-",Sheet1!$W$2:$W$754)+1))),Sheet1!$W$2:$W$754,""),IF(_xlpm.desc="","NOT FOUND",LEFT(_xlpm.desc,FIND("-",_xlpm.desc,FIND("-",_xlpm.desc)+1))&amp;AE272)),LEFT(J272,FIND("-",J272,FIND("-",J272)+1))&amp;AE272))</f>
        <v>KRTS-APWN26-GETKRTSFUT6452</v>
      </c>
    </row>
    <row r="273" spans="1:34" ht="15.75" customHeight="1" x14ac:dyDescent="0.2">
      <c r="A273" t="s">
        <v>59</v>
      </c>
      <c r="B273" t="s">
        <v>1009</v>
      </c>
      <c r="C273" t="s">
        <v>1152</v>
      </c>
      <c r="D273" t="s">
        <v>1153</v>
      </c>
      <c r="E273" t="s">
        <v>34</v>
      </c>
      <c r="F273" t="s">
        <v>35</v>
      </c>
      <c r="G273" t="s">
        <v>51</v>
      </c>
      <c r="H273" t="s">
        <v>997</v>
      </c>
      <c r="I273" t="s">
        <v>998</v>
      </c>
      <c r="J273" t="s">
        <v>999</v>
      </c>
      <c r="K273" t="s">
        <v>474</v>
      </c>
      <c r="L273" t="s">
        <v>40</v>
      </c>
      <c r="M273">
        <v>1</v>
      </c>
      <c r="N273">
        <v>178</v>
      </c>
      <c r="O273">
        <v>178</v>
      </c>
      <c r="P273" t="s">
        <v>41</v>
      </c>
      <c r="Q273">
        <v>269.7</v>
      </c>
      <c r="R273">
        <v>269.7</v>
      </c>
      <c r="S273">
        <v>2400.33</v>
      </c>
      <c r="T273">
        <v>48006.6</v>
      </c>
      <c r="U273">
        <v>5</v>
      </c>
      <c r="V273" t="s">
        <v>42</v>
      </c>
      <c r="W273" t="s">
        <v>474</v>
      </c>
      <c r="X273" s="6" t="str">
        <f t="shared" si="15"/>
        <v>441814971</v>
      </c>
      <c r="Y273" s="7" t="str">
        <f t="shared" si="16"/>
        <v>DC</v>
      </c>
      <c r="Z273" s="7">
        <f t="shared" si="17"/>
        <v>0</v>
      </c>
      <c r="AA273" s="7">
        <f t="shared" si="18"/>
        <v>0</v>
      </c>
      <c r="AB273" s="7">
        <f t="shared" si="19"/>
        <v>0</v>
      </c>
      <c r="AC273" s="7">
        <f t="shared" si="20"/>
        <v>178</v>
      </c>
      <c r="AD273" s="7">
        <f t="shared" si="21"/>
        <v>0</v>
      </c>
      <c r="AE273" s="8" t="str" cm="1">
        <f t="array" ref="AE273">IFERROR(_xlfn.XLOOKUP(H273,Sheet1!$G:$G,Sheet1!$F:$F),IFERROR(_xlfn.XLOOKUP(1,(--($X$2:$X$1074=X273))*(--ISNUMBER(MATCH($H$2:$H$1074,Sheet1!$G:$G,0))),_xlfn.XLOOKUP($H$2:$H$1074,Sheet1!$G:$G,Sheet1!$F:$F,"")),"NOT FOUND"))</f>
        <v>GETKRTSFUT6452</v>
      </c>
      <c r="AF273" s="9" t="str">
        <f t="shared" si="22"/>
        <v>CREAM</v>
      </c>
      <c r="AG273" s="10" t="str">
        <f t="shared" si="23"/>
        <v>JHAJJAR</v>
      </c>
      <c r="AH273" s="8" t="str" cm="1">
        <f t="array" ref="AH273">IF(OR(J273="",AE273="",AE273="NOT FOUND"),"",IF(Y273="RP",_xlfn.LET(_xlpm.desc,_xlfn.XLOOKUP(1,(--(Sheet1!$F$2:$F$754=AE273))*(--ISNUMBER(FIND("-",Sheet1!$W$2:$W$754,FIND("-",Sheet1!$W$2:$W$754)+1))),Sheet1!$W$2:$W$754,""),IF(_xlpm.desc="","NOT FOUND",LEFT(_xlpm.desc,FIND("-",_xlpm.desc,FIND("-",_xlpm.desc)+1))&amp;AE273)),LEFT(J273,FIND("-",J273,FIND("-",J273)+1))&amp;AE273))</f>
        <v>KRTS-APWN26-GETKRTSFUT6452</v>
      </c>
    </row>
    <row r="274" spans="1:34" ht="15.75" customHeight="1" x14ac:dyDescent="0.2">
      <c r="A274" t="s">
        <v>59</v>
      </c>
      <c r="B274" t="s">
        <v>1009</v>
      </c>
      <c r="C274" t="s">
        <v>1152</v>
      </c>
      <c r="D274" t="s">
        <v>1153</v>
      </c>
      <c r="E274" t="s">
        <v>34</v>
      </c>
      <c r="F274" t="s">
        <v>35</v>
      </c>
      <c r="G274" t="s">
        <v>55</v>
      </c>
      <c r="H274" t="s">
        <v>1000</v>
      </c>
      <c r="I274" t="s">
        <v>1001</v>
      </c>
      <c r="J274" t="s">
        <v>1002</v>
      </c>
      <c r="K274" t="s">
        <v>474</v>
      </c>
      <c r="L274" t="s">
        <v>40</v>
      </c>
      <c r="M274">
        <v>1</v>
      </c>
      <c r="N274">
        <v>63</v>
      </c>
      <c r="O274">
        <v>63</v>
      </c>
      <c r="P274" t="s">
        <v>41</v>
      </c>
      <c r="Q274">
        <v>269.7</v>
      </c>
      <c r="R274">
        <v>269.7</v>
      </c>
      <c r="S274">
        <v>849.56</v>
      </c>
      <c r="T274">
        <v>16991.099999999999</v>
      </c>
      <c r="U274">
        <v>5</v>
      </c>
      <c r="V274" t="s">
        <v>42</v>
      </c>
      <c r="W274" t="s">
        <v>474</v>
      </c>
      <c r="X274" s="6" t="str">
        <f t="shared" si="15"/>
        <v>441814971</v>
      </c>
      <c r="Y274" s="7" t="str">
        <f t="shared" si="16"/>
        <v>DC</v>
      </c>
      <c r="Z274" s="7">
        <f t="shared" si="17"/>
        <v>0</v>
      </c>
      <c r="AA274" s="7">
        <f t="shared" si="18"/>
        <v>0</v>
      </c>
      <c r="AB274" s="7">
        <f t="shared" si="19"/>
        <v>0</v>
      </c>
      <c r="AC274" s="7">
        <f t="shared" si="20"/>
        <v>0</v>
      </c>
      <c r="AD274" s="7">
        <f t="shared" si="21"/>
        <v>63</v>
      </c>
      <c r="AE274" s="8" t="str" cm="1">
        <f t="array" ref="AE274">IFERROR(_xlfn.XLOOKUP(H274,Sheet1!$G:$G,Sheet1!$F:$F),IFERROR(_xlfn.XLOOKUP(1,(--($X$2:$X$1074=X274))*(--ISNUMBER(MATCH($H$2:$H$1074,Sheet1!$G:$G,0))),_xlfn.XLOOKUP($H$2:$H$1074,Sheet1!$G:$G,Sheet1!$F:$F,"")),"NOT FOUND"))</f>
        <v>GETKRTSFUT6452</v>
      </c>
      <c r="AF274" s="9" t="str">
        <f t="shared" si="22"/>
        <v>CREAM</v>
      </c>
      <c r="AG274" s="10" t="str">
        <f t="shared" si="23"/>
        <v>JHAJJAR</v>
      </c>
      <c r="AH274" s="8" t="str" cm="1">
        <f t="array" ref="AH274">IF(OR(J274="",AE274="",AE274="NOT FOUND"),"",IF(Y274="RP",_xlfn.LET(_xlpm.desc,_xlfn.XLOOKUP(1,(--(Sheet1!$F$2:$F$754=AE274))*(--ISNUMBER(FIND("-",Sheet1!$W$2:$W$754,FIND("-",Sheet1!$W$2:$W$754)+1))),Sheet1!$W$2:$W$754,""),IF(_xlpm.desc="","NOT FOUND",LEFT(_xlpm.desc,FIND("-",_xlpm.desc,FIND("-",_xlpm.desc)+1))&amp;AE274)),LEFT(J274,FIND("-",J274,FIND("-",J274)+1))&amp;AE274))</f>
        <v>KRTS-APWN26-GETKRTSFUT6452</v>
      </c>
    </row>
    <row r="275" spans="1:34" ht="15.75" customHeight="1" x14ac:dyDescent="0.2">
      <c r="A275" t="s">
        <v>61</v>
      </c>
      <c r="B275" t="s">
        <v>1010</v>
      </c>
      <c r="C275" t="s">
        <v>1152</v>
      </c>
      <c r="D275" t="s">
        <v>1155</v>
      </c>
      <c r="E275" t="s">
        <v>34</v>
      </c>
      <c r="F275" t="s">
        <v>35</v>
      </c>
      <c r="G275" t="s">
        <v>36</v>
      </c>
      <c r="H275" t="s">
        <v>950</v>
      </c>
      <c r="I275" t="s">
        <v>951</v>
      </c>
      <c r="J275" t="s">
        <v>953</v>
      </c>
      <c r="K275" t="s">
        <v>474</v>
      </c>
      <c r="L275" t="s">
        <v>40</v>
      </c>
      <c r="M275">
        <v>1</v>
      </c>
      <c r="N275">
        <v>43</v>
      </c>
      <c r="O275">
        <v>43</v>
      </c>
      <c r="P275" t="s">
        <v>41</v>
      </c>
      <c r="Q275">
        <v>239.7</v>
      </c>
      <c r="R275">
        <v>239.7</v>
      </c>
      <c r="S275">
        <v>515.36</v>
      </c>
      <c r="T275">
        <v>10307.1</v>
      </c>
      <c r="U275">
        <v>5</v>
      </c>
      <c r="V275" t="s">
        <v>42</v>
      </c>
      <c r="W275" t="s">
        <v>474</v>
      </c>
      <c r="X275" s="6" t="str">
        <f t="shared" si="15"/>
        <v>441814973</v>
      </c>
      <c r="Y275" s="7" t="str">
        <f t="shared" si="16"/>
        <v>DC</v>
      </c>
      <c r="Z275" s="7">
        <f t="shared" si="17"/>
        <v>43</v>
      </c>
      <c r="AA275" s="7">
        <f t="shared" si="18"/>
        <v>0</v>
      </c>
      <c r="AB275" s="7">
        <f t="shared" si="19"/>
        <v>0</v>
      </c>
      <c r="AC275" s="7">
        <f t="shared" si="20"/>
        <v>0</v>
      </c>
      <c r="AD275" s="7">
        <f t="shared" si="21"/>
        <v>0</v>
      </c>
      <c r="AE275" s="8" t="str" cm="1">
        <f t="array" ref="AE275">IFERROR(_xlfn.XLOOKUP(H275,Sheet1!$G:$G,Sheet1!$F:$F),IFERROR(_xlfn.XLOOKUP(1,(--($X$2:$X$1074=X275))*(--ISNUMBER(MATCH($H$2:$H$1074,Sheet1!$G:$G,0))),_xlfn.XLOOKUP($H$2:$H$1074,Sheet1!$G:$G,Sheet1!$F:$F,"")),"NOT FOUND"))</f>
        <v>GETKRTSCUT7163</v>
      </c>
      <c r="AF275" s="9" t="str">
        <f t="shared" si="22"/>
        <v>BLACK</v>
      </c>
      <c r="AG275" s="10" t="str">
        <f t="shared" si="23"/>
        <v>HARIPAL</v>
      </c>
      <c r="AH275" s="8" t="str" cm="1">
        <f t="array" ref="AH275">IF(OR(J275="",AE275="",AE275="NOT FOUND"),"",IF(Y275="RP",_xlfn.LET(_xlpm.desc,_xlfn.XLOOKUP(1,(--(Sheet1!$F$2:$F$754=AE275))*(--ISNUMBER(FIND("-",Sheet1!$W$2:$W$754,FIND("-",Sheet1!$W$2:$W$754)+1))),Sheet1!$W$2:$W$754,""),IF(_xlpm.desc="","NOT FOUND",LEFT(_xlpm.desc,FIND("-",_xlpm.desc,FIND("-",_xlpm.desc)+1))&amp;AE275)),LEFT(J275,FIND("-",J275,FIND("-",J275)+1))&amp;AE275))</f>
        <v>KRTS-APWN26-GETKRTSCUT7163</v>
      </c>
    </row>
    <row r="276" spans="1:34" ht="15.75" customHeight="1" x14ac:dyDescent="0.2">
      <c r="A276" t="s">
        <v>61</v>
      </c>
      <c r="B276" t="s">
        <v>1010</v>
      </c>
      <c r="C276" t="s">
        <v>1152</v>
      </c>
      <c r="D276" t="s">
        <v>1155</v>
      </c>
      <c r="E276" t="s">
        <v>34</v>
      </c>
      <c r="F276" t="s">
        <v>35</v>
      </c>
      <c r="G276" t="s">
        <v>43</v>
      </c>
      <c r="H276" t="s">
        <v>954</v>
      </c>
      <c r="I276" t="s">
        <v>955</v>
      </c>
      <c r="J276" t="s">
        <v>957</v>
      </c>
      <c r="K276" t="s">
        <v>474</v>
      </c>
      <c r="L276" t="s">
        <v>40</v>
      </c>
      <c r="M276">
        <v>1</v>
      </c>
      <c r="N276">
        <v>180</v>
      </c>
      <c r="O276">
        <v>180</v>
      </c>
      <c r="P276" t="s">
        <v>41</v>
      </c>
      <c r="Q276">
        <v>239.7</v>
      </c>
      <c r="R276">
        <v>239.7</v>
      </c>
      <c r="S276">
        <v>2157.3000000000002</v>
      </c>
      <c r="T276">
        <v>43146</v>
      </c>
      <c r="U276">
        <v>5</v>
      </c>
      <c r="V276" t="s">
        <v>42</v>
      </c>
      <c r="W276" t="s">
        <v>474</v>
      </c>
      <c r="X276" s="6" t="str">
        <f t="shared" si="15"/>
        <v>441814973</v>
      </c>
      <c r="Y276" s="7" t="str">
        <f t="shared" si="16"/>
        <v>DC</v>
      </c>
      <c r="Z276" s="7">
        <f t="shared" si="17"/>
        <v>0</v>
      </c>
      <c r="AA276" s="7">
        <f t="shared" si="18"/>
        <v>180</v>
      </c>
      <c r="AB276" s="7">
        <f t="shared" si="19"/>
        <v>0</v>
      </c>
      <c r="AC276" s="7">
        <f t="shared" si="20"/>
        <v>0</v>
      </c>
      <c r="AD276" s="7">
        <f t="shared" si="21"/>
        <v>0</v>
      </c>
      <c r="AE276" s="8" t="str" cm="1">
        <f t="array" ref="AE276">IFERROR(_xlfn.XLOOKUP(H276,Sheet1!$G:$G,Sheet1!$F:$F),IFERROR(_xlfn.XLOOKUP(1,(--($X$2:$X$1074=X276))*(--ISNUMBER(MATCH($H$2:$H$1074,Sheet1!$G:$G,0))),_xlfn.XLOOKUP($H$2:$H$1074,Sheet1!$G:$G,Sheet1!$F:$F,"")),"NOT FOUND"))</f>
        <v>GETKRTSCUT7163</v>
      </c>
      <c r="AF276" s="9" t="str">
        <f t="shared" si="22"/>
        <v>BLACK</v>
      </c>
      <c r="AG276" s="10" t="str">
        <f t="shared" si="23"/>
        <v>HARIPAL</v>
      </c>
      <c r="AH276" s="8" t="str" cm="1">
        <f t="array" ref="AH276">IF(OR(J276="",AE276="",AE276="NOT FOUND"),"",IF(Y276="RP",_xlfn.LET(_xlpm.desc,_xlfn.XLOOKUP(1,(--(Sheet1!$F$2:$F$754=AE276))*(--ISNUMBER(FIND("-",Sheet1!$W$2:$W$754,FIND("-",Sheet1!$W$2:$W$754)+1))),Sheet1!$W$2:$W$754,""),IF(_xlpm.desc="","NOT FOUND",LEFT(_xlpm.desc,FIND("-",_xlpm.desc,FIND("-",_xlpm.desc)+1))&amp;AE276)),LEFT(J276,FIND("-",J276,FIND("-",J276)+1))&amp;AE276))</f>
        <v>KRTS-APWN26-GETKRTSCUT7163</v>
      </c>
    </row>
    <row r="277" spans="1:34" ht="15.75" customHeight="1" x14ac:dyDescent="0.2">
      <c r="A277" t="s">
        <v>61</v>
      </c>
      <c r="B277" t="s">
        <v>1010</v>
      </c>
      <c r="C277" t="s">
        <v>1152</v>
      </c>
      <c r="D277" t="s">
        <v>1155</v>
      </c>
      <c r="E277" t="s">
        <v>34</v>
      </c>
      <c r="F277" t="s">
        <v>35</v>
      </c>
      <c r="G277" t="s">
        <v>47</v>
      </c>
      <c r="H277" t="s">
        <v>958</v>
      </c>
      <c r="I277" t="s">
        <v>959</v>
      </c>
      <c r="J277" t="s">
        <v>961</v>
      </c>
      <c r="K277" t="s">
        <v>474</v>
      </c>
      <c r="L277" t="s">
        <v>40</v>
      </c>
      <c r="M277">
        <v>1</v>
      </c>
      <c r="N277">
        <v>170</v>
      </c>
      <c r="O277">
        <v>170</v>
      </c>
      <c r="P277" t="s">
        <v>41</v>
      </c>
      <c r="Q277">
        <v>239.7</v>
      </c>
      <c r="R277">
        <v>239.7</v>
      </c>
      <c r="S277">
        <v>2037.45</v>
      </c>
      <c r="T277">
        <v>40749</v>
      </c>
      <c r="U277">
        <v>5</v>
      </c>
      <c r="V277" t="s">
        <v>42</v>
      </c>
      <c r="W277" t="s">
        <v>474</v>
      </c>
      <c r="X277" s="6" t="str">
        <f t="shared" si="15"/>
        <v>441814973</v>
      </c>
      <c r="Y277" s="7" t="str">
        <f t="shared" si="16"/>
        <v>DC</v>
      </c>
      <c r="Z277" s="7">
        <f t="shared" si="17"/>
        <v>0</v>
      </c>
      <c r="AA277" s="7">
        <f t="shared" si="18"/>
        <v>0</v>
      </c>
      <c r="AB277" s="7">
        <f t="shared" si="19"/>
        <v>170</v>
      </c>
      <c r="AC277" s="7">
        <f t="shared" si="20"/>
        <v>0</v>
      </c>
      <c r="AD277" s="7">
        <f t="shared" si="21"/>
        <v>0</v>
      </c>
      <c r="AE277" s="8" t="str" cm="1">
        <f t="array" ref="AE277">IFERROR(_xlfn.XLOOKUP(H277,Sheet1!$G:$G,Sheet1!$F:$F),IFERROR(_xlfn.XLOOKUP(1,(--($X$2:$X$1074=X277))*(--ISNUMBER(MATCH($H$2:$H$1074,Sheet1!$G:$G,0))),_xlfn.XLOOKUP($H$2:$H$1074,Sheet1!$G:$G,Sheet1!$F:$F,"")),"NOT FOUND"))</f>
        <v>GETKRTSCUT7163</v>
      </c>
      <c r="AF277" s="9" t="str">
        <f t="shared" si="22"/>
        <v>BLACK</v>
      </c>
      <c r="AG277" s="10" t="str">
        <f t="shared" si="23"/>
        <v>HARIPAL</v>
      </c>
      <c r="AH277" s="8" t="str" cm="1">
        <f t="array" ref="AH277">IF(OR(J277="",AE277="",AE277="NOT FOUND"),"",IF(Y277="RP",_xlfn.LET(_xlpm.desc,_xlfn.XLOOKUP(1,(--(Sheet1!$F$2:$F$754=AE277))*(--ISNUMBER(FIND("-",Sheet1!$W$2:$W$754,FIND("-",Sheet1!$W$2:$W$754)+1))),Sheet1!$W$2:$W$754,""),IF(_xlpm.desc="","NOT FOUND",LEFT(_xlpm.desc,FIND("-",_xlpm.desc,FIND("-",_xlpm.desc)+1))&amp;AE277)),LEFT(J277,FIND("-",J277,FIND("-",J277)+1))&amp;AE277))</f>
        <v>KRTS-APWN26-GETKRTSCUT7163</v>
      </c>
    </row>
    <row r="278" spans="1:34" ht="15.75" customHeight="1" x14ac:dyDescent="0.2">
      <c r="A278" t="s">
        <v>61</v>
      </c>
      <c r="B278" t="s">
        <v>1010</v>
      </c>
      <c r="C278" t="s">
        <v>1152</v>
      </c>
      <c r="D278" t="s">
        <v>1155</v>
      </c>
      <c r="E278" t="s">
        <v>34</v>
      </c>
      <c r="F278" t="s">
        <v>35</v>
      </c>
      <c r="G278" t="s">
        <v>51</v>
      </c>
      <c r="H278" t="s">
        <v>962</v>
      </c>
      <c r="I278" t="s">
        <v>963</v>
      </c>
      <c r="J278" t="s">
        <v>964</v>
      </c>
      <c r="K278" t="s">
        <v>474</v>
      </c>
      <c r="L278" t="s">
        <v>40</v>
      </c>
      <c r="M278">
        <v>1</v>
      </c>
      <c r="N278">
        <v>180</v>
      </c>
      <c r="O278">
        <v>180</v>
      </c>
      <c r="P278" t="s">
        <v>41</v>
      </c>
      <c r="Q278">
        <v>239.7</v>
      </c>
      <c r="R278">
        <v>239.7</v>
      </c>
      <c r="S278">
        <v>2157.3000000000002</v>
      </c>
      <c r="T278">
        <v>43146</v>
      </c>
      <c r="U278">
        <v>5</v>
      </c>
      <c r="V278" t="s">
        <v>42</v>
      </c>
      <c r="W278" t="s">
        <v>474</v>
      </c>
      <c r="X278" s="6" t="str">
        <f t="shared" si="15"/>
        <v>441814973</v>
      </c>
      <c r="Y278" s="7" t="str">
        <f t="shared" si="16"/>
        <v>DC</v>
      </c>
      <c r="Z278" s="7">
        <f t="shared" si="17"/>
        <v>0</v>
      </c>
      <c r="AA278" s="7">
        <f t="shared" si="18"/>
        <v>0</v>
      </c>
      <c r="AB278" s="7">
        <f t="shared" si="19"/>
        <v>0</v>
      </c>
      <c r="AC278" s="7">
        <f t="shared" si="20"/>
        <v>180</v>
      </c>
      <c r="AD278" s="7">
        <f t="shared" si="21"/>
        <v>0</v>
      </c>
      <c r="AE278" s="8" t="str" cm="1">
        <f t="array" ref="AE278">IFERROR(_xlfn.XLOOKUP(H278,Sheet1!$G:$G,Sheet1!$F:$F),IFERROR(_xlfn.XLOOKUP(1,(--($X$2:$X$1074=X278))*(--ISNUMBER(MATCH($H$2:$H$1074,Sheet1!$G:$G,0))),_xlfn.XLOOKUP($H$2:$H$1074,Sheet1!$G:$G,Sheet1!$F:$F,"")),"NOT FOUND"))</f>
        <v>GETKRTSCUT7163</v>
      </c>
      <c r="AF278" s="9" t="str">
        <f t="shared" si="22"/>
        <v>BLACK</v>
      </c>
      <c r="AG278" s="10" t="str">
        <f t="shared" si="23"/>
        <v>HARIPAL</v>
      </c>
      <c r="AH278" s="8" t="str" cm="1">
        <f t="array" ref="AH278">IF(OR(J278="",AE278="",AE278="NOT FOUND"),"",IF(Y278="RP",_xlfn.LET(_xlpm.desc,_xlfn.XLOOKUP(1,(--(Sheet1!$F$2:$F$754=AE278))*(--ISNUMBER(FIND("-",Sheet1!$W$2:$W$754,FIND("-",Sheet1!$W$2:$W$754)+1))),Sheet1!$W$2:$W$754,""),IF(_xlpm.desc="","NOT FOUND",LEFT(_xlpm.desc,FIND("-",_xlpm.desc,FIND("-",_xlpm.desc)+1))&amp;AE278)),LEFT(J278,FIND("-",J278,FIND("-",J278)+1))&amp;AE278))</f>
        <v>KRTS-APWN26-GETKRTSCUT7163</v>
      </c>
    </row>
    <row r="279" spans="1:34" ht="15.75" customHeight="1" x14ac:dyDescent="0.2">
      <c r="A279" t="s">
        <v>61</v>
      </c>
      <c r="B279" t="s">
        <v>1010</v>
      </c>
      <c r="C279" t="s">
        <v>1152</v>
      </c>
      <c r="D279" t="s">
        <v>1155</v>
      </c>
      <c r="E279" t="s">
        <v>34</v>
      </c>
      <c r="F279" t="s">
        <v>35</v>
      </c>
      <c r="G279" t="s">
        <v>55</v>
      </c>
      <c r="H279" t="s">
        <v>965</v>
      </c>
      <c r="I279" t="s">
        <v>966</v>
      </c>
      <c r="J279" t="s">
        <v>968</v>
      </c>
      <c r="K279" t="s">
        <v>474</v>
      </c>
      <c r="L279" t="s">
        <v>40</v>
      </c>
      <c r="M279">
        <v>1</v>
      </c>
      <c r="N279">
        <v>64</v>
      </c>
      <c r="O279">
        <v>64</v>
      </c>
      <c r="P279" t="s">
        <v>41</v>
      </c>
      <c r="Q279">
        <v>239.7</v>
      </c>
      <c r="R279">
        <v>239.7</v>
      </c>
      <c r="S279">
        <v>767.04</v>
      </c>
      <c r="T279">
        <v>15340.8</v>
      </c>
      <c r="U279">
        <v>5</v>
      </c>
      <c r="V279" t="s">
        <v>42</v>
      </c>
      <c r="W279" t="s">
        <v>474</v>
      </c>
      <c r="X279" s="6" t="str">
        <f t="shared" si="15"/>
        <v>441814973</v>
      </c>
      <c r="Y279" s="7" t="str">
        <f t="shared" si="16"/>
        <v>DC</v>
      </c>
      <c r="Z279" s="7">
        <f t="shared" si="17"/>
        <v>0</v>
      </c>
      <c r="AA279" s="7">
        <f t="shared" si="18"/>
        <v>0</v>
      </c>
      <c r="AB279" s="7">
        <f t="shared" si="19"/>
        <v>0</v>
      </c>
      <c r="AC279" s="7">
        <f t="shared" si="20"/>
        <v>0</v>
      </c>
      <c r="AD279" s="7">
        <f t="shared" si="21"/>
        <v>64</v>
      </c>
      <c r="AE279" s="8" t="str" cm="1">
        <f t="array" ref="AE279">IFERROR(_xlfn.XLOOKUP(H279,Sheet1!$G:$G,Sheet1!$F:$F),IFERROR(_xlfn.XLOOKUP(1,(--($X$2:$X$1074=X279))*(--ISNUMBER(MATCH($H$2:$H$1074,Sheet1!$G:$G,0))),_xlfn.XLOOKUP($H$2:$H$1074,Sheet1!$G:$G,Sheet1!$F:$F,"")),"NOT FOUND"))</f>
        <v>GETKRTSCUT7163</v>
      </c>
      <c r="AF279" s="9" t="str">
        <f t="shared" si="22"/>
        <v>BLACK</v>
      </c>
      <c r="AG279" s="10" t="str">
        <f t="shared" si="23"/>
        <v>HARIPAL</v>
      </c>
      <c r="AH279" s="8" t="str" cm="1">
        <f t="array" ref="AH279">IF(OR(J279="",AE279="",AE279="NOT FOUND"),"",IF(Y279="RP",_xlfn.LET(_xlpm.desc,_xlfn.XLOOKUP(1,(--(Sheet1!$F$2:$F$754=AE279))*(--ISNUMBER(FIND("-",Sheet1!$W$2:$W$754,FIND("-",Sheet1!$W$2:$W$754)+1))),Sheet1!$W$2:$W$754,""),IF(_xlpm.desc="","NOT FOUND",LEFT(_xlpm.desc,FIND("-",_xlpm.desc,FIND("-",_xlpm.desc)+1))&amp;AE279)),LEFT(J279,FIND("-",J279,FIND("-",J279)+1))&amp;AE279))</f>
        <v>KRTS-APWN26-GETKRTSCUT7163</v>
      </c>
    </row>
    <row r="280" spans="1:34" ht="15.75" customHeight="1" x14ac:dyDescent="0.2">
      <c r="A280" t="s">
        <v>61</v>
      </c>
      <c r="B280" t="s">
        <v>1014</v>
      </c>
      <c r="C280" t="s">
        <v>1152</v>
      </c>
      <c r="D280" t="s">
        <v>1155</v>
      </c>
      <c r="E280" t="s">
        <v>34</v>
      </c>
      <c r="F280" t="s">
        <v>35</v>
      </c>
      <c r="G280" t="s">
        <v>36</v>
      </c>
      <c r="H280" t="s">
        <v>970</v>
      </c>
      <c r="I280" t="s">
        <v>971</v>
      </c>
      <c r="J280" t="s">
        <v>972</v>
      </c>
      <c r="K280" t="s">
        <v>474</v>
      </c>
      <c r="L280" t="s">
        <v>40</v>
      </c>
      <c r="M280">
        <v>1</v>
      </c>
      <c r="N280">
        <v>30</v>
      </c>
      <c r="O280">
        <v>30</v>
      </c>
      <c r="P280" t="s">
        <v>41</v>
      </c>
      <c r="Q280">
        <v>279.7</v>
      </c>
      <c r="R280">
        <v>279.7</v>
      </c>
      <c r="S280">
        <v>419.55</v>
      </c>
      <c r="T280">
        <v>8391</v>
      </c>
      <c r="U280">
        <v>5</v>
      </c>
      <c r="V280" t="s">
        <v>42</v>
      </c>
      <c r="W280" t="s">
        <v>474</v>
      </c>
      <c r="X280" s="6" t="str">
        <f t="shared" si="15"/>
        <v>441814972</v>
      </c>
      <c r="Y280" s="7" t="str">
        <f t="shared" si="16"/>
        <v>DC</v>
      </c>
      <c r="Z280" s="7">
        <f t="shared" si="17"/>
        <v>30</v>
      </c>
      <c r="AA280" s="7">
        <f t="shared" si="18"/>
        <v>0</v>
      </c>
      <c r="AB280" s="7">
        <f t="shared" si="19"/>
        <v>0</v>
      </c>
      <c r="AC280" s="7">
        <f t="shared" si="20"/>
        <v>0</v>
      </c>
      <c r="AD280" s="7">
        <f t="shared" si="21"/>
        <v>0</v>
      </c>
      <c r="AE280" s="8" t="str" cm="1">
        <f t="array" ref="AE280">IFERROR(_xlfn.XLOOKUP(H280,Sheet1!$G:$G,Sheet1!$F:$F),IFERROR(_xlfn.XLOOKUP(1,(--($X$2:$X$1074=X280))*(--ISNUMBER(MATCH($H$2:$H$1074,Sheet1!$G:$G,0))),_xlfn.XLOOKUP($H$2:$H$1074,Sheet1!$G:$G,Sheet1!$F:$F,"")),"NOT FOUND"))</f>
        <v>GETKRTSFUT6457</v>
      </c>
      <c r="AF280" s="9" t="str">
        <f t="shared" si="22"/>
        <v>BLACK</v>
      </c>
      <c r="AG280" s="10" t="str">
        <f t="shared" si="23"/>
        <v>HARIPAL</v>
      </c>
      <c r="AH280" s="8" t="str" cm="1">
        <f t="array" ref="AH280">IF(OR(J280="",AE280="",AE280="NOT FOUND"),"",IF(Y280="RP",_xlfn.LET(_xlpm.desc,_xlfn.XLOOKUP(1,(--(Sheet1!$F$2:$F$754=AE280))*(--ISNUMBER(FIND("-",Sheet1!$W$2:$W$754,FIND("-",Sheet1!$W$2:$W$754)+1))),Sheet1!$W$2:$W$754,""),IF(_xlpm.desc="","NOT FOUND",LEFT(_xlpm.desc,FIND("-",_xlpm.desc,FIND("-",_xlpm.desc)+1))&amp;AE280)),LEFT(J280,FIND("-",J280,FIND("-",J280)+1))&amp;AE280))</f>
        <v>KRTS-APWN26-GETKRTSFUT6457</v>
      </c>
    </row>
    <row r="281" spans="1:34" ht="15.75" customHeight="1" x14ac:dyDescent="0.2">
      <c r="A281" t="s">
        <v>61</v>
      </c>
      <c r="B281" t="s">
        <v>1014</v>
      </c>
      <c r="C281" t="s">
        <v>1152</v>
      </c>
      <c r="D281" t="s">
        <v>1155</v>
      </c>
      <c r="E281" t="s">
        <v>34</v>
      </c>
      <c r="F281" t="s">
        <v>35</v>
      </c>
      <c r="G281" t="s">
        <v>43</v>
      </c>
      <c r="H281" t="s">
        <v>973</v>
      </c>
      <c r="I281" t="s">
        <v>974</v>
      </c>
      <c r="J281" t="s">
        <v>976</v>
      </c>
      <c r="K281" t="s">
        <v>474</v>
      </c>
      <c r="L281" t="s">
        <v>40</v>
      </c>
      <c r="M281">
        <v>1</v>
      </c>
      <c r="N281">
        <v>77</v>
      </c>
      <c r="O281">
        <v>77</v>
      </c>
      <c r="P281" t="s">
        <v>41</v>
      </c>
      <c r="Q281">
        <v>279.7</v>
      </c>
      <c r="R281">
        <v>279.7</v>
      </c>
      <c r="S281">
        <v>1076.8499999999999</v>
      </c>
      <c r="T281">
        <v>21536.9</v>
      </c>
      <c r="U281">
        <v>5</v>
      </c>
      <c r="V281" t="s">
        <v>42</v>
      </c>
      <c r="W281" t="s">
        <v>474</v>
      </c>
      <c r="X281" s="6" t="str">
        <f t="shared" si="15"/>
        <v>441814972</v>
      </c>
      <c r="Y281" s="7" t="str">
        <f t="shared" si="16"/>
        <v>DC</v>
      </c>
      <c r="Z281" s="7">
        <f t="shared" si="17"/>
        <v>0</v>
      </c>
      <c r="AA281" s="7">
        <f t="shared" si="18"/>
        <v>77</v>
      </c>
      <c r="AB281" s="7">
        <f t="shared" si="19"/>
        <v>0</v>
      </c>
      <c r="AC281" s="7">
        <f t="shared" si="20"/>
        <v>0</v>
      </c>
      <c r="AD281" s="7">
        <f t="shared" si="21"/>
        <v>0</v>
      </c>
      <c r="AE281" s="8" t="str" cm="1">
        <f t="array" ref="AE281">IFERROR(_xlfn.XLOOKUP(H281,Sheet1!$G:$G,Sheet1!$F:$F),IFERROR(_xlfn.XLOOKUP(1,(--($X$2:$X$1074=X281))*(--ISNUMBER(MATCH($H$2:$H$1074,Sheet1!$G:$G,0))),_xlfn.XLOOKUP($H$2:$H$1074,Sheet1!$G:$G,Sheet1!$F:$F,"")),"NOT FOUND"))</f>
        <v>GETKRTSFUT6457</v>
      </c>
      <c r="AF281" s="9" t="str">
        <f t="shared" si="22"/>
        <v>BLACK</v>
      </c>
      <c r="AG281" s="10" t="str">
        <f t="shared" si="23"/>
        <v>HARIPAL</v>
      </c>
      <c r="AH281" s="8" t="str" cm="1">
        <f t="array" ref="AH281">IF(OR(J281="",AE281="",AE281="NOT FOUND"),"",IF(Y281="RP",_xlfn.LET(_xlpm.desc,_xlfn.XLOOKUP(1,(--(Sheet1!$F$2:$F$754=AE281))*(--ISNUMBER(FIND("-",Sheet1!$W$2:$W$754,FIND("-",Sheet1!$W$2:$W$754)+1))),Sheet1!$W$2:$W$754,""),IF(_xlpm.desc="","NOT FOUND",LEFT(_xlpm.desc,FIND("-",_xlpm.desc,FIND("-",_xlpm.desc)+1))&amp;AE281)),LEFT(J281,FIND("-",J281,FIND("-",J281)+1))&amp;AE281))</f>
        <v>KRTS-APWN26-GETKRTSFUT6457</v>
      </c>
    </row>
    <row r="282" spans="1:34" ht="15.75" customHeight="1" x14ac:dyDescent="0.2">
      <c r="A282" t="s">
        <v>61</v>
      </c>
      <c r="B282" t="s">
        <v>1014</v>
      </c>
      <c r="C282" t="s">
        <v>1152</v>
      </c>
      <c r="D282" t="s">
        <v>1155</v>
      </c>
      <c r="E282" t="s">
        <v>34</v>
      </c>
      <c r="F282" t="s">
        <v>35</v>
      </c>
      <c r="G282" t="s">
        <v>47</v>
      </c>
      <c r="H282" t="s">
        <v>977</v>
      </c>
      <c r="I282" t="s">
        <v>978</v>
      </c>
      <c r="J282" t="s">
        <v>980</v>
      </c>
      <c r="K282" t="s">
        <v>474</v>
      </c>
      <c r="L282" t="s">
        <v>40</v>
      </c>
      <c r="M282">
        <v>1</v>
      </c>
      <c r="N282">
        <v>72</v>
      </c>
      <c r="O282">
        <v>72</v>
      </c>
      <c r="P282" t="s">
        <v>41</v>
      </c>
      <c r="Q282">
        <v>279.7</v>
      </c>
      <c r="R282">
        <v>279.7</v>
      </c>
      <c r="S282">
        <v>1006.92</v>
      </c>
      <c r="T282">
        <v>20138.400000000001</v>
      </c>
      <c r="U282">
        <v>5</v>
      </c>
      <c r="V282" t="s">
        <v>42</v>
      </c>
      <c r="W282" t="s">
        <v>474</v>
      </c>
      <c r="X282" s="6" t="str">
        <f t="shared" si="15"/>
        <v>441814972</v>
      </c>
      <c r="Y282" s="7" t="str">
        <f t="shared" si="16"/>
        <v>DC</v>
      </c>
      <c r="Z282" s="7">
        <f t="shared" si="17"/>
        <v>0</v>
      </c>
      <c r="AA282" s="7">
        <f t="shared" si="18"/>
        <v>0</v>
      </c>
      <c r="AB282" s="7">
        <f t="shared" si="19"/>
        <v>72</v>
      </c>
      <c r="AC282" s="7">
        <f t="shared" si="20"/>
        <v>0</v>
      </c>
      <c r="AD282" s="7">
        <f t="shared" si="21"/>
        <v>0</v>
      </c>
      <c r="AE282" s="8" t="str" cm="1">
        <f t="array" ref="AE282">IFERROR(_xlfn.XLOOKUP(H282,Sheet1!$G:$G,Sheet1!$F:$F),IFERROR(_xlfn.XLOOKUP(1,(--($X$2:$X$1074=X282))*(--ISNUMBER(MATCH($H$2:$H$1074,Sheet1!$G:$G,0))),_xlfn.XLOOKUP($H$2:$H$1074,Sheet1!$G:$G,Sheet1!$F:$F,"")),"NOT FOUND"))</f>
        <v>GETKRTSFUT6457</v>
      </c>
      <c r="AF282" s="9" t="str">
        <f t="shared" si="22"/>
        <v>BLACK</v>
      </c>
      <c r="AG282" s="10" t="str">
        <f t="shared" si="23"/>
        <v>HARIPAL</v>
      </c>
      <c r="AH282" s="8" t="str" cm="1">
        <f t="array" ref="AH282">IF(OR(J282="",AE282="",AE282="NOT FOUND"),"",IF(Y282="RP",_xlfn.LET(_xlpm.desc,_xlfn.XLOOKUP(1,(--(Sheet1!$F$2:$F$754=AE282))*(--ISNUMBER(FIND("-",Sheet1!$W$2:$W$754,FIND("-",Sheet1!$W$2:$W$754)+1))),Sheet1!$W$2:$W$754,""),IF(_xlpm.desc="","NOT FOUND",LEFT(_xlpm.desc,FIND("-",_xlpm.desc,FIND("-",_xlpm.desc)+1))&amp;AE282)),LEFT(J282,FIND("-",J282,FIND("-",J282)+1))&amp;AE282))</f>
        <v>KRTS-APWN26-GETKRTSFUT6457</v>
      </c>
    </row>
    <row r="283" spans="1:34" ht="15.75" customHeight="1" x14ac:dyDescent="0.2">
      <c r="A283" t="s">
        <v>61</v>
      </c>
      <c r="B283" t="s">
        <v>1014</v>
      </c>
      <c r="C283" t="s">
        <v>1152</v>
      </c>
      <c r="D283" t="s">
        <v>1155</v>
      </c>
      <c r="E283" t="s">
        <v>34</v>
      </c>
      <c r="F283" t="s">
        <v>35</v>
      </c>
      <c r="G283" t="s">
        <v>51</v>
      </c>
      <c r="H283" t="s">
        <v>981</v>
      </c>
      <c r="I283" t="s">
        <v>982</v>
      </c>
      <c r="J283" t="s">
        <v>983</v>
      </c>
      <c r="K283" t="s">
        <v>474</v>
      </c>
      <c r="L283" t="s">
        <v>40</v>
      </c>
      <c r="M283">
        <v>1</v>
      </c>
      <c r="N283">
        <v>76</v>
      </c>
      <c r="O283">
        <v>76</v>
      </c>
      <c r="P283" t="s">
        <v>41</v>
      </c>
      <c r="Q283">
        <v>279.7</v>
      </c>
      <c r="R283">
        <v>279.7</v>
      </c>
      <c r="S283">
        <v>1062.8599999999999</v>
      </c>
      <c r="T283">
        <v>21257.200000000001</v>
      </c>
      <c r="U283">
        <v>5</v>
      </c>
      <c r="V283" t="s">
        <v>42</v>
      </c>
      <c r="W283" t="s">
        <v>474</v>
      </c>
      <c r="X283" s="6" t="str">
        <f t="shared" si="15"/>
        <v>441814972</v>
      </c>
      <c r="Y283" s="7" t="str">
        <f t="shared" si="16"/>
        <v>DC</v>
      </c>
      <c r="Z283" s="7">
        <f t="shared" si="17"/>
        <v>0</v>
      </c>
      <c r="AA283" s="7">
        <f t="shared" si="18"/>
        <v>0</v>
      </c>
      <c r="AB283" s="7">
        <f t="shared" si="19"/>
        <v>0</v>
      </c>
      <c r="AC283" s="7">
        <f t="shared" si="20"/>
        <v>76</v>
      </c>
      <c r="AD283" s="7">
        <f t="shared" si="21"/>
        <v>0</v>
      </c>
      <c r="AE283" s="8" t="str" cm="1">
        <f t="array" ref="AE283">IFERROR(_xlfn.XLOOKUP(H283,Sheet1!$G:$G,Sheet1!$F:$F),IFERROR(_xlfn.XLOOKUP(1,(--($X$2:$X$1074=X283))*(--ISNUMBER(MATCH($H$2:$H$1074,Sheet1!$G:$G,0))),_xlfn.XLOOKUP($H$2:$H$1074,Sheet1!$G:$G,Sheet1!$F:$F,"")),"NOT FOUND"))</f>
        <v>GETKRTSFUT6457</v>
      </c>
      <c r="AF283" s="9" t="str">
        <f t="shared" si="22"/>
        <v>BLACK</v>
      </c>
      <c r="AG283" s="10" t="str">
        <f t="shared" si="23"/>
        <v>HARIPAL</v>
      </c>
      <c r="AH283" s="8" t="str" cm="1">
        <f t="array" ref="AH283">IF(OR(J283="",AE283="",AE283="NOT FOUND"),"",IF(Y283="RP",_xlfn.LET(_xlpm.desc,_xlfn.XLOOKUP(1,(--(Sheet1!$F$2:$F$754=AE283))*(--ISNUMBER(FIND("-",Sheet1!$W$2:$W$754,FIND("-",Sheet1!$W$2:$W$754)+1))),Sheet1!$W$2:$W$754,""),IF(_xlpm.desc="","NOT FOUND",LEFT(_xlpm.desc,FIND("-",_xlpm.desc,FIND("-",_xlpm.desc)+1))&amp;AE283)),LEFT(J283,FIND("-",J283,FIND("-",J283)+1))&amp;AE283))</f>
        <v>KRTS-APWN26-GETKRTSFUT6457</v>
      </c>
    </row>
    <row r="284" spans="1:34" ht="15.75" customHeight="1" x14ac:dyDescent="0.2">
      <c r="A284" t="s">
        <v>61</v>
      </c>
      <c r="B284" t="s">
        <v>1014</v>
      </c>
      <c r="C284" t="s">
        <v>1152</v>
      </c>
      <c r="D284" t="s">
        <v>1155</v>
      </c>
      <c r="E284" t="s">
        <v>34</v>
      </c>
      <c r="F284" t="s">
        <v>35</v>
      </c>
      <c r="G284" t="s">
        <v>55</v>
      </c>
      <c r="H284" t="s">
        <v>984</v>
      </c>
      <c r="I284" t="s">
        <v>985</v>
      </c>
      <c r="J284" t="s">
        <v>986</v>
      </c>
      <c r="K284" t="s">
        <v>474</v>
      </c>
      <c r="L284" t="s">
        <v>40</v>
      </c>
      <c r="M284">
        <v>1</v>
      </c>
      <c r="N284">
        <v>30</v>
      </c>
      <c r="O284">
        <v>30</v>
      </c>
      <c r="P284" t="s">
        <v>41</v>
      </c>
      <c r="Q284">
        <v>279.7</v>
      </c>
      <c r="R284">
        <v>279.7</v>
      </c>
      <c r="S284">
        <v>419.55</v>
      </c>
      <c r="T284">
        <v>8391</v>
      </c>
      <c r="U284">
        <v>5</v>
      </c>
      <c r="V284" t="s">
        <v>42</v>
      </c>
      <c r="W284" t="s">
        <v>474</v>
      </c>
      <c r="X284" s="6" t="str">
        <f t="shared" si="15"/>
        <v>441814972</v>
      </c>
      <c r="Y284" s="7" t="str">
        <f t="shared" si="16"/>
        <v>DC</v>
      </c>
      <c r="Z284" s="7">
        <f t="shared" si="17"/>
        <v>0</v>
      </c>
      <c r="AA284" s="7">
        <f t="shared" si="18"/>
        <v>0</v>
      </c>
      <c r="AB284" s="7">
        <f t="shared" si="19"/>
        <v>0</v>
      </c>
      <c r="AC284" s="7">
        <f t="shared" si="20"/>
        <v>0</v>
      </c>
      <c r="AD284" s="7">
        <f t="shared" si="21"/>
        <v>30</v>
      </c>
      <c r="AE284" s="8" t="str" cm="1">
        <f t="array" ref="AE284">IFERROR(_xlfn.XLOOKUP(H284,Sheet1!$G:$G,Sheet1!$F:$F),IFERROR(_xlfn.XLOOKUP(1,(--($X$2:$X$1074=X284))*(--ISNUMBER(MATCH($H$2:$H$1074,Sheet1!$G:$G,0))),_xlfn.XLOOKUP($H$2:$H$1074,Sheet1!$G:$G,Sheet1!$F:$F,"")),"NOT FOUND"))</f>
        <v>GETKRTSFUT6457</v>
      </c>
      <c r="AF284" s="9" t="str">
        <f t="shared" si="22"/>
        <v>BLACK</v>
      </c>
      <c r="AG284" s="10" t="str">
        <f t="shared" si="23"/>
        <v>HARIPAL</v>
      </c>
      <c r="AH284" s="8" t="str" cm="1">
        <f t="array" ref="AH284">IF(OR(J284="",AE284="",AE284="NOT FOUND"),"",IF(Y284="RP",_xlfn.LET(_xlpm.desc,_xlfn.XLOOKUP(1,(--(Sheet1!$F$2:$F$754=AE284))*(--ISNUMBER(FIND("-",Sheet1!$W$2:$W$754,FIND("-",Sheet1!$W$2:$W$754)+1))),Sheet1!$W$2:$W$754,""),IF(_xlpm.desc="","NOT FOUND",LEFT(_xlpm.desc,FIND("-",_xlpm.desc,FIND("-",_xlpm.desc)+1))&amp;AE284)),LEFT(J284,FIND("-",J284,FIND("-",J284)+1))&amp;AE284))</f>
        <v>KRTS-APWN26-GETKRTSFUT6457</v>
      </c>
    </row>
    <row r="285" spans="1:34" ht="15.75" customHeight="1" x14ac:dyDescent="0.2">
      <c r="A285" t="s">
        <v>61</v>
      </c>
      <c r="B285" t="s">
        <v>1017</v>
      </c>
      <c r="C285" t="s">
        <v>1152</v>
      </c>
      <c r="D285" t="s">
        <v>1153</v>
      </c>
      <c r="E285" t="s">
        <v>34</v>
      </c>
      <c r="F285" t="s">
        <v>35</v>
      </c>
      <c r="G285" t="s">
        <v>36</v>
      </c>
      <c r="H285" t="s">
        <v>988</v>
      </c>
      <c r="I285" t="s">
        <v>989</v>
      </c>
      <c r="J285" t="s">
        <v>990</v>
      </c>
      <c r="K285" t="s">
        <v>474</v>
      </c>
      <c r="L285" t="s">
        <v>40</v>
      </c>
      <c r="M285">
        <v>1</v>
      </c>
      <c r="N285">
        <v>30</v>
      </c>
      <c r="O285">
        <v>30</v>
      </c>
      <c r="P285" t="s">
        <v>41</v>
      </c>
      <c r="Q285">
        <v>269.7</v>
      </c>
      <c r="R285">
        <v>269.7</v>
      </c>
      <c r="S285">
        <v>404.55</v>
      </c>
      <c r="T285">
        <v>8091</v>
      </c>
      <c r="U285">
        <v>5</v>
      </c>
      <c r="V285" t="s">
        <v>42</v>
      </c>
      <c r="W285" t="s">
        <v>474</v>
      </c>
      <c r="X285" s="6" t="str">
        <f t="shared" si="15"/>
        <v>441814971</v>
      </c>
      <c r="Y285" s="7" t="str">
        <f t="shared" si="16"/>
        <v>DC</v>
      </c>
      <c r="Z285" s="7">
        <f t="shared" si="17"/>
        <v>30</v>
      </c>
      <c r="AA285" s="7">
        <f t="shared" si="18"/>
        <v>0</v>
      </c>
      <c r="AB285" s="7">
        <f t="shared" si="19"/>
        <v>0</v>
      </c>
      <c r="AC285" s="7">
        <f t="shared" si="20"/>
        <v>0</v>
      </c>
      <c r="AD285" s="7">
        <f t="shared" si="21"/>
        <v>0</v>
      </c>
      <c r="AE285" s="8" t="str" cm="1">
        <f t="array" ref="AE285">IFERROR(_xlfn.XLOOKUP(H285,Sheet1!$G:$G,Sheet1!$F:$F),IFERROR(_xlfn.XLOOKUP(1,(--($X$2:$X$1074=X285))*(--ISNUMBER(MATCH($H$2:$H$1074,Sheet1!$G:$G,0))),_xlfn.XLOOKUP($H$2:$H$1074,Sheet1!$G:$G,Sheet1!$F:$F,"")),"NOT FOUND"))</f>
        <v>GETKRTSFUT6452</v>
      </c>
      <c r="AF285" s="9" t="str">
        <f t="shared" si="22"/>
        <v>CREAM</v>
      </c>
      <c r="AG285" s="10" t="str">
        <f t="shared" si="23"/>
        <v>HARIPAL</v>
      </c>
      <c r="AH285" s="8" t="str" cm="1">
        <f t="array" ref="AH285">IF(OR(J285="",AE285="",AE285="NOT FOUND"),"",IF(Y285="RP",_xlfn.LET(_xlpm.desc,_xlfn.XLOOKUP(1,(--(Sheet1!$F$2:$F$754=AE285))*(--ISNUMBER(FIND("-",Sheet1!$W$2:$W$754,FIND("-",Sheet1!$W$2:$W$754)+1))),Sheet1!$W$2:$W$754,""),IF(_xlpm.desc="","NOT FOUND",LEFT(_xlpm.desc,FIND("-",_xlpm.desc,FIND("-",_xlpm.desc)+1))&amp;AE285)),LEFT(J285,FIND("-",J285,FIND("-",J285)+1))&amp;AE285))</f>
        <v>KRTS-APWN26-GETKRTSFUT6452</v>
      </c>
    </row>
    <row r="286" spans="1:34" ht="15.75" customHeight="1" x14ac:dyDescent="0.2">
      <c r="A286" t="s">
        <v>61</v>
      </c>
      <c r="B286" t="s">
        <v>1017</v>
      </c>
      <c r="C286" t="s">
        <v>1152</v>
      </c>
      <c r="D286" t="s">
        <v>1153</v>
      </c>
      <c r="E286" t="s">
        <v>34</v>
      </c>
      <c r="F286" t="s">
        <v>35</v>
      </c>
      <c r="G286" t="s">
        <v>43</v>
      </c>
      <c r="H286" t="s">
        <v>991</v>
      </c>
      <c r="I286" t="s">
        <v>992</v>
      </c>
      <c r="J286" t="s">
        <v>993</v>
      </c>
      <c r="K286" t="s">
        <v>474</v>
      </c>
      <c r="L286" t="s">
        <v>40</v>
      </c>
      <c r="M286">
        <v>1</v>
      </c>
      <c r="N286">
        <v>127</v>
      </c>
      <c r="O286">
        <v>127</v>
      </c>
      <c r="P286" t="s">
        <v>41</v>
      </c>
      <c r="Q286">
        <v>269.7</v>
      </c>
      <c r="R286">
        <v>269.7</v>
      </c>
      <c r="S286">
        <v>1712.6</v>
      </c>
      <c r="T286">
        <v>34251.9</v>
      </c>
      <c r="U286">
        <v>5</v>
      </c>
      <c r="V286" t="s">
        <v>42</v>
      </c>
      <c r="W286" t="s">
        <v>474</v>
      </c>
      <c r="X286" s="6" t="str">
        <f t="shared" si="15"/>
        <v>441814971</v>
      </c>
      <c r="Y286" s="7" t="str">
        <f t="shared" si="16"/>
        <v>DC</v>
      </c>
      <c r="Z286" s="7">
        <f t="shared" si="17"/>
        <v>0</v>
      </c>
      <c r="AA286" s="7">
        <f t="shared" si="18"/>
        <v>127</v>
      </c>
      <c r="AB286" s="7">
        <f t="shared" si="19"/>
        <v>0</v>
      </c>
      <c r="AC286" s="7">
        <f t="shared" si="20"/>
        <v>0</v>
      </c>
      <c r="AD286" s="7">
        <f t="shared" si="21"/>
        <v>0</v>
      </c>
      <c r="AE286" s="8" t="str" cm="1">
        <f t="array" ref="AE286">IFERROR(_xlfn.XLOOKUP(H286,Sheet1!$G:$G,Sheet1!$F:$F),IFERROR(_xlfn.XLOOKUP(1,(--($X$2:$X$1074=X286))*(--ISNUMBER(MATCH($H$2:$H$1074,Sheet1!$G:$G,0))),_xlfn.XLOOKUP($H$2:$H$1074,Sheet1!$G:$G,Sheet1!$F:$F,"")),"NOT FOUND"))</f>
        <v>GETKRTSFUT6452</v>
      </c>
      <c r="AF286" s="9" t="str">
        <f t="shared" si="22"/>
        <v>CREAM</v>
      </c>
      <c r="AG286" s="10" t="str">
        <f t="shared" si="23"/>
        <v>HARIPAL</v>
      </c>
      <c r="AH286" s="8" t="str" cm="1">
        <f t="array" ref="AH286">IF(OR(J286="",AE286="",AE286="NOT FOUND"),"",IF(Y286="RP",_xlfn.LET(_xlpm.desc,_xlfn.XLOOKUP(1,(--(Sheet1!$F$2:$F$754=AE286))*(--ISNUMBER(FIND("-",Sheet1!$W$2:$W$754,FIND("-",Sheet1!$W$2:$W$754)+1))),Sheet1!$W$2:$W$754,""),IF(_xlpm.desc="","NOT FOUND",LEFT(_xlpm.desc,FIND("-",_xlpm.desc,FIND("-",_xlpm.desc)+1))&amp;AE286)),LEFT(J286,FIND("-",J286,FIND("-",J286)+1))&amp;AE286))</f>
        <v>KRTS-APWN26-GETKRTSFUT6452</v>
      </c>
    </row>
    <row r="287" spans="1:34" ht="15.75" customHeight="1" x14ac:dyDescent="0.2">
      <c r="A287" t="s">
        <v>61</v>
      </c>
      <c r="B287" t="s">
        <v>1017</v>
      </c>
      <c r="C287" t="s">
        <v>1152</v>
      </c>
      <c r="D287" t="s">
        <v>1153</v>
      </c>
      <c r="E287" t="s">
        <v>34</v>
      </c>
      <c r="F287" t="s">
        <v>35</v>
      </c>
      <c r="G287" t="s">
        <v>47</v>
      </c>
      <c r="H287" t="s">
        <v>994</v>
      </c>
      <c r="I287" t="s">
        <v>995</v>
      </c>
      <c r="J287" t="s">
        <v>996</v>
      </c>
      <c r="K287" t="s">
        <v>474</v>
      </c>
      <c r="L287" t="s">
        <v>40</v>
      </c>
      <c r="M287">
        <v>1</v>
      </c>
      <c r="N287">
        <v>120</v>
      </c>
      <c r="O287">
        <v>120</v>
      </c>
      <c r="P287" t="s">
        <v>41</v>
      </c>
      <c r="Q287">
        <v>269.7</v>
      </c>
      <c r="R287">
        <v>269.7</v>
      </c>
      <c r="S287">
        <v>1618.2</v>
      </c>
      <c r="T287">
        <v>32364</v>
      </c>
      <c r="U287">
        <v>5</v>
      </c>
      <c r="V287" t="s">
        <v>42</v>
      </c>
      <c r="W287" t="s">
        <v>474</v>
      </c>
      <c r="X287" s="6" t="str">
        <f t="shared" si="15"/>
        <v>441814971</v>
      </c>
      <c r="Y287" s="7" t="str">
        <f t="shared" si="16"/>
        <v>DC</v>
      </c>
      <c r="Z287" s="7">
        <f t="shared" si="17"/>
        <v>0</v>
      </c>
      <c r="AA287" s="7">
        <f t="shared" si="18"/>
        <v>0</v>
      </c>
      <c r="AB287" s="7">
        <f t="shared" si="19"/>
        <v>120</v>
      </c>
      <c r="AC287" s="7">
        <f t="shared" si="20"/>
        <v>0</v>
      </c>
      <c r="AD287" s="7">
        <f t="shared" si="21"/>
        <v>0</v>
      </c>
      <c r="AE287" s="8" t="str" cm="1">
        <f t="array" ref="AE287">IFERROR(_xlfn.XLOOKUP(H287,Sheet1!$G:$G,Sheet1!$F:$F),IFERROR(_xlfn.XLOOKUP(1,(--($X$2:$X$1074=X287))*(--ISNUMBER(MATCH($H$2:$H$1074,Sheet1!$G:$G,0))),_xlfn.XLOOKUP($H$2:$H$1074,Sheet1!$G:$G,Sheet1!$F:$F,"")),"NOT FOUND"))</f>
        <v>GETKRTSFUT6452</v>
      </c>
      <c r="AF287" s="9" t="str">
        <f t="shared" si="22"/>
        <v>CREAM</v>
      </c>
      <c r="AG287" s="10" t="str">
        <f t="shared" si="23"/>
        <v>HARIPAL</v>
      </c>
      <c r="AH287" s="8" t="str" cm="1">
        <f t="array" ref="AH287">IF(OR(J287="",AE287="",AE287="NOT FOUND"),"",IF(Y287="RP",_xlfn.LET(_xlpm.desc,_xlfn.XLOOKUP(1,(--(Sheet1!$F$2:$F$754=AE287))*(--ISNUMBER(FIND("-",Sheet1!$W$2:$W$754,FIND("-",Sheet1!$W$2:$W$754)+1))),Sheet1!$W$2:$W$754,""),IF(_xlpm.desc="","NOT FOUND",LEFT(_xlpm.desc,FIND("-",_xlpm.desc,FIND("-",_xlpm.desc)+1))&amp;AE287)),LEFT(J287,FIND("-",J287,FIND("-",J287)+1))&amp;AE287))</f>
        <v>KRTS-APWN26-GETKRTSFUT6452</v>
      </c>
    </row>
    <row r="288" spans="1:34" ht="15.75" customHeight="1" x14ac:dyDescent="0.2">
      <c r="A288" t="s">
        <v>61</v>
      </c>
      <c r="B288" t="s">
        <v>1017</v>
      </c>
      <c r="C288" t="s">
        <v>1152</v>
      </c>
      <c r="D288" t="s">
        <v>1153</v>
      </c>
      <c r="E288" t="s">
        <v>34</v>
      </c>
      <c r="F288" t="s">
        <v>35</v>
      </c>
      <c r="G288" t="s">
        <v>51</v>
      </c>
      <c r="H288" t="s">
        <v>997</v>
      </c>
      <c r="I288" t="s">
        <v>998</v>
      </c>
      <c r="J288" t="s">
        <v>999</v>
      </c>
      <c r="K288" t="s">
        <v>474</v>
      </c>
      <c r="L288" t="s">
        <v>40</v>
      </c>
      <c r="M288">
        <v>1</v>
      </c>
      <c r="N288">
        <v>127</v>
      </c>
      <c r="O288">
        <v>127</v>
      </c>
      <c r="P288" t="s">
        <v>41</v>
      </c>
      <c r="Q288">
        <v>269.7</v>
      </c>
      <c r="R288">
        <v>269.7</v>
      </c>
      <c r="S288">
        <v>1712.6</v>
      </c>
      <c r="T288">
        <v>34251.9</v>
      </c>
      <c r="U288">
        <v>5</v>
      </c>
      <c r="V288" t="s">
        <v>42</v>
      </c>
      <c r="W288" t="s">
        <v>474</v>
      </c>
      <c r="X288" s="6" t="str">
        <f t="shared" si="15"/>
        <v>441814971</v>
      </c>
      <c r="Y288" s="7" t="str">
        <f t="shared" si="16"/>
        <v>DC</v>
      </c>
      <c r="Z288" s="7">
        <f t="shared" si="17"/>
        <v>0</v>
      </c>
      <c r="AA288" s="7">
        <f t="shared" si="18"/>
        <v>0</v>
      </c>
      <c r="AB288" s="7">
        <f t="shared" si="19"/>
        <v>0</v>
      </c>
      <c r="AC288" s="7">
        <f t="shared" si="20"/>
        <v>127</v>
      </c>
      <c r="AD288" s="7">
        <f t="shared" si="21"/>
        <v>0</v>
      </c>
      <c r="AE288" s="8" t="str" cm="1">
        <f t="array" ref="AE288">IFERROR(_xlfn.XLOOKUP(H288,Sheet1!$G:$G,Sheet1!$F:$F),IFERROR(_xlfn.XLOOKUP(1,(--($X$2:$X$1074=X288))*(--ISNUMBER(MATCH($H$2:$H$1074,Sheet1!$G:$G,0))),_xlfn.XLOOKUP($H$2:$H$1074,Sheet1!$G:$G,Sheet1!$F:$F,"")),"NOT FOUND"))</f>
        <v>GETKRTSFUT6452</v>
      </c>
      <c r="AF288" s="9" t="str">
        <f t="shared" si="22"/>
        <v>CREAM</v>
      </c>
      <c r="AG288" s="10" t="str">
        <f t="shared" si="23"/>
        <v>HARIPAL</v>
      </c>
      <c r="AH288" s="8" t="str" cm="1">
        <f t="array" ref="AH288">IF(OR(J288="",AE288="",AE288="NOT FOUND"),"",IF(Y288="RP",_xlfn.LET(_xlpm.desc,_xlfn.XLOOKUP(1,(--(Sheet1!$F$2:$F$754=AE288))*(--ISNUMBER(FIND("-",Sheet1!$W$2:$W$754,FIND("-",Sheet1!$W$2:$W$754)+1))),Sheet1!$W$2:$W$754,""),IF(_xlpm.desc="","NOT FOUND",LEFT(_xlpm.desc,FIND("-",_xlpm.desc,FIND("-",_xlpm.desc)+1))&amp;AE288)),LEFT(J288,FIND("-",J288,FIND("-",J288)+1))&amp;AE288))</f>
        <v>KRTS-APWN26-GETKRTSFUT6452</v>
      </c>
    </row>
    <row r="289" spans="1:34" ht="15.75" customHeight="1" x14ac:dyDescent="0.2">
      <c r="A289" t="s">
        <v>61</v>
      </c>
      <c r="B289" t="s">
        <v>1017</v>
      </c>
      <c r="C289" t="s">
        <v>1152</v>
      </c>
      <c r="D289" t="s">
        <v>1153</v>
      </c>
      <c r="E289" t="s">
        <v>34</v>
      </c>
      <c r="F289" t="s">
        <v>35</v>
      </c>
      <c r="G289" t="s">
        <v>55</v>
      </c>
      <c r="H289" t="s">
        <v>1000</v>
      </c>
      <c r="I289" t="s">
        <v>1001</v>
      </c>
      <c r="J289" t="s">
        <v>1002</v>
      </c>
      <c r="K289" t="s">
        <v>474</v>
      </c>
      <c r="L289" t="s">
        <v>40</v>
      </c>
      <c r="M289">
        <v>1</v>
      </c>
      <c r="N289">
        <v>45</v>
      </c>
      <c r="O289">
        <v>45</v>
      </c>
      <c r="P289" t="s">
        <v>41</v>
      </c>
      <c r="Q289">
        <v>269.7</v>
      </c>
      <c r="R289">
        <v>269.7</v>
      </c>
      <c r="S289">
        <v>606.83000000000004</v>
      </c>
      <c r="T289">
        <v>12136.5</v>
      </c>
      <c r="U289">
        <v>5</v>
      </c>
      <c r="V289" t="s">
        <v>42</v>
      </c>
      <c r="W289" t="s">
        <v>474</v>
      </c>
      <c r="X289" s="6" t="str">
        <f t="shared" si="15"/>
        <v>441814971</v>
      </c>
      <c r="Y289" s="7" t="str">
        <f t="shared" si="16"/>
        <v>DC</v>
      </c>
      <c r="Z289" s="7">
        <f t="shared" si="17"/>
        <v>0</v>
      </c>
      <c r="AA289" s="7">
        <f t="shared" si="18"/>
        <v>0</v>
      </c>
      <c r="AB289" s="7">
        <f t="shared" si="19"/>
        <v>0</v>
      </c>
      <c r="AC289" s="7">
        <f t="shared" si="20"/>
        <v>0</v>
      </c>
      <c r="AD289" s="7">
        <f t="shared" si="21"/>
        <v>45</v>
      </c>
      <c r="AE289" s="8" t="str" cm="1">
        <f t="array" ref="AE289">IFERROR(_xlfn.XLOOKUP(H289,Sheet1!$G:$G,Sheet1!$F:$F),IFERROR(_xlfn.XLOOKUP(1,(--($X$2:$X$1074=X289))*(--ISNUMBER(MATCH($H$2:$H$1074,Sheet1!$G:$G,0))),_xlfn.XLOOKUP($H$2:$H$1074,Sheet1!$G:$G,Sheet1!$F:$F,"")),"NOT FOUND"))</f>
        <v>GETKRTSFUT6452</v>
      </c>
      <c r="AF289" s="9" t="str">
        <f t="shared" si="22"/>
        <v>CREAM</v>
      </c>
      <c r="AG289" s="10" t="str">
        <f t="shared" si="23"/>
        <v>HARIPAL</v>
      </c>
      <c r="AH289" s="8" t="str" cm="1">
        <f t="array" ref="AH289">IF(OR(J289="",AE289="",AE289="NOT FOUND"),"",IF(Y289="RP",_xlfn.LET(_xlpm.desc,_xlfn.XLOOKUP(1,(--(Sheet1!$F$2:$F$754=AE289))*(--ISNUMBER(FIND("-",Sheet1!$W$2:$W$754,FIND("-",Sheet1!$W$2:$W$754)+1))),Sheet1!$W$2:$W$754,""),IF(_xlpm.desc="","NOT FOUND",LEFT(_xlpm.desc,FIND("-",_xlpm.desc,FIND("-",_xlpm.desc)+1))&amp;AE289)),LEFT(J289,FIND("-",J289,FIND("-",J289)+1))&amp;AE289))</f>
        <v>KRTS-APWN26-GETKRTSFUT6452</v>
      </c>
    </row>
    <row r="290" spans="1:34" ht="15.75" customHeight="1" x14ac:dyDescent="0.2">
      <c r="A290" t="s">
        <v>30</v>
      </c>
      <c r="B290" t="s">
        <v>1018</v>
      </c>
      <c r="C290" t="s">
        <v>371</v>
      </c>
      <c r="D290" t="s">
        <v>1156</v>
      </c>
      <c r="E290" t="s">
        <v>34</v>
      </c>
      <c r="F290" t="s">
        <v>35</v>
      </c>
      <c r="G290" t="s">
        <v>36</v>
      </c>
      <c r="H290" t="s">
        <v>1020</v>
      </c>
      <c r="I290" t="s">
        <v>1021</v>
      </c>
      <c r="J290" t="s">
        <v>1023</v>
      </c>
      <c r="K290" t="s">
        <v>474</v>
      </c>
      <c r="L290" t="s">
        <v>40</v>
      </c>
      <c r="M290">
        <v>1</v>
      </c>
      <c r="N290">
        <v>74</v>
      </c>
      <c r="O290">
        <v>74</v>
      </c>
      <c r="P290" t="s">
        <v>41</v>
      </c>
      <c r="Q290">
        <v>249.7</v>
      </c>
      <c r="R290">
        <v>249.7</v>
      </c>
      <c r="S290">
        <v>923.89</v>
      </c>
      <c r="T290">
        <v>18477.8</v>
      </c>
      <c r="U290">
        <v>5</v>
      </c>
      <c r="V290" t="s">
        <v>42</v>
      </c>
      <c r="W290" t="s">
        <v>474</v>
      </c>
      <c r="X290" s="6" t="str">
        <f t="shared" si="15"/>
        <v>441814704</v>
      </c>
      <c r="Y290" s="7" t="str">
        <f t="shared" si="16"/>
        <v>DC</v>
      </c>
      <c r="Z290" s="7">
        <f t="shared" si="17"/>
        <v>74</v>
      </c>
      <c r="AA290" s="7">
        <f t="shared" si="18"/>
        <v>0</v>
      </c>
      <c r="AB290" s="7">
        <f t="shared" si="19"/>
        <v>0</v>
      </c>
      <c r="AC290" s="7">
        <f t="shared" si="20"/>
        <v>0</v>
      </c>
      <c r="AD290" s="7">
        <f t="shared" si="21"/>
        <v>0</v>
      </c>
      <c r="AE290" s="8" t="str" cm="1">
        <f t="array" ref="AE290">IFERROR(_xlfn.XLOOKUP(H290,Sheet1!$G:$G,Sheet1!$F:$F),IFERROR(_xlfn.XLOOKUP(1,(--($X$2:$X$1074=X290))*(--ISNUMBER(MATCH($H$2:$H$1074,Sheet1!$G:$G,0))),_xlfn.XLOOKUP($H$2:$H$1074,Sheet1!$G:$G,Sheet1!$F:$F,"")),"NOT FOUND"))</f>
        <v>GETKRTSCUT5008D</v>
      </c>
      <c r="AF290" s="9" t="str">
        <f t="shared" si="22"/>
        <v>MUSTARD</v>
      </c>
      <c r="AG290" s="10" t="str">
        <f t="shared" si="23"/>
        <v>Bangalore</v>
      </c>
      <c r="AH290" s="8" t="str" cm="1">
        <f t="array" ref="AH290">IF(OR(J290="",AE290="",AE290="NOT FOUND"),"",IF(Y290="RP",_xlfn.LET(_xlpm.desc,_xlfn.XLOOKUP(1,(--(Sheet1!$F$2:$F$754=AE290))*(--ISNUMBER(FIND("-",Sheet1!$W$2:$W$754,FIND("-",Sheet1!$W$2:$W$754)+1))),Sheet1!$W$2:$W$754,""),IF(_xlpm.desc="","NOT FOUND",LEFT(_xlpm.desc,FIND("-",_xlpm.desc,FIND("-",_xlpm.desc)+1))&amp;AE290)),LEFT(J290,FIND("-",J290,FIND("-",J290)+1))&amp;AE290))</f>
        <v>KRTS-APWN26-GETKRTSCUT5008D</v>
      </c>
    </row>
    <row r="291" spans="1:34" ht="15.75" customHeight="1" x14ac:dyDescent="0.2">
      <c r="A291" t="s">
        <v>30</v>
      </c>
      <c r="B291" t="s">
        <v>1018</v>
      </c>
      <c r="C291" t="s">
        <v>371</v>
      </c>
      <c r="D291" t="s">
        <v>1156</v>
      </c>
      <c r="E291" t="s">
        <v>34</v>
      </c>
      <c r="F291" t="s">
        <v>35</v>
      </c>
      <c r="G291" t="s">
        <v>43</v>
      </c>
      <c r="H291" t="s">
        <v>1024</v>
      </c>
      <c r="I291" t="s">
        <v>1025</v>
      </c>
      <c r="J291" t="s">
        <v>1026</v>
      </c>
      <c r="K291" t="s">
        <v>474</v>
      </c>
      <c r="L291" t="s">
        <v>40</v>
      </c>
      <c r="M291">
        <v>1</v>
      </c>
      <c r="N291">
        <v>316</v>
      </c>
      <c r="O291">
        <v>316</v>
      </c>
      <c r="P291" t="s">
        <v>41</v>
      </c>
      <c r="Q291">
        <v>249.7</v>
      </c>
      <c r="R291">
        <v>249.7</v>
      </c>
      <c r="S291">
        <v>3945.26</v>
      </c>
      <c r="T291">
        <v>78905.2</v>
      </c>
      <c r="U291">
        <v>5</v>
      </c>
      <c r="V291" t="s">
        <v>42</v>
      </c>
      <c r="W291" t="s">
        <v>474</v>
      </c>
      <c r="X291" s="6" t="str">
        <f t="shared" si="15"/>
        <v>441814704</v>
      </c>
      <c r="Y291" s="7" t="str">
        <f t="shared" si="16"/>
        <v>DC</v>
      </c>
      <c r="Z291" s="7">
        <f t="shared" si="17"/>
        <v>0</v>
      </c>
      <c r="AA291" s="7">
        <f t="shared" si="18"/>
        <v>316</v>
      </c>
      <c r="AB291" s="7">
        <f t="shared" si="19"/>
        <v>0</v>
      </c>
      <c r="AC291" s="7">
        <f t="shared" si="20"/>
        <v>0</v>
      </c>
      <c r="AD291" s="7">
        <f t="shared" si="21"/>
        <v>0</v>
      </c>
      <c r="AE291" s="8" t="str" cm="1">
        <f t="array" ref="AE291">IFERROR(_xlfn.XLOOKUP(H291,Sheet1!$G:$G,Sheet1!$F:$F),IFERROR(_xlfn.XLOOKUP(1,(--($X$2:$X$1074=X291))*(--ISNUMBER(MATCH($H$2:$H$1074,Sheet1!$G:$G,0))),_xlfn.XLOOKUP($H$2:$H$1074,Sheet1!$G:$G,Sheet1!$F:$F,"")),"NOT FOUND"))</f>
        <v>GETKRTSCUT5008D</v>
      </c>
      <c r="AF291" s="9" t="str">
        <f t="shared" si="22"/>
        <v>MUSTARD</v>
      </c>
      <c r="AG291" s="10" t="str">
        <f t="shared" si="23"/>
        <v>Bangalore</v>
      </c>
      <c r="AH291" s="8" t="str" cm="1">
        <f t="array" ref="AH291">IF(OR(J291="",AE291="",AE291="NOT FOUND"),"",IF(Y291="RP",_xlfn.LET(_xlpm.desc,_xlfn.XLOOKUP(1,(--(Sheet1!$F$2:$F$754=AE291))*(--ISNUMBER(FIND("-",Sheet1!$W$2:$W$754,FIND("-",Sheet1!$W$2:$W$754)+1))),Sheet1!$W$2:$W$754,""),IF(_xlpm.desc="","NOT FOUND",LEFT(_xlpm.desc,FIND("-",_xlpm.desc,FIND("-",_xlpm.desc)+1))&amp;AE291)),LEFT(J291,FIND("-",J291,FIND("-",J291)+1))&amp;AE291))</f>
        <v>KRTS-APWN26-GETKRTSCUT5008D</v>
      </c>
    </row>
    <row r="292" spans="1:34" ht="15.75" customHeight="1" x14ac:dyDescent="0.2">
      <c r="A292" t="s">
        <v>30</v>
      </c>
      <c r="B292" t="s">
        <v>1018</v>
      </c>
      <c r="C292" t="s">
        <v>371</v>
      </c>
      <c r="D292" t="s">
        <v>1156</v>
      </c>
      <c r="E292" t="s">
        <v>34</v>
      </c>
      <c r="F292" t="s">
        <v>35</v>
      </c>
      <c r="G292" t="s">
        <v>47</v>
      </c>
      <c r="H292" t="s">
        <v>1027</v>
      </c>
      <c r="I292" t="s">
        <v>1028</v>
      </c>
      <c r="J292" t="s">
        <v>1029</v>
      </c>
      <c r="K292" t="s">
        <v>474</v>
      </c>
      <c r="L292" t="s">
        <v>40</v>
      </c>
      <c r="M292">
        <v>1</v>
      </c>
      <c r="N292">
        <v>297</v>
      </c>
      <c r="O292">
        <v>297</v>
      </c>
      <c r="P292" t="s">
        <v>41</v>
      </c>
      <c r="Q292">
        <v>249.7</v>
      </c>
      <c r="R292">
        <v>249.7</v>
      </c>
      <c r="S292">
        <v>3708.05</v>
      </c>
      <c r="T292">
        <v>74160.899999999994</v>
      </c>
      <c r="U292">
        <v>5</v>
      </c>
      <c r="V292" t="s">
        <v>42</v>
      </c>
      <c r="W292" t="s">
        <v>474</v>
      </c>
      <c r="X292" s="6" t="str">
        <f t="shared" si="15"/>
        <v>441814704</v>
      </c>
      <c r="Y292" s="7" t="str">
        <f t="shared" si="16"/>
        <v>DC</v>
      </c>
      <c r="Z292" s="7">
        <f t="shared" si="17"/>
        <v>0</v>
      </c>
      <c r="AA292" s="7">
        <f t="shared" si="18"/>
        <v>0</v>
      </c>
      <c r="AB292" s="7">
        <f t="shared" si="19"/>
        <v>297</v>
      </c>
      <c r="AC292" s="7">
        <f t="shared" si="20"/>
        <v>0</v>
      </c>
      <c r="AD292" s="7">
        <f t="shared" si="21"/>
        <v>0</v>
      </c>
      <c r="AE292" s="8" t="str" cm="1">
        <f t="array" ref="AE292">IFERROR(_xlfn.XLOOKUP(H292,Sheet1!$G:$G,Sheet1!$F:$F),IFERROR(_xlfn.XLOOKUP(1,(--($X$2:$X$1074=X292))*(--ISNUMBER(MATCH($H$2:$H$1074,Sheet1!$G:$G,0))),_xlfn.XLOOKUP($H$2:$H$1074,Sheet1!$G:$G,Sheet1!$F:$F,"")),"NOT FOUND"))</f>
        <v>GETKRTSCUT5008D</v>
      </c>
      <c r="AF292" s="9" t="str">
        <f t="shared" si="22"/>
        <v>MUSTARD</v>
      </c>
      <c r="AG292" s="10" t="str">
        <f t="shared" si="23"/>
        <v>Bangalore</v>
      </c>
      <c r="AH292" s="8" t="str" cm="1">
        <f t="array" ref="AH292">IF(OR(J292="",AE292="",AE292="NOT FOUND"),"",IF(Y292="RP",_xlfn.LET(_xlpm.desc,_xlfn.XLOOKUP(1,(--(Sheet1!$F$2:$F$754=AE292))*(--ISNUMBER(FIND("-",Sheet1!$W$2:$W$754,FIND("-",Sheet1!$W$2:$W$754)+1))),Sheet1!$W$2:$W$754,""),IF(_xlpm.desc="","NOT FOUND",LEFT(_xlpm.desc,FIND("-",_xlpm.desc,FIND("-",_xlpm.desc)+1))&amp;AE292)),LEFT(J292,FIND("-",J292,FIND("-",J292)+1))&amp;AE292))</f>
        <v>KRTS-APWN26-GETKRTSCUT5008D</v>
      </c>
    </row>
    <row r="293" spans="1:34" ht="15.75" customHeight="1" x14ac:dyDescent="0.2">
      <c r="A293" t="s">
        <v>30</v>
      </c>
      <c r="B293" t="s">
        <v>1018</v>
      </c>
      <c r="C293" t="s">
        <v>371</v>
      </c>
      <c r="D293" t="s">
        <v>1156</v>
      </c>
      <c r="E293" t="s">
        <v>34</v>
      </c>
      <c r="F293" t="s">
        <v>35</v>
      </c>
      <c r="G293" t="s">
        <v>51</v>
      </c>
      <c r="H293" t="s">
        <v>1030</v>
      </c>
      <c r="I293" t="s">
        <v>1031</v>
      </c>
      <c r="J293" t="s">
        <v>1032</v>
      </c>
      <c r="K293" t="s">
        <v>474</v>
      </c>
      <c r="L293" t="s">
        <v>40</v>
      </c>
      <c r="M293">
        <v>1</v>
      </c>
      <c r="N293">
        <v>316</v>
      </c>
      <c r="O293">
        <v>316</v>
      </c>
      <c r="P293" t="s">
        <v>41</v>
      </c>
      <c r="Q293">
        <v>249.7</v>
      </c>
      <c r="R293">
        <v>249.7</v>
      </c>
      <c r="S293">
        <v>3945.26</v>
      </c>
      <c r="T293">
        <v>78905.2</v>
      </c>
      <c r="U293">
        <v>5</v>
      </c>
      <c r="V293" t="s">
        <v>42</v>
      </c>
      <c r="W293" t="s">
        <v>474</v>
      </c>
      <c r="X293" s="6" t="str">
        <f t="shared" si="15"/>
        <v>441814704</v>
      </c>
      <c r="Y293" s="7" t="str">
        <f t="shared" si="16"/>
        <v>DC</v>
      </c>
      <c r="Z293" s="7">
        <f t="shared" si="17"/>
        <v>0</v>
      </c>
      <c r="AA293" s="7">
        <f t="shared" si="18"/>
        <v>0</v>
      </c>
      <c r="AB293" s="7">
        <f t="shared" si="19"/>
        <v>0</v>
      </c>
      <c r="AC293" s="7">
        <f t="shared" si="20"/>
        <v>316</v>
      </c>
      <c r="AD293" s="7">
        <f t="shared" si="21"/>
        <v>0</v>
      </c>
      <c r="AE293" s="8" t="str" cm="1">
        <f t="array" ref="AE293">IFERROR(_xlfn.XLOOKUP(H293,Sheet1!$G:$G,Sheet1!$F:$F),IFERROR(_xlfn.XLOOKUP(1,(--($X$2:$X$1074=X293))*(--ISNUMBER(MATCH($H$2:$H$1074,Sheet1!$G:$G,0))),_xlfn.XLOOKUP($H$2:$H$1074,Sheet1!$G:$G,Sheet1!$F:$F,"")),"NOT FOUND"))</f>
        <v>GETKRTSCUT5008D</v>
      </c>
      <c r="AF293" s="9" t="str">
        <f t="shared" si="22"/>
        <v>MUSTARD</v>
      </c>
      <c r="AG293" s="10" t="str">
        <f t="shared" si="23"/>
        <v>Bangalore</v>
      </c>
      <c r="AH293" s="8" t="str" cm="1">
        <f t="array" ref="AH293">IF(OR(J293="",AE293="",AE293="NOT FOUND"),"",IF(Y293="RP",_xlfn.LET(_xlpm.desc,_xlfn.XLOOKUP(1,(--(Sheet1!$F$2:$F$754=AE293))*(--ISNUMBER(FIND("-",Sheet1!$W$2:$W$754,FIND("-",Sheet1!$W$2:$W$754)+1))),Sheet1!$W$2:$W$754,""),IF(_xlpm.desc="","NOT FOUND",LEFT(_xlpm.desc,FIND("-",_xlpm.desc,FIND("-",_xlpm.desc)+1))&amp;AE293)),LEFT(J293,FIND("-",J293,FIND("-",J293)+1))&amp;AE293))</f>
        <v>KRTS-APWN26-GETKRTSCUT5008D</v>
      </c>
    </row>
    <row r="294" spans="1:34" ht="15.75" customHeight="1" x14ac:dyDescent="0.2">
      <c r="A294" t="s">
        <v>30</v>
      </c>
      <c r="B294" t="s">
        <v>1018</v>
      </c>
      <c r="C294" t="s">
        <v>371</v>
      </c>
      <c r="D294" t="s">
        <v>1156</v>
      </c>
      <c r="E294" t="s">
        <v>34</v>
      </c>
      <c r="F294" t="s">
        <v>35</v>
      </c>
      <c r="G294" t="s">
        <v>55</v>
      </c>
      <c r="H294" t="s">
        <v>1033</v>
      </c>
      <c r="I294" t="s">
        <v>1034</v>
      </c>
      <c r="J294" t="s">
        <v>1036</v>
      </c>
      <c r="K294" t="s">
        <v>474</v>
      </c>
      <c r="L294" t="s">
        <v>40</v>
      </c>
      <c r="M294">
        <v>1</v>
      </c>
      <c r="N294">
        <v>111</v>
      </c>
      <c r="O294">
        <v>111</v>
      </c>
      <c r="P294" t="s">
        <v>41</v>
      </c>
      <c r="Q294">
        <v>249.7</v>
      </c>
      <c r="R294">
        <v>249.7</v>
      </c>
      <c r="S294">
        <v>1385.84</v>
      </c>
      <c r="T294">
        <v>27716.7</v>
      </c>
      <c r="U294">
        <v>5</v>
      </c>
      <c r="V294" t="s">
        <v>42</v>
      </c>
      <c r="W294" t="s">
        <v>474</v>
      </c>
      <c r="X294" s="6" t="str">
        <f t="shared" si="15"/>
        <v>441814704</v>
      </c>
      <c r="Y294" s="7" t="str">
        <f t="shared" si="16"/>
        <v>DC</v>
      </c>
      <c r="Z294" s="7">
        <f t="shared" si="17"/>
        <v>0</v>
      </c>
      <c r="AA294" s="7">
        <f t="shared" si="18"/>
        <v>0</v>
      </c>
      <c r="AB294" s="7">
        <f t="shared" si="19"/>
        <v>0</v>
      </c>
      <c r="AC294" s="7">
        <f t="shared" si="20"/>
        <v>0</v>
      </c>
      <c r="AD294" s="7">
        <f t="shared" si="21"/>
        <v>111</v>
      </c>
      <c r="AE294" s="8" t="str" cm="1">
        <f t="array" ref="AE294">IFERROR(_xlfn.XLOOKUP(H294,Sheet1!$G:$G,Sheet1!$F:$F),IFERROR(_xlfn.XLOOKUP(1,(--($X$2:$X$1074=X294))*(--ISNUMBER(MATCH($H$2:$H$1074,Sheet1!$G:$G,0))),_xlfn.XLOOKUP($H$2:$H$1074,Sheet1!$G:$G,Sheet1!$F:$F,"")),"NOT FOUND"))</f>
        <v>GETKRTSCUT5008D</v>
      </c>
      <c r="AF294" s="9" t="str">
        <f t="shared" si="22"/>
        <v>MUSTARD</v>
      </c>
      <c r="AG294" s="10" t="str">
        <f t="shared" si="23"/>
        <v>Bangalore</v>
      </c>
      <c r="AH294" s="8" t="str" cm="1">
        <f t="array" ref="AH294">IF(OR(J294="",AE294="",AE294="NOT FOUND"),"",IF(Y294="RP",_xlfn.LET(_xlpm.desc,_xlfn.XLOOKUP(1,(--(Sheet1!$F$2:$F$754=AE294))*(--ISNUMBER(FIND("-",Sheet1!$W$2:$W$754,FIND("-",Sheet1!$W$2:$W$754)+1))),Sheet1!$W$2:$W$754,""),IF(_xlpm.desc="","NOT FOUND",LEFT(_xlpm.desc,FIND("-",_xlpm.desc,FIND("-",_xlpm.desc)+1))&amp;AE294)),LEFT(J294,FIND("-",J294,FIND("-",J294)+1))&amp;AE294))</f>
        <v>KRTS-APWN26-GETKRTSCUT5008D</v>
      </c>
    </row>
    <row r="295" spans="1:34" ht="15.75" customHeight="1" x14ac:dyDescent="0.2">
      <c r="A295" t="s">
        <v>30</v>
      </c>
      <c r="B295" t="s">
        <v>1037</v>
      </c>
      <c r="C295" t="s">
        <v>371</v>
      </c>
      <c r="D295" t="s">
        <v>1156</v>
      </c>
      <c r="E295" t="s">
        <v>34</v>
      </c>
      <c r="F295" t="s">
        <v>35</v>
      </c>
      <c r="G295" t="s">
        <v>36</v>
      </c>
      <c r="H295" t="s">
        <v>1039</v>
      </c>
      <c r="I295" t="s">
        <v>1040</v>
      </c>
      <c r="J295" t="s">
        <v>1041</v>
      </c>
      <c r="K295" t="s">
        <v>474</v>
      </c>
      <c r="L295" t="s">
        <v>40</v>
      </c>
      <c r="M295">
        <v>1</v>
      </c>
      <c r="N295">
        <v>78</v>
      </c>
      <c r="O295">
        <v>78</v>
      </c>
      <c r="P295" t="s">
        <v>41</v>
      </c>
      <c r="Q295">
        <v>249.7</v>
      </c>
      <c r="R295">
        <v>249.7</v>
      </c>
      <c r="S295">
        <v>973.83</v>
      </c>
      <c r="T295">
        <v>19476.599999999999</v>
      </c>
      <c r="U295">
        <v>5</v>
      </c>
      <c r="V295" t="s">
        <v>42</v>
      </c>
      <c r="W295" t="s">
        <v>474</v>
      </c>
      <c r="X295" s="6" t="str">
        <f t="shared" si="15"/>
        <v>441814703</v>
      </c>
      <c r="Y295" s="7" t="str">
        <f t="shared" si="16"/>
        <v>DC</v>
      </c>
      <c r="Z295" s="7">
        <f t="shared" si="17"/>
        <v>78</v>
      </c>
      <c r="AA295" s="7">
        <f t="shared" si="18"/>
        <v>0</v>
      </c>
      <c r="AB295" s="7">
        <f t="shared" si="19"/>
        <v>0</v>
      </c>
      <c r="AC295" s="7">
        <f t="shared" si="20"/>
        <v>0</v>
      </c>
      <c r="AD295" s="7">
        <f t="shared" si="21"/>
        <v>0</v>
      </c>
      <c r="AE295" s="8" t="str" cm="1">
        <f t="array" ref="AE295">IFERROR(_xlfn.XLOOKUP(H295,Sheet1!$G:$G,Sheet1!$F:$F),IFERROR(_xlfn.XLOOKUP(1,(--($X$2:$X$1074=X295))*(--ISNUMBER(MATCH($H$2:$H$1074,Sheet1!$G:$G,0))),_xlfn.XLOOKUP($H$2:$H$1074,Sheet1!$G:$G,Sheet1!$F:$F,"")),"NOT FOUND"))</f>
        <v>GETKRTSCUT5008C</v>
      </c>
      <c r="AF295" s="9" t="str">
        <f t="shared" si="22"/>
        <v>RED</v>
      </c>
      <c r="AG295" s="10" t="str">
        <f t="shared" si="23"/>
        <v>Bangalore</v>
      </c>
      <c r="AH295" s="8" t="str" cm="1">
        <f t="array" ref="AH295">IF(OR(J295="",AE295="",AE295="NOT FOUND"),"",IF(Y295="RP",_xlfn.LET(_xlpm.desc,_xlfn.XLOOKUP(1,(--(Sheet1!$F$2:$F$754=AE295))*(--ISNUMBER(FIND("-",Sheet1!$W$2:$W$754,FIND("-",Sheet1!$W$2:$W$754)+1))),Sheet1!$W$2:$W$754,""),IF(_xlpm.desc="","NOT FOUND",LEFT(_xlpm.desc,FIND("-",_xlpm.desc,FIND("-",_xlpm.desc)+1))&amp;AE295)),LEFT(J295,FIND("-",J295,FIND("-",J295)+1))&amp;AE295))</f>
        <v>KRTS-APWN26-GETKRTSCUT5008C</v>
      </c>
    </row>
    <row r="296" spans="1:34" ht="15.75" customHeight="1" x14ac:dyDescent="0.2">
      <c r="A296" t="s">
        <v>30</v>
      </c>
      <c r="B296" t="s">
        <v>1037</v>
      </c>
      <c r="C296" t="s">
        <v>371</v>
      </c>
      <c r="D296" t="s">
        <v>1156</v>
      </c>
      <c r="E296" t="s">
        <v>34</v>
      </c>
      <c r="F296" t="s">
        <v>35</v>
      </c>
      <c r="G296" t="s">
        <v>43</v>
      </c>
      <c r="H296" t="s">
        <v>1042</v>
      </c>
      <c r="I296" t="s">
        <v>1043</v>
      </c>
      <c r="J296" t="s">
        <v>1044</v>
      </c>
      <c r="K296" t="s">
        <v>474</v>
      </c>
      <c r="L296" t="s">
        <v>40</v>
      </c>
      <c r="M296">
        <v>1</v>
      </c>
      <c r="N296">
        <v>331</v>
      </c>
      <c r="O296">
        <v>331</v>
      </c>
      <c r="P296" t="s">
        <v>41</v>
      </c>
      <c r="Q296">
        <v>249.7</v>
      </c>
      <c r="R296">
        <v>249.7</v>
      </c>
      <c r="S296">
        <v>4132.54</v>
      </c>
      <c r="T296">
        <v>82650.7</v>
      </c>
      <c r="U296">
        <v>5</v>
      </c>
      <c r="V296" t="s">
        <v>42</v>
      </c>
      <c r="W296" t="s">
        <v>474</v>
      </c>
      <c r="X296" s="6" t="str">
        <f t="shared" si="15"/>
        <v>441814703</v>
      </c>
      <c r="Y296" s="7" t="str">
        <f t="shared" si="16"/>
        <v>DC</v>
      </c>
      <c r="Z296" s="7">
        <f t="shared" si="17"/>
        <v>0</v>
      </c>
      <c r="AA296" s="7">
        <f t="shared" si="18"/>
        <v>331</v>
      </c>
      <c r="AB296" s="7">
        <f t="shared" si="19"/>
        <v>0</v>
      </c>
      <c r="AC296" s="7">
        <f t="shared" si="20"/>
        <v>0</v>
      </c>
      <c r="AD296" s="7">
        <f t="shared" si="21"/>
        <v>0</v>
      </c>
      <c r="AE296" s="8" t="str" cm="1">
        <f t="array" ref="AE296">IFERROR(_xlfn.XLOOKUP(H296,Sheet1!$G:$G,Sheet1!$F:$F),IFERROR(_xlfn.XLOOKUP(1,(--($X$2:$X$1074=X296))*(--ISNUMBER(MATCH($H$2:$H$1074,Sheet1!$G:$G,0))),_xlfn.XLOOKUP($H$2:$H$1074,Sheet1!$G:$G,Sheet1!$F:$F,"")),"NOT FOUND"))</f>
        <v>GETKRTSCUT5008C</v>
      </c>
      <c r="AF296" s="9" t="str">
        <f t="shared" si="22"/>
        <v>RED</v>
      </c>
      <c r="AG296" s="10" t="str">
        <f t="shared" si="23"/>
        <v>Bangalore</v>
      </c>
      <c r="AH296" s="8" t="str" cm="1">
        <f t="array" ref="AH296">IF(OR(J296="",AE296="",AE296="NOT FOUND"),"",IF(Y296="RP",_xlfn.LET(_xlpm.desc,_xlfn.XLOOKUP(1,(--(Sheet1!$F$2:$F$754=AE296))*(--ISNUMBER(FIND("-",Sheet1!$W$2:$W$754,FIND("-",Sheet1!$W$2:$W$754)+1))),Sheet1!$W$2:$W$754,""),IF(_xlpm.desc="","NOT FOUND",LEFT(_xlpm.desc,FIND("-",_xlpm.desc,FIND("-",_xlpm.desc)+1))&amp;AE296)),LEFT(J296,FIND("-",J296,FIND("-",J296)+1))&amp;AE296))</f>
        <v>KRTS-APWN26-GETKRTSCUT5008C</v>
      </c>
    </row>
    <row r="297" spans="1:34" ht="15.75" customHeight="1" x14ac:dyDescent="0.2">
      <c r="A297" t="s">
        <v>30</v>
      </c>
      <c r="B297" t="s">
        <v>1037</v>
      </c>
      <c r="C297" t="s">
        <v>371</v>
      </c>
      <c r="D297" t="s">
        <v>1156</v>
      </c>
      <c r="E297" t="s">
        <v>34</v>
      </c>
      <c r="F297" t="s">
        <v>35</v>
      </c>
      <c r="G297" t="s">
        <v>47</v>
      </c>
      <c r="H297" t="s">
        <v>1045</v>
      </c>
      <c r="I297" t="s">
        <v>1046</v>
      </c>
      <c r="J297" t="s">
        <v>1048</v>
      </c>
      <c r="K297" t="s">
        <v>474</v>
      </c>
      <c r="L297" t="s">
        <v>40</v>
      </c>
      <c r="M297">
        <v>1</v>
      </c>
      <c r="N297">
        <v>312</v>
      </c>
      <c r="O297">
        <v>312</v>
      </c>
      <c r="P297" t="s">
        <v>41</v>
      </c>
      <c r="Q297">
        <v>249.7</v>
      </c>
      <c r="R297">
        <v>249.7</v>
      </c>
      <c r="S297">
        <v>3895.32</v>
      </c>
      <c r="T297">
        <v>77906.399999999994</v>
      </c>
      <c r="U297">
        <v>5</v>
      </c>
      <c r="V297" t="s">
        <v>42</v>
      </c>
      <c r="W297" t="s">
        <v>474</v>
      </c>
      <c r="X297" s="6" t="str">
        <f t="shared" si="15"/>
        <v>441814703</v>
      </c>
      <c r="Y297" s="7" t="str">
        <f t="shared" si="16"/>
        <v>DC</v>
      </c>
      <c r="Z297" s="7">
        <f t="shared" si="17"/>
        <v>0</v>
      </c>
      <c r="AA297" s="7">
        <f t="shared" si="18"/>
        <v>0</v>
      </c>
      <c r="AB297" s="7">
        <f t="shared" si="19"/>
        <v>312</v>
      </c>
      <c r="AC297" s="7">
        <f t="shared" si="20"/>
        <v>0</v>
      </c>
      <c r="AD297" s="7">
        <f t="shared" si="21"/>
        <v>0</v>
      </c>
      <c r="AE297" s="8" t="str" cm="1">
        <f t="array" ref="AE297">IFERROR(_xlfn.XLOOKUP(H297,Sheet1!$G:$G,Sheet1!$F:$F),IFERROR(_xlfn.XLOOKUP(1,(--($X$2:$X$1074=X297))*(--ISNUMBER(MATCH($H$2:$H$1074,Sheet1!$G:$G,0))),_xlfn.XLOOKUP($H$2:$H$1074,Sheet1!$G:$G,Sheet1!$F:$F,"")),"NOT FOUND"))</f>
        <v>GETKRTSCUT5008C</v>
      </c>
      <c r="AF297" s="9" t="str">
        <f t="shared" si="22"/>
        <v>RED</v>
      </c>
      <c r="AG297" s="10" t="str">
        <f t="shared" si="23"/>
        <v>Bangalore</v>
      </c>
      <c r="AH297" s="8" t="str" cm="1">
        <f t="array" ref="AH297">IF(OR(J297="",AE297="",AE297="NOT FOUND"),"",IF(Y297="RP",_xlfn.LET(_xlpm.desc,_xlfn.XLOOKUP(1,(--(Sheet1!$F$2:$F$754=AE297))*(--ISNUMBER(FIND("-",Sheet1!$W$2:$W$754,FIND("-",Sheet1!$W$2:$W$754)+1))),Sheet1!$W$2:$W$754,""),IF(_xlpm.desc="","NOT FOUND",LEFT(_xlpm.desc,FIND("-",_xlpm.desc,FIND("-",_xlpm.desc)+1))&amp;AE297)),LEFT(J297,FIND("-",J297,FIND("-",J297)+1))&amp;AE297))</f>
        <v>KRTS-APWN26-GETKRTSCUT5008C</v>
      </c>
    </row>
    <row r="298" spans="1:34" ht="15.75" customHeight="1" x14ac:dyDescent="0.2">
      <c r="A298" t="s">
        <v>30</v>
      </c>
      <c r="B298" t="s">
        <v>1037</v>
      </c>
      <c r="C298" t="s">
        <v>371</v>
      </c>
      <c r="D298" t="s">
        <v>1156</v>
      </c>
      <c r="E298" t="s">
        <v>34</v>
      </c>
      <c r="F298" t="s">
        <v>35</v>
      </c>
      <c r="G298" t="s">
        <v>51</v>
      </c>
      <c r="H298" t="s">
        <v>1049</v>
      </c>
      <c r="I298" t="s">
        <v>1050</v>
      </c>
      <c r="J298" t="s">
        <v>1051</v>
      </c>
      <c r="K298" t="s">
        <v>474</v>
      </c>
      <c r="L298" t="s">
        <v>40</v>
      </c>
      <c r="M298">
        <v>1</v>
      </c>
      <c r="N298">
        <v>331</v>
      </c>
      <c r="O298">
        <v>331</v>
      </c>
      <c r="P298" t="s">
        <v>41</v>
      </c>
      <c r="Q298">
        <v>249.7</v>
      </c>
      <c r="R298">
        <v>249.7</v>
      </c>
      <c r="S298">
        <v>4132.54</v>
      </c>
      <c r="T298">
        <v>82650.7</v>
      </c>
      <c r="U298">
        <v>5</v>
      </c>
      <c r="V298" t="s">
        <v>42</v>
      </c>
      <c r="W298" t="s">
        <v>474</v>
      </c>
      <c r="X298" s="6" t="str">
        <f t="shared" si="15"/>
        <v>441814703</v>
      </c>
      <c r="Y298" s="7" t="str">
        <f t="shared" si="16"/>
        <v>DC</v>
      </c>
      <c r="Z298" s="7">
        <f t="shared" si="17"/>
        <v>0</v>
      </c>
      <c r="AA298" s="7">
        <f t="shared" si="18"/>
        <v>0</v>
      </c>
      <c r="AB298" s="7">
        <f t="shared" si="19"/>
        <v>0</v>
      </c>
      <c r="AC298" s="7">
        <f t="shared" si="20"/>
        <v>331</v>
      </c>
      <c r="AD298" s="7">
        <f t="shared" si="21"/>
        <v>0</v>
      </c>
      <c r="AE298" s="8" t="str" cm="1">
        <f t="array" ref="AE298">IFERROR(_xlfn.XLOOKUP(H298,Sheet1!$G:$G,Sheet1!$F:$F),IFERROR(_xlfn.XLOOKUP(1,(--($X$2:$X$1074=X298))*(--ISNUMBER(MATCH($H$2:$H$1074,Sheet1!$G:$G,0))),_xlfn.XLOOKUP($H$2:$H$1074,Sheet1!$G:$G,Sheet1!$F:$F,"")),"NOT FOUND"))</f>
        <v>GETKRTSCUT5008C</v>
      </c>
      <c r="AF298" s="9" t="str">
        <f t="shared" si="22"/>
        <v>RED</v>
      </c>
      <c r="AG298" s="10" t="str">
        <f t="shared" si="23"/>
        <v>Bangalore</v>
      </c>
      <c r="AH298" s="8" t="str" cm="1">
        <f t="array" ref="AH298">IF(OR(J298="",AE298="",AE298="NOT FOUND"),"",IF(Y298="RP",_xlfn.LET(_xlpm.desc,_xlfn.XLOOKUP(1,(--(Sheet1!$F$2:$F$754=AE298))*(--ISNUMBER(FIND("-",Sheet1!$W$2:$W$754,FIND("-",Sheet1!$W$2:$W$754)+1))),Sheet1!$W$2:$W$754,""),IF(_xlpm.desc="","NOT FOUND",LEFT(_xlpm.desc,FIND("-",_xlpm.desc,FIND("-",_xlpm.desc)+1))&amp;AE298)),LEFT(J298,FIND("-",J298,FIND("-",J298)+1))&amp;AE298))</f>
        <v>KRTS-APWN26-GETKRTSCUT5008C</v>
      </c>
    </row>
    <row r="299" spans="1:34" ht="15.75" customHeight="1" x14ac:dyDescent="0.2">
      <c r="A299" t="s">
        <v>30</v>
      </c>
      <c r="B299" t="s">
        <v>1037</v>
      </c>
      <c r="C299" t="s">
        <v>371</v>
      </c>
      <c r="D299" t="s">
        <v>1156</v>
      </c>
      <c r="E299" t="s">
        <v>34</v>
      </c>
      <c r="F299" t="s">
        <v>35</v>
      </c>
      <c r="G299" t="s">
        <v>55</v>
      </c>
      <c r="H299" t="s">
        <v>1052</v>
      </c>
      <c r="I299" t="s">
        <v>1053</v>
      </c>
      <c r="J299" t="s">
        <v>1055</v>
      </c>
      <c r="K299" t="s">
        <v>474</v>
      </c>
      <c r="L299" t="s">
        <v>40</v>
      </c>
      <c r="M299">
        <v>1</v>
      </c>
      <c r="N299">
        <v>117</v>
      </c>
      <c r="O299">
        <v>117</v>
      </c>
      <c r="P299" t="s">
        <v>41</v>
      </c>
      <c r="Q299">
        <v>249.7</v>
      </c>
      <c r="R299">
        <v>249.7</v>
      </c>
      <c r="S299">
        <v>1460.75</v>
      </c>
      <c r="T299">
        <v>29214.9</v>
      </c>
      <c r="U299">
        <v>5</v>
      </c>
      <c r="V299" t="s">
        <v>42</v>
      </c>
      <c r="W299" t="s">
        <v>474</v>
      </c>
      <c r="X299" s="6" t="str">
        <f t="shared" si="15"/>
        <v>441814703</v>
      </c>
      <c r="Y299" s="7" t="str">
        <f t="shared" si="16"/>
        <v>DC</v>
      </c>
      <c r="Z299" s="7">
        <f t="shared" si="17"/>
        <v>0</v>
      </c>
      <c r="AA299" s="7">
        <f t="shared" si="18"/>
        <v>0</v>
      </c>
      <c r="AB299" s="7">
        <f t="shared" si="19"/>
        <v>0</v>
      </c>
      <c r="AC299" s="7">
        <f t="shared" si="20"/>
        <v>0</v>
      </c>
      <c r="AD299" s="7">
        <f t="shared" si="21"/>
        <v>117</v>
      </c>
      <c r="AE299" s="8" t="str" cm="1">
        <f t="array" ref="AE299">IFERROR(_xlfn.XLOOKUP(H299,Sheet1!$G:$G,Sheet1!$F:$F),IFERROR(_xlfn.XLOOKUP(1,(--($X$2:$X$1074=X299))*(--ISNUMBER(MATCH($H$2:$H$1074,Sheet1!$G:$G,0))),_xlfn.XLOOKUP($H$2:$H$1074,Sheet1!$G:$G,Sheet1!$F:$F,"")),"NOT FOUND"))</f>
        <v>GETKRTSCUT5008C</v>
      </c>
      <c r="AF299" s="9" t="str">
        <f t="shared" si="22"/>
        <v>RED</v>
      </c>
      <c r="AG299" s="10" t="str">
        <f t="shared" si="23"/>
        <v>Bangalore</v>
      </c>
      <c r="AH299" s="8" t="str" cm="1">
        <f t="array" ref="AH299">IF(OR(J299="",AE299="",AE299="NOT FOUND"),"",IF(Y299="RP",_xlfn.LET(_xlpm.desc,_xlfn.XLOOKUP(1,(--(Sheet1!$F$2:$F$754=AE299))*(--ISNUMBER(FIND("-",Sheet1!$W$2:$W$754,FIND("-",Sheet1!$W$2:$W$754)+1))),Sheet1!$W$2:$W$754,""),IF(_xlpm.desc="","NOT FOUND",LEFT(_xlpm.desc,FIND("-",_xlpm.desc,FIND("-",_xlpm.desc)+1))&amp;AE299)),LEFT(J299,FIND("-",J299,FIND("-",J299)+1))&amp;AE299))</f>
        <v>KRTS-APWN26-GETKRTSCUT5008C</v>
      </c>
    </row>
    <row r="300" spans="1:34" ht="15.75" customHeight="1" x14ac:dyDescent="0.2">
      <c r="A300" t="s">
        <v>30</v>
      </c>
      <c r="B300" t="s">
        <v>1056</v>
      </c>
      <c r="C300" t="s">
        <v>371</v>
      </c>
      <c r="D300" t="s">
        <v>1156</v>
      </c>
      <c r="E300" t="s">
        <v>34</v>
      </c>
      <c r="F300" t="s">
        <v>35</v>
      </c>
      <c r="G300" t="s">
        <v>36</v>
      </c>
      <c r="H300" t="s">
        <v>1058</v>
      </c>
      <c r="I300" t="s">
        <v>1059</v>
      </c>
      <c r="J300" t="s">
        <v>1060</v>
      </c>
      <c r="K300" t="s">
        <v>474</v>
      </c>
      <c r="L300" t="s">
        <v>40</v>
      </c>
      <c r="M300">
        <v>1</v>
      </c>
      <c r="N300">
        <v>74</v>
      </c>
      <c r="O300">
        <v>74</v>
      </c>
      <c r="P300" t="s">
        <v>41</v>
      </c>
      <c r="Q300">
        <v>249.7</v>
      </c>
      <c r="R300">
        <v>249.7</v>
      </c>
      <c r="S300">
        <v>923.89</v>
      </c>
      <c r="T300">
        <v>18477.8</v>
      </c>
      <c r="U300">
        <v>5</v>
      </c>
      <c r="V300" t="s">
        <v>42</v>
      </c>
      <c r="W300" t="s">
        <v>474</v>
      </c>
      <c r="X300" s="6" t="str">
        <f t="shared" si="15"/>
        <v>441814702</v>
      </c>
      <c r="Y300" s="7" t="str">
        <f t="shared" si="16"/>
        <v>DC</v>
      </c>
      <c r="Z300" s="7">
        <f t="shared" si="17"/>
        <v>74</v>
      </c>
      <c r="AA300" s="7">
        <f t="shared" si="18"/>
        <v>0</v>
      </c>
      <c r="AB300" s="7">
        <f t="shared" si="19"/>
        <v>0</v>
      </c>
      <c r="AC300" s="7">
        <f t="shared" si="20"/>
        <v>0</v>
      </c>
      <c r="AD300" s="7">
        <f t="shared" si="21"/>
        <v>0</v>
      </c>
      <c r="AE300" s="8" t="str" cm="1">
        <f t="array" ref="AE300">IFERROR(_xlfn.XLOOKUP(H300,Sheet1!$G:$G,Sheet1!$F:$F),IFERROR(_xlfn.XLOOKUP(1,(--($X$2:$X$1074=X300))*(--ISNUMBER(MATCH($H$2:$H$1074,Sheet1!$G:$G,0))),_xlfn.XLOOKUP($H$2:$H$1074,Sheet1!$G:$G,Sheet1!$F:$F,"")),"NOT FOUND"))</f>
        <v>GETKRTSCUT5008B</v>
      </c>
      <c r="AF300" s="9" t="str">
        <f t="shared" si="22"/>
        <v>OLIVE</v>
      </c>
      <c r="AG300" s="10" t="str">
        <f t="shared" si="23"/>
        <v>Bangalore</v>
      </c>
      <c r="AH300" s="8" t="str" cm="1">
        <f t="array" ref="AH300">IF(OR(J300="",AE300="",AE300="NOT FOUND"),"",IF(Y300="RP",_xlfn.LET(_xlpm.desc,_xlfn.XLOOKUP(1,(--(Sheet1!$F$2:$F$754=AE300))*(--ISNUMBER(FIND("-",Sheet1!$W$2:$W$754,FIND("-",Sheet1!$W$2:$W$754)+1))),Sheet1!$W$2:$W$754,""),IF(_xlpm.desc="","NOT FOUND",LEFT(_xlpm.desc,FIND("-",_xlpm.desc,FIND("-",_xlpm.desc)+1))&amp;AE300)),LEFT(J300,FIND("-",J300,FIND("-",J300)+1))&amp;AE300))</f>
        <v>KRTS-APWN26-GETKRTSCUT5008B</v>
      </c>
    </row>
    <row r="301" spans="1:34" ht="15.75" customHeight="1" x14ac:dyDescent="0.2">
      <c r="A301" t="s">
        <v>30</v>
      </c>
      <c r="B301" t="s">
        <v>1056</v>
      </c>
      <c r="C301" t="s">
        <v>371</v>
      </c>
      <c r="D301" t="s">
        <v>1156</v>
      </c>
      <c r="E301" t="s">
        <v>34</v>
      </c>
      <c r="F301" t="s">
        <v>35</v>
      </c>
      <c r="G301" t="s">
        <v>43</v>
      </c>
      <c r="H301" t="s">
        <v>1061</v>
      </c>
      <c r="I301" t="s">
        <v>1062</v>
      </c>
      <c r="J301" t="s">
        <v>1063</v>
      </c>
      <c r="K301" t="s">
        <v>474</v>
      </c>
      <c r="L301" t="s">
        <v>40</v>
      </c>
      <c r="M301">
        <v>1</v>
      </c>
      <c r="N301">
        <v>316</v>
      </c>
      <c r="O301">
        <v>316</v>
      </c>
      <c r="P301" t="s">
        <v>41</v>
      </c>
      <c r="Q301">
        <v>249.7</v>
      </c>
      <c r="R301">
        <v>249.7</v>
      </c>
      <c r="S301">
        <v>3945.26</v>
      </c>
      <c r="T301">
        <v>78905.2</v>
      </c>
      <c r="U301">
        <v>5</v>
      </c>
      <c r="V301" t="s">
        <v>42</v>
      </c>
      <c r="W301" t="s">
        <v>474</v>
      </c>
      <c r="X301" s="6" t="str">
        <f t="shared" si="15"/>
        <v>441814702</v>
      </c>
      <c r="Y301" s="7" t="str">
        <f t="shared" si="16"/>
        <v>DC</v>
      </c>
      <c r="Z301" s="7">
        <f t="shared" si="17"/>
        <v>0</v>
      </c>
      <c r="AA301" s="7">
        <f t="shared" si="18"/>
        <v>316</v>
      </c>
      <c r="AB301" s="7">
        <f t="shared" si="19"/>
        <v>0</v>
      </c>
      <c r="AC301" s="7">
        <f t="shared" si="20"/>
        <v>0</v>
      </c>
      <c r="AD301" s="7">
        <f t="shared" si="21"/>
        <v>0</v>
      </c>
      <c r="AE301" s="8" t="str" cm="1">
        <f t="array" ref="AE301">IFERROR(_xlfn.XLOOKUP(H301,Sheet1!$G:$G,Sheet1!$F:$F),IFERROR(_xlfn.XLOOKUP(1,(--($X$2:$X$1074=X301))*(--ISNUMBER(MATCH($H$2:$H$1074,Sheet1!$G:$G,0))),_xlfn.XLOOKUP($H$2:$H$1074,Sheet1!$G:$G,Sheet1!$F:$F,"")),"NOT FOUND"))</f>
        <v>GETKRTSCUT5008B</v>
      </c>
      <c r="AF301" s="9" t="str">
        <f t="shared" si="22"/>
        <v>OLIVE</v>
      </c>
      <c r="AG301" s="10" t="str">
        <f t="shared" si="23"/>
        <v>Bangalore</v>
      </c>
      <c r="AH301" s="8" t="str" cm="1">
        <f t="array" ref="AH301">IF(OR(J301="",AE301="",AE301="NOT FOUND"),"",IF(Y301="RP",_xlfn.LET(_xlpm.desc,_xlfn.XLOOKUP(1,(--(Sheet1!$F$2:$F$754=AE301))*(--ISNUMBER(FIND("-",Sheet1!$W$2:$W$754,FIND("-",Sheet1!$W$2:$W$754)+1))),Sheet1!$W$2:$W$754,""),IF(_xlpm.desc="","NOT FOUND",LEFT(_xlpm.desc,FIND("-",_xlpm.desc,FIND("-",_xlpm.desc)+1))&amp;AE301)),LEFT(J301,FIND("-",J301,FIND("-",J301)+1))&amp;AE301))</f>
        <v>KRTS-APWN26-GETKRTSCUT5008B</v>
      </c>
    </row>
    <row r="302" spans="1:34" ht="15.75" customHeight="1" x14ac:dyDescent="0.2">
      <c r="A302" t="s">
        <v>30</v>
      </c>
      <c r="B302" t="s">
        <v>1056</v>
      </c>
      <c r="C302" t="s">
        <v>371</v>
      </c>
      <c r="D302" t="s">
        <v>1156</v>
      </c>
      <c r="E302" t="s">
        <v>34</v>
      </c>
      <c r="F302" t="s">
        <v>35</v>
      </c>
      <c r="G302" t="s">
        <v>47</v>
      </c>
      <c r="H302" t="s">
        <v>1064</v>
      </c>
      <c r="I302" t="s">
        <v>1065</v>
      </c>
      <c r="J302" t="s">
        <v>1066</v>
      </c>
      <c r="K302" t="s">
        <v>474</v>
      </c>
      <c r="L302" t="s">
        <v>40</v>
      </c>
      <c r="M302">
        <v>1</v>
      </c>
      <c r="N302">
        <v>297</v>
      </c>
      <c r="O302">
        <v>297</v>
      </c>
      <c r="P302" t="s">
        <v>41</v>
      </c>
      <c r="Q302">
        <v>249.7</v>
      </c>
      <c r="R302">
        <v>249.7</v>
      </c>
      <c r="S302">
        <v>3708.05</v>
      </c>
      <c r="T302">
        <v>74160.899999999994</v>
      </c>
      <c r="U302">
        <v>5</v>
      </c>
      <c r="V302" t="s">
        <v>42</v>
      </c>
      <c r="W302" t="s">
        <v>474</v>
      </c>
      <c r="X302" s="6" t="str">
        <f t="shared" si="15"/>
        <v>441814702</v>
      </c>
      <c r="Y302" s="7" t="str">
        <f t="shared" si="16"/>
        <v>DC</v>
      </c>
      <c r="Z302" s="7">
        <f t="shared" si="17"/>
        <v>0</v>
      </c>
      <c r="AA302" s="7">
        <f t="shared" si="18"/>
        <v>0</v>
      </c>
      <c r="AB302" s="7">
        <f t="shared" si="19"/>
        <v>297</v>
      </c>
      <c r="AC302" s="7">
        <f t="shared" si="20"/>
        <v>0</v>
      </c>
      <c r="AD302" s="7">
        <f t="shared" si="21"/>
        <v>0</v>
      </c>
      <c r="AE302" s="8" t="str" cm="1">
        <f t="array" ref="AE302">IFERROR(_xlfn.XLOOKUP(H302,Sheet1!$G:$G,Sheet1!$F:$F),IFERROR(_xlfn.XLOOKUP(1,(--($X$2:$X$1074=X302))*(--ISNUMBER(MATCH($H$2:$H$1074,Sheet1!$G:$G,0))),_xlfn.XLOOKUP($H$2:$H$1074,Sheet1!$G:$G,Sheet1!$F:$F,"")),"NOT FOUND"))</f>
        <v>GETKRTSCUT5008B</v>
      </c>
      <c r="AF302" s="9" t="str">
        <f t="shared" si="22"/>
        <v>OLIVE</v>
      </c>
      <c r="AG302" s="10" t="str">
        <f t="shared" si="23"/>
        <v>Bangalore</v>
      </c>
      <c r="AH302" s="8" t="str" cm="1">
        <f t="array" ref="AH302">IF(OR(J302="",AE302="",AE302="NOT FOUND"),"",IF(Y302="RP",_xlfn.LET(_xlpm.desc,_xlfn.XLOOKUP(1,(--(Sheet1!$F$2:$F$754=AE302))*(--ISNUMBER(FIND("-",Sheet1!$W$2:$W$754,FIND("-",Sheet1!$W$2:$W$754)+1))),Sheet1!$W$2:$W$754,""),IF(_xlpm.desc="","NOT FOUND",LEFT(_xlpm.desc,FIND("-",_xlpm.desc,FIND("-",_xlpm.desc)+1))&amp;AE302)),LEFT(J302,FIND("-",J302,FIND("-",J302)+1))&amp;AE302))</f>
        <v>KRTS-APWN26-GETKRTSCUT5008B</v>
      </c>
    </row>
    <row r="303" spans="1:34" ht="15.75" customHeight="1" x14ac:dyDescent="0.2">
      <c r="A303" t="s">
        <v>30</v>
      </c>
      <c r="B303" t="s">
        <v>1056</v>
      </c>
      <c r="C303" t="s">
        <v>371</v>
      </c>
      <c r="D303" t="s">
        <v>1156</v>
      </c>
      <c r="E303" t="s">
        <v>34</v>
      </c>
      <c r="F303" t="s">
        <v>35</v>
      </c>
      <c r="G303" t="s">
        <v>51</v>
      </c>
      <c r="H303" t="s">
        <v>1067</v>
      </c>
      <c r="I303" t="s">
        <v>1068</v>
      </c>
      <c r="J303" t="s">
        <v>1069</v>
      </c>
      <c r="K303" t="s">
        <v>474</v>
      </c>
      <c r="L303" t="s">
        <v>40</v>
      </c>
      <c r="M303">
        <v>1</v>
      </c>
      <c r="N303">
        <v>316</v>
      </c>
      <c r="O303">
        <v>316</v>
      </c>
      <c r="P303" t="s">
        <v>41</v>
      </c>
      <c r="Q303">
        <v>249.7</v>
      </c>
      <c r="R303">
        <v>249.7</v>
      </c>
      <c r="S303">
        <v>3945.26</v>
      </c>
      <c r="T303">
        <v>78905.2</v>
      </c>
      <c r="U303">
        <v>5</v>
      </c>
      <c r="V303" t="s">
        <v>42</v>
      </c>
      <c r="W303" t="s">
        <v>474</v>
      </c>
      <c r="X303" s="6" t="str">
        <f t="shared" si="15"/>
        <v>441814702</v>
      </c>
      <c r="Y303" s="7" t="str">
        <f t="shared" si="16"/>
        <v>DC</v>
      </c>
      <c r="Z303" s="7">
        <f t="shared" si="17"/>
        <v>0</v>
      </c>
      <c r="AA303" s="7">
        <f t="shared" si="18"/>
        <v>0</v>
      </c>
      <c r="AB303" s="7">
        <f t="shared" si="19"/>
        <v>0</v>
      </c>
      <c r="AC303" s="7">
        <f t="shared" si="20"/>
        <v>316</v>
      </c>
      <c r="AD303" s="7">
        <f t="shared" si="21"/>
        <v>0</v>
      </c>
      <c r="AE303" s="8" t="str" cm="1">
        <f t="array" ref="AE303">IFERROR(_xlfn.XLOOKUP(H303,Sheet1!$G:$G,Sheet1!$F:$F),IFERROR(_xlfn.XLOOKUP(1,(--($X$2:$X$1074=X303))*(--ISNUMBER(MATCH($H$2:$H$1074,Sheet1!$G:$G,0))),_xlfn.XLOOKUP($H$2:$H$1074,Sheet1!$G:$G,Sheet1!$F:$F,"")),"NOT FOUND"))</f>
        <v>GETKRTSCUT5008B</v>
      </c>
      <c r="AF303" s="9" t="str">
        <f t="shared" si="22"/>
        <v>OLIVE</v>
      </c>
      <c r="AG303" s="10" t="str">
        <f t="shared" si="23"/>
        <v>Bangalore</v>
      </c>
      <c r="AH303" s="8" t="str" cm="1">
        <f t="array" ref="AH303">IF(OR(J303="",AE303="",AE303="NOT FOUND"),"",IF(Y303="RP",_xlfn.LET(_xlpm.desc,_xlfn.XLOOKUP(1,(--(Sheet1!$F$2:$F$754=AE303))*(--ISNUMBER(FIND("-",Sheet1!$W$2:$W$754,FIND("-",Sheet1!$W$2:$W$754)+1))),Sheet1!$W$2:$W$754,""),IF(_xlpm.desc="","NOT FOUND",LEFT(_xlpm.desc,FIND("-",_xlpm.desc,FIND("-",_xlpm.desc)+1))&amp;AE303)),LEFT(J303,FIND("-",J303,FIND("-",J303)+1))&amp;AE303))</f>
        <v>KRTS-APWN26-GETKRTSCUT5008B</v>
      </c>
    </row>
    <row r="304" spans="1:34" ht="15.75" customHeight="1" x14ac:dyDescent="0.2">
      <c r="A304" t="s">
        <v>30</v>
      </c>
      <c r="B304" t="s">
        <v>1056</v>
      </c>
      <c r="C304" t="s">
        <v>371</v>
      </c>
      <c r="D304" t="s">
        <v>1156</v>
      </c>
      <c r="E304" t="s">
        <v>34</v>
      </c>
      <c r="F304" t="s">
        <v>35</v>
      </c>
      <c r="G304" t="s">
        <v>55</v>
      </c>
      <c r="H304" t="s">
        <v>1070</v>
      </c>
      <c r="I304" t="s">
        <v>1071</v>
      </c>
      <c r="J304" t="s">
        <v>1072</v>
      </c>
      <c r="K304" t="s">
        <v>474</v>
      </c>
      <c r="L304" t="s">
        <v>40</v>
      </c>
      <c r="M304">
        <v>1</v>
      </c>
      <c r="N304">
        <v>111</v>
      </c>
      <c r="O304">
        <v>111</v>
      </c>
      <c r="P304" t="s">
        <v>41</v>
      </c>
      <c r="Q304">
        <v>249.7</v>
      </c>
      <c r="R304">
        <v>249.7</v>
      </c>
      <c r="S304">
        <v>1385.84</v>
      </c>
      <c r="T304">
        <v>27716.7</v>
      </c>
      <c r="U304">
        <v>5</v>
      </c>
      <c r="V304" t="s">
        <v>42</v>
      </c>
      <c r="W304" t="s">
        <v>474</v>
      </c>
      <c r="X304" s="6" t="str">
        <f t="shared" si="15"/>
        <v>441814702</v>
      </c>
      <c r="Y304" s="7" t="str">
        <f t="shared" si="16"/>
        <v>DC</v>
      </c>
      <c r="Z304" s="7">
        <f t="shared" si="17"/>
        <v>0</v>
      </c>
      <c r="AA304" s="7">
        <f t="shared" si="18"/>
        <v>0</v>
      </c>
      <c r="AB304" s="7">
        <f t="shared" si="19"/>
        <v>0</v>
      </c>
      <c r="AC304" s="7">
        <f t="shared" si="20"/>
        <v>0</v>
      </c>
      <c r="AD304" s="7">
        <f t="shared" si="21"/>
        <v>111</v>
      </c>
      <c r="AE304" s="8" t="str" cm="1">
        <f t="array" ref="AE304">IFERROR(_xlfn.XLOOKUP(H304,Sheet1!$G:$G,Sheet1!$F:$F),IFERROR(_xlfn.XLOOKUP(1,(--($X$2:$X$1074=X304))*(--ISNUMBER(MATCH($H$2:$H$1074,Sheet1!$G:$G,0))),_xlfn.XLOOKUP($H$2:$H$1074,Sheet1!$G:$G,Sheet1!$F:$F,"")),"NOT FOUND"))</f>
        <v>GETKRTSCUT5008B</v>
      </c>
      <c r="AF304" s="9" t="str">
        <f t="shared" si="22"/>
        <v>OLIVE</v>
      </c>
      <c r="AG304" s="10" t="str">
        <f t="shared" si="23"/>
        <v>Bangalore</v>
      </c>
      <c r="AH304" s="8" t="str" cm="1">
        <f t="array" ref="AH304">IF(OR(J304="",AE304="",AE304="NOT FOUND"),"",IF(Y304="RP",_xlfn.LET(_xlpm.desc,_xlfn.XLOOKUP(1,(--(Sheet1!$F$2:$F$754=AE304))*(--ISNUMBER(FIND("-",Sheet1!$W$2:$W$754,FIND("-",Sheet1!$W$2:$W$754)+1))),Sheet1!$W$2:$W$754,""),IF(_xlpm.desc="","NOT FOUND",LEFT(_xlpm.desc,FIND("-",_xlpm.desc,FIND("-",_xlpm.desc)+1))&amp;AE304)),LEFT(J304,FIND("-",J304,FIND("-",J304)+1))&amp;AE304))</f>
        <v>KRTS-APWN26-GETKRTSCUT5008B</v>
      </c>
    </row>
    <row r="305" spans="1:34" ht="15.75" customHeight="1" x14ac:dyDescent="0.2">
      <c r="A305" t="s">
        <v>30</v>
      </c>
      <c r="B305" t="s">
        <v>1073</v>
      </c>
      <c r="C305" t="s">
        <v>371</v>
      </c>
      <c r="D305" t="s">
        <v>1156</v>
      </c>
      <c r="E305" t="s">
        <v>34</v>
      </c>
      <c r="F305" t="s">
        <v>35</v>
      </c>
      <c r="G305" t="s">
        <v>36</v>
      </c>
      <c r="H305" t="s">
        <v>1075</v>
      </c>
      <c r="I305" t="s">
        <v>1076</v>
      </c>
      <c r="J305" t="s">
        <v>1077</v>
      </c>
      <c r="K305" t="s">
        <v>474</v>
      </c>
      <c r="L305" t="s">
        <v>40</v>
      </c>
      <c r="M305">
        <v>1</v>
      </c>
      <c r="N305">
        <v>100</v>
      </c>
      <c r="O305">
        <v>100</v>
      </c>
      <c r="P305" t="s">
        <v>41</v>
      </c>
      <c r="Q305">
        <v>249.7</v>
      </c>
      <c r="R305">
        <v>249.7</v>
      </c>
      <c r="S305">
        <v>1248.5</v>
      </c>
      <c r="T305">
        <v>24970</v>
      </c>
      <c r="U305">
        <v>5</v>
      </c>
      <c r="V305" t="s">
        <v>42</v>
      </c>
      <c r="W305" t="s">
        <v>474</v>
      </c>
      <c r="X305" s="6" t="str">
        <f t="shared" si="15"/>
        <v>441814701</v>
      </c>
      <c r="Y305" s="7" t="str">
        <f t="shared" si="16"/>
        <v>DC</v>
      </c>
      <c r="Z305" s="7">
        <f t="shared" si="17"/>
        <v>100</v>
      </c>
      <c r="AA305" s="7">
        <f t="shared" si="18"/>
        <v>0</v>
      </c>
      <c r="AB305" s="7">
        <f t="shared" si="19"/>
        <v>0</v>
      </c>
      <c r="AC305" s="7">
        <f t="shared" si="20"/>
        <v>0</v>
      </c>
      <c r="AD305" s="7">
        <f t="shared" si="21"/>
        <v>0</v>
      </c>
      <c r="AE305" s="8" t="str" cm="1">
        <f t="array" ref="AE305">IFERROR(_xlfn.XLOOKUP(H305,Sheet1!$G:$G,Sheet1!$F:$F),IFERROR(_xlfn.XLOOKUP(1,(--($X$2:$X$1074=X305))*(--ISNUMBER(MATCH($H$2:$H$1074,Sheet1!$G:$G,0))),_xlfn.XLOOKUP($H$2:$H$1074,Sheet1!$G:$G,Sheet1!$F:$F,"")),"NOT FOUND"))</f>
        <v>GETKRTSCUT5008</v>
      </c>
      <c r="AF305" s="9" t="str">
        <f t="shared" si="22"/>
        <v>BLACK</v>
      </c>
      <c r="AG305" s="10" t="str">
        <f t="shared" si="23"/>
        <v>Bangalore</v>
      </c>
      <c r="AH305" s="8" t="str" cm="1">
        <f t="array" ref="AH305">IF(OR(J305="",AE305="",AE305="NOT FOUND"),"",IF(Y305="RP",_xlfn.LET(_xlpm.desc,_xlfn.XLOOKUP(1,(--(Sheet1!$F$2:$F$754=AE305))*(--ISNUMBER(FIND("-",Sheet1!$W$2:$W$754,FIND("-",Sheet1!$W$2:$W$754)+1))),Sheet1!$W$2:$W$754,""),IF(_xlpm.desc="","NOT FOUND",LEFT(_xlpm.desc,FIND("-",_xlpm.desc,FIND("-",_xlpm.desc)+1))&amp;AE305)),LEFT(J305,FIND("-",J305,FIND("-",J305)+1))&amp;AE305))</f>
        <v>KRTS-APWN26-GETKRTSCUT5008</v>
      </c>
    </row>
    <row r="306" spans="1:34" ht="15.75" customHeight="1" x14ac:dyDescent="0.2">
      <c r="A306" t="s">
        <v>30</v>
      </c>
      <c r="B306" t="s">
        <v>1073</v>
      </c>
      <c r="C306" t="s">
        <v>371</v>
      </c>
      <c r="D306" t="s">
        <v>1156</v>
      </c>
      <c r="E306" t="s">
        <v>34</v>
      </c>
      <c r="F306" t="s">
        <v>35</v>
      </c>
      <c r="G306" t="s">
        <v>43</v>
      </c>
      <c r="H306" t="s">
        <v>1078</v>
      </c>
      <c r="I306" t="s">
        <v>1079</v>
      </c>
      <c r="J306" t="s">
        <v>1081</v>
      </c>
      <c r="K306" t="s">
        <v>474</v>
      </c>
      <c r="L306" t="s">
        <v>40</v>
      </c>
      <c r="M306">
        <v>1</v>
      </c>
      <c r="N306">
        <v>426</v>
      </c>
      <c r="O306">
        <v>426</v>
      </c>
      <c r="P306" t="s">
        <v>41</v>
      </c>
      <c r="Q306">
        <v>249.7</v>
      </c>
      <c r="R306">
        <v>249.7</v>
      </c>
      <c r="S306">
        <v>5318.61</v>
      </c>
      <c r="T306">
        <v>106372.2</v>
      </c>
      <c r="U306">
        <v>5</v>
      </c>
      <c r="V306" t="s">
        <v>42</v>
      </c>
      <c r="W306" t="s">
        <v>474</v>
      </c>
      <c r="X306" s="6" t="str">
        <f t="shared" si="15"/>
        <v>441814701</v>
      </c>
      <c r="Y306" s="7" t="str">
        <f t="shared" si="16"/>
        <v>DC</v>
      </c>
      <c r="Z306" s="7">
        <f t="shared" si="17"/>
        <v>0</v>
      </c>
      <c r="AA306" s="7">
        <f t="shared" si="18"/>
        <v>426</v>
      </c>
      <c r="AB306" s="7">
        <f t="shared" si="19"/>
        <v>0</v>
      </c>
      <c r="AC306" s="7">
        <f t="shared" si="20"/>
        <v>0</v>
      </c>
      <c r="AD306" s="7">
        <f t="shared" si="21"/>
        <v>0</v>
      </c>
      <c r="AE306" s="8" t="str" cm="1">
        <f t="array" ref="AE306">IFERROR(_xlfn.XLOOKUP(H306,Sheet1!$G:$G,Sheet1!$F:$F),IFERROR(_xlfn.XLOOKUP(1,(--($X$2:$X$1074=X306))*(--ISNUMBER(MATCH($H$2:$H$1074,Sheet1!$G:$G,0))),_xlfn.XLOOKUP($H$2:$H$1074,Sheet1!$G:$G,Sheet1!$F:$F,"")),"NOT FOUND"))</f>
        <v>GETKRTSCUT5008</v>
      </c>
      <c r="AF306" s="9" t="str">
        <f t="shared" si="22"/>
        <v>BLACK</v>
      </c>
      <c r="AG306" s="10" t="str">
        <f t="shared" si="23"/>
        <v>Bangalore</v>
      </c>
      <c r="AH306" s="8" t="str" cm="1">
        <f t="array" ref="AH306">IF(OR(J306="",AE306="",AE306="NOT FOUND"),"",IF(Y306="RP",_xlfn.LET(_xlpm.desc,_xlfn.XLOOKUP(1,(--(Sheet1!$F$2:$F$754=AE306))*(--ISNUMBER(FIND("-",Sheet1!$W$2:$W$754,FIND("-",Sheet1!$W$2:$W$754)+1))),Sheet1!$W$2:$W$754,""),IF(_xlpm.desc="","NOT FOUND",LEFT(_xlpm.desc,FIND("-",_xlpm.desc,FIND("-",_xlpm.desc)+1))&amp;AE306)),LEFT(J306,FIND("-",J306,FIND("-",J306)+1))&amp;AE306))</f>
        <v>KRTS-APWN26-GETKRTSCUT5008</v>
      </c>
    </row>
    <row r="307" spans="1:34" ht="15.75" customHeight="1" x14ac:dyDescent="0.2">
      <c r="A307" t="s">
        <v>30</v>
      </c>
      <c r="B307" t="s">
        <v>1073</v>
      </c>
      <c r="C307" t="s">
        <v>371</v>
      </c>
      <c r="D307" t="s">
        <v>1156</v>
      </c>
      <c r="E307" t="s">
        <v>34</v>
      </c>
      <c r="F307" t="s">
        <v>35</v>
      </c>
      <c r="G307" t="s">
        <v>47</v>
      </c>
      <c r="H307" t="s">
        <v>1082</v>
      </c>
      <c r="I307" t="s">
        <v>1083</v>
      </c>
      <c r="J307" t="s">
        <v>1085</v>
      </c>
      <c r="K307" t="s">
        <v>474</v>
      </c>
      <c r="L307" t="s">
        <v>40</v>
      </c>
      <c r="M307">
        <v>1</v>
      </c>
      <c r="N307">
        <v>401</v>
      </c>
      <c r="O307">
        <v>401</v>
      </c>
      <c r="P307" t="s">
        <v>41</v>
      </c>
      <c r="Q307">
        <v>249.7</v>
      </c>
      <c r="R307">
        <v>249.7</v>
      </c>
      <c r="S307">
        <v>5006.49</v>
      </c>
      <c r="T307">
        <v>100129.7</v>
      </c>
      <c r="U307">
        <v>5</v>
      </c>
      <c r="V307" t="s">
        <v>42</v>
      </c>
      <c r="W307" t="s">
        <v>474</v>
      </c>
      <c r="X307" s="6" t="str">
        <f t="shared" si="15"/>
        <v>441814701</v>
      </c>
      <c r="Y307" s="7" t="str">
        <f t="shared" si="16"/>
        <v>DC</v>
      </c>
      <c r="Z307" s="7">
        <f t="shared" si="17"/>
        <v>0</v>
      </c>
      <c r="AA307" s="7">
        <f t="shared" si="18"/>
        <v>0</v>
      </c>
      <c r="AB307" s="7">
        <f t="shared" si="19"/>
        <v>401</v>
      </c>
      <c r="AC307" s="7">
        <f t="shared" si="20"/>
        <v>0</v>
      </c>
      <c r="AD307" s="7">
        <f t="shared" si="21"/>
        <v>0</v>
      </c>
      <c r="AE307" s="8" t="str" cm="1">
        <f t="array" ref="AE307">IFERROR(_xlfn.XLOOKUP(H307,Sheet1!$G:$G,Sheet1!$F:$F),IFERROR(_xlfn.XLOOKUP(1,(--($X$2:$X$1074=X307))*(--ISNUMBER(MATCH($H$2:$H$1074,Sheet1!$G:$G,0))),_xlfn.XLOOKUP($H$2:$H$1074,Sheet1!$G:$G,Sheet1!$F:$F,"")),"NOT FOUND"))</f>
        <v>GETKRTSCUT5008</v>
      </c>
      <c r="AF307" s="9" t="str">
        <f t="shared" si="22"/>
        <v>BLACK</v>
      </c>
      <c r="AG307" s="10" t="str">
        <f t="shared" si="23"/>
        <v>Bangalore</v>
      </c>
      <c r="AH307" s="8" t="str" cm="1">
        <f t="array" ref="AH307">IF(OR(J307="",AE307="",AE307="NOT FOUND"),"",IF(Y307="RP",_xlfn.LET(_xlpm.desc,_xlfn.XLOOKUP(1,(--(Sheet1!$F$2:$F$754=AE307))*(--ISNUMBER(FIND("-",Sheet1!$W$2:$W$754,FIND("-",Sheet1!$W$2:$W$754)+1))),Sheet1!$W$2:$W$754,""),IF(_xlpm.desc="","NOT FOUND",LEFT(_xlpm.desc,FIND("-",_xlpm.desc,FIND("-",_xlpm.desc)+1))&amp;AE307)),LEFT(J307,FIND("-",J307,FIND("-",J307)+1))&amp;AE307))</f>
        <v>KRTS-APWN26-GETKRTSCUT5008</v>
      </c>
    </row>
    <row r="308" spans="1:34" ht="15.75" customHeight="1" x14ac:dyDescent="0.2">
      <c r="A308" t="s">
        <v>30</v>
      </c>
      <c r="B308" t="s">
        <v>1073</v>
      </c>
      <c r="C308" t="s">
        <v>371</v>
      </c>
      <c r="D308" t="s">
        <v>1156</v>
      </c>
      <c r="E308" t="s">
        <v>34</v>
      </c>
      <c r="F308" t="s">
        <v>35</v>
      </c>
      <c r="G308" t="s">
        <v>51</v>
      </c>
      <c r="H308" t="s">
        <v>1086</v>
      </c>
      <c r="I308" t="s">
        <v>1087</v>
      </c>
      <c r="J308" t="s">
        <v>1088</v>
      </c>
      <c r="K308" t="s">
        <v>474</v>
      </c>
      <c r="L308" t="s">
        <v>40</v>
      </c>
      <c r="M308">
        <v>1</v>
      </c>
      <c r="N308">
        <v>426</v>
      </c>
      <c r="O308">
        <v>426</v>
      </c>
      <c r="P308" t="s">
        <v>41</v>
      </c>
      <c r="Q308">
        <v>249.7</v>
      </c>
      <c r="R308">
        <v>249.7</v>
      </c>
      <c r="S308">
        <v>5318.61</v>
      </c>
      <c r="T308">
        <v>106372.2</v>
      </c>
      <c r="U308">
        <v>5</v>
      </c>
      <c r="V308" t="s">
        <v>42</v>
      </c>
      <c r="W308" t="s">
        <v>474</v>
      </c>
      <c r="X308" s="6" t="str">
        <f t="shared" si="15"/>
        <v>441814701</v>
      </c>
      <c r="Y308" s="7" t="str">
        <f t="shared" si="16"/>
        <v>DC</v>
      </c>
      <c r="Z308" s="7">
        <f t="shared" si="17"/>
        <v>0</v>
      </c>
      <c r="AA308" s="7">
        <f t="shared" si="18"/>
        <v>0</v>
      </c>
      <c r="AB308" s="7">
        <f t="shared" si="19"/>
        <v>0</v>
      </c>
      <c r="AC308" s="7">
        <f t="shared" si="20"/>
        <v>426</v>
      </c>
      <c r="AD308" s="7">
        <f t="shared" si="21"/>
        <v>0</v>
      </c>
      <c r="AE308" s="8" t="str" cm="1">
        <f t="array" ref="AE308">IFERROR(_xlfn.XLOOKUP(H308,Sheet1!$G:$G,Sheet1!$F:$F),IFERROR(_xlfn.XLOOKUP(1,(--($X$2:$X$1074=X308))*(--ISNUMBER(MATCH($H$2:$H$1074,Sheet1!$G:$G,0))),_xlfn.XLOOKUP($H$2:$H$1074,Sheet1!$G:$G,Sheet1!$F:$F,"")),"NOT FOUND"))</f>
        <v>GETKRTSCUT5008</v>
      </c>
      <c r="AF308" s="9" t="str">
        <f t="shared" si="22"/>
        <v>BLACK</v>
      </c>
      <c r="AG308" s="10" t="str">
        <f t="shared" si="23"/>
        <v>Bangalore</v>
      </c>
      <c r="AH308" s="8" t="str" cm="1">
        <f t="array" ref="AH308">IF(OR(J308="",AE308="",AE308="NOT FOUND"),"",IF(Y308="RP",_xlfn.LET(_xlpm.desc,_xlfn.XLOOKUP(1,(--(Sheet1!$F$2:$F$754=AE308))*(--ISNUMBER(FIND("-",Sheet1!$W$2:$W$754,FIND("-",Sheet1!$W$2:$W$754)+1))),Sheet1!$W$2:$W$754,""),IF(_xlpm.desc="","NOT FOUND",LEFT(_xlpm.desc,FIND("-",_xlpm.desc,FIND("-",_xlpm.desc)+1))&amp;AE308)),LEFT(J308,FIND("-",J308,FIND("-",J308)+1))&amp;AE308))</f>
        <v>KRTS-APWN26-GETKRTSCUT5008</v>
      </c>
    </row>
    <row r="309" spans="1:34" ht="15.75" customHeight="1" x14ac:dyDescent="0.2">
      <c r="A309" t="s">
        <v>30</v>
      </c>
      <c r="B309" t="s">
        <v>1073</v>
      </c>
      <c r="C309" t="s">
        <v>371</v>
      </c>
      <c r="D309" t="s">
        <v>1156</v>
      </c>
      <c r="E309" t="s">
        <v>34</v>
      </c>
      <c r="F309" t="s">
        <v>35</v>
      </c>
      <c r="G309" t="s">
        <v>55</v>
      </c>
      <c r="H309" t="s">
        <v>1089</v>
      </c>
      <c r="I309" t="s">
        <v>1090</v>
      </c>
      <c r="J309" t="s">
        <v>1092</v>
      </c>
      <c r="K309" t="s">
        <v>474</v>
      </c>
      <c r="L309" t="s">
        <v>40</v>
      </c>
      <c r="M309">
        <v>1</v>
      </c>
      <c r="N309">
        <v>150</v>
      </c>
      <c r="O309">
        <v>150</v>
      </c>
      <c r="P309" t="s">
        <v>41</v>
      </c>
      <c r="Q309">
        <v>249.7</v>
      </c>
      <c r="R309">
        <v>249.7</v>
      </c>
      <c r="S309">
        <v>1872.75</v>
      </c>
      <c r="T309">
        <v>37455</v>
      </c>
      <c r="U309">
        <v>5</v>
      </c>
      <c r="V309" t="s">
        <v>42</v>
      </c>
      <c r="W309" t="s">
        <v>474</v>
      </c>
      <c r="X309" s="6" t="str">
        <f t="shared" si="15"/>
        <v>441814701</v>
      </c>
      <c r="Y309" s="7" t="str">
        <f t="shared" si="16"/>
        <v>DC</v>
      </c>
      <c r="Z309" s="7">
        <f t="shared" si="17"/>
        <v>0</v>
      </c>
      <c r="AA309" s="7">
        <f t="shared" si="18"/>
        <v>0</v>
      </c>
      <c r="AB309" s="7">
        <f t="shared" si="19"/>
        <v>0</v>
      </c>
      <c r="AC309" s="7">
        <f t="shared" si="20"/>
        <v>0</v>
      </c>
      <c r="AD309" s="7">
        <f t="shared" si="21"/>
        <v>150</v>
      </c>
      <c r="AE309" s="8" t="str" cm="1">
        <f t="array" ref="AE309">IFERROR(_xlfn.XLOOKUP(H309,Sheet1!$G:$G,Sheet1!$F:$F),IFERROR(_xlfn.XLOOKUP(1,(--($X$2:$X$1074=X309))*(--ISNUMBER(MATCH($H$2:$H$1074,Sheet1!$G:$G,0))),_xlfn.XLOOKUP($H$2:$H$1074,Sheet1!$G:$G,Sheet1!$F:$F,"")),"NOT FOUND"))</f>
        <v>GETKRTSCUT5008</v>
      </c>
      <c r="AF309" s="9" t="str">
        <f t="shared" si="22"/>
        <v>BLACK</v>
      </c>
      <c r="AG309" s="10" t="str">
        <f t="shared" si="23"/>
        <v>Bangalore</v>
      </c>
      <c r="AH309" s="8" t="str" cm="1">
        <f t="array" ref="AH309">IF(OR(J309="",AE309="",AE309="NOT FOUND"),"",IF(Y309="RP",_xlfn.LET(_xlpm.desc,_xlfn.XLOOKUP(1,(--(Sheet1!$F$2:$F$754=AE309))*(--ISNUMBER(FIND("-",Sheet1!$W$2:$W$754,FIND("-",Sheet1!$W$2:$W$754)+1))),Sheet1!$W$2:$W$754,""),IF(_xlpm.desc="","NOT FOUND",LEFT(_xlpm.desc,FIND("-",_xlpm.desc,FIND("-",_xlpm.desc)+1))&amp;AE309)),LEFT(J309,FIND("-",J309,FIND("-",J309)+1))&amp;AE309))</f>
        <v>KRTS-APWN26-GETKRTSCUT5008</v>
      </c>
    </row>
    <row r="310" spans="1:34" ht="15.75" customHeight="1" x14ac:dyDescent="0.2">
      <c r="A310" t="s">
        <v>59</v>
      </c>
      <c r="B310" t="s">
        <v>1093</v>
      </c>
      <c r="C310" t="s">
        <v>371</v>
      </c>
      <c r="D310" t="s">
        <v>1156</v>
      </c>
      <c r="E310" t="s">
        <v>34</v>
      </c>
      <c r="F310" t="s">
        <v>35</v>
      </c>
      <c r="G310" t="s">
        <v>36</v>
      </c>
      <c r="H310" t="s">
        <v>1020</v>
      </c>
      <c r="I310" t="s">
        <v>1021</v>
      </c>
      <c r="J310" t="s">
        <v>1023</v>
      </c>
      <c r="K310" t="s">
        <v>474</v>
      </c>
      <c r="L310" t="s">
        <v>40</v>
      </c>
      <c r="M310">
        <v>1</v>
      </c>
      <c r="N310">
        <v>42</v>
      </c>
      <c r="O310">
        <v>42</v>
      </c>
      <c r="P310" t="s">
        <v>41</v>
      </c>
      <c r="Q310">
        <v>249.7</v>
      </c>
      <c r="R310">
        <v>249.7</v>
      </c>
      <c r="S310">
        <v>524.37</v>
      </c>
      <c r="T310">
        <v>10487.4</v>
      </c>
      <c r="U310">
        <v>5</v>
      </c>
      <c r="V310" t="s">
        <v>42</v>
      </c>
      <c r="W310" t="s">
        <v>474</v>
      </c>
      <c r="X310" s="6" t="str">
        <f t="shared" si="15"/>
        <v>441814704</v>
      </c>
      <c r="Y310" s="7" t="str">
        <f t="shared" si="16"/>
        <v>DC</v>
      </c>
      <c r="Z310" s="7">
        <f t="shared" si="17"/>
        <v>42</v>
      </c>
      <c r="AA310" s="7">
        <f t="shared" si="18"/>
        <v>0</v>
      </c>
      <c r="AB310" s="7">
        <f t="shared" si="19"/>
        <v>0</v>
      </c>
      <c r="AC310" s="7">
        <f t="shared" si="20"/>
        <v>0</v>
      </c>
      <c r="AD310" s="7">
        <f t="shared" si="21"/>
        <v>0</v>
      </c>
      <c r="AE310" s="8" t="str" cm="1">
        <f t="array" ref="AE310">IFERROR(_xlfn.XLOOKUP(H310,Sheet1!$G:$G,Sheet1!$F:$F),IFERROR(_xlfn.XLOOKUP(1,(--($X$2:$X$1074=X310))*(--ISNUMBER(MATCH($H$2:$H$1074,Sheet1!$G:$G,0))),_xlfn.XLOOKUP($H$2:$H$1074,Sheet1!$G:$G,Sheet1!$F:$F,"")),"NOT FOUND"))</f>
        <v>GETKRTSCUT5008D</v>
      </c>
      <c r="AF310" s="9" t="str">
        <f t="shared" si="22"/>
        <v>MUSTARD</v>
      </c>
      <c r="AG310" s="10" t="str">
        <f t="shared" si="23"/>
        <v>JHAJJAR</v>
      </c>
      <c r="AH310" s="8" t="str" cm="1">
        <f t="array" ref="AH310">IF(OR(J310="",AE310="",AE310="NOT FOUND"),"",IF(Y310="RP",_xlfn.LET(_xlpm.desc,_xlfn.XLOOKUP(1,(--(Sheet1!$F$2:$F$754=AE310))*(--ISNUMBER(FIND("-",Sheet1!$W$2:$W$754,FIND("-",Sheet1!$W$2:$W$754)+1))),Sheet1!$W$2:$W$754,""),IF(_xlpm.desc="","NOT FOUND",LEFT(_xlpm.desc,FIND("-",_xlpm.desc,FIND("-",_xlpm.desc)+1))&amp;AE310)),LEFT(J310,FIND("-",J310,FIND("-",J310)+1))&amp;AE310))</f>
        <v>KRTS-APWN26-GETKRTSCUT5008D</v>
      </c>
    </row>
    <row r="311" spans="1:34" ht="15.75" customHeight="1" x14ac:dyDescent="0.2">
      <c r="A311" t="s">
        <v>59</v>
      </c>
      <c r="B311" t="s">
        <v>1093</v>
      </c>
      <c r="C311" t="s">
        <v>371</v>
      </c>
      <c r="D311" t="s">
        <v>1156</v>
      </c>
      <c r="E311" t="s">
        <v>34</v>
      </c>
      <c r="F311" t="s">
        <v>35</v>
      </c>
      <c r="G311" t="s">
        <v>43</v>
      </c>
      <c r="H311" t="s">
        <v>1024</v>
      </c>
      <c r="I311" t="s">
        <v>1025</v>
      </c>
      <c r="J311" t="s">
        <v>1026</v>
      </c>
      <c r="K311" t="s">
        <v>474</v>
      </c>
      <c r="L311" t="s">
        <v>40</v>
      </c>
      <c r="M311">
        <v>1</v>
      </c>
      <c r="N311">
        <v>177</v>
      </c>
      <c r="O311">
        <v>177</v>
      </c>
      <c r="P311" t="s">
        <v>41</v>
      </c>
      <c r="Q311">
        <v>249.7</v>
      </c>
      <c r="R311">
        <v>249.7</v>
      </c>
      <c r="S311">
        <v>2209.85</v>
      </c>
      <c r="T311">
        <v>44196.9</v>
      </c>
      <c r="U311">
        <v>5</v>
      </c>
      <c r="V311" t="s">
        <v>42</v>
      </c>
      <c r="W311" t="s">
        <v>474</v>
      </c>
      <c r="X311" s="6" t="str">
        <f t="shared" si="15"/>
        <v>441814704</v>
      </c>
      <c r="Y311" s="7" t="str">
        <f t="shared" si="16"/>
        <v>DC</v>
      </c>
      <c r="Z311" s="7">
        <f t="shared" si="17"/>
        <v>0</v>
      </c>
      <c r="AA311" s="7">
        <f t="shared" si="18"/>
        <v>177</v>
      </c>
      <c r="AB311" s="7">
        <f t="shared" si="19"/>
        <v>0</v>
      </c>
      <c r="AC311" s="7">
        <f t="shared" si="20"/>
        <v>0</v>
      </c>
      <c r="AD311" s="7">
        <f t="shared" si="21"/>
        <v>0</v>
      </c>
      <c r="AE311" s="8" t="str" cm="1">
        <f t="array" ref="AE311">IFERROR(_xlfn.XLOOKUP(H311,Sheet1!$G:$G,Sheet1!$F:$F),IFERROR(_xlfn.XLOOKUP(1,(--($X$2:$X$1074=X311))*(--ISNUMBER(MATCH($H$2:$H$1074,Sheet1!$G:$G,0))),_xlfn.XLOOKUP($H$2:$H$1074,Sheet1!$G:$G,Sheet1!$F:$F,"")),"NOT FOUND"))</f>
        <v>GETKRTSCUT5008D</v>
      </c>
      <c r="AF311" s="9" t="str">
        <f t="shared" si="22"/>
        <v>MUSTARD</v>
      </c>
      <c r="AG311" s="10" t="str">
        <f t="shared" si="23"/>
        <v>JHAJJAR</v>
      </c>
      <c r="AH311" s="8" t="str" cm="1">
        <f t="array" ref="AH311">IF(OR(J311="",AE311="",AE311="NOT FOUND"),"",IF(Y311="RP",_xlfn.LET(_xlpm.desc,_xlfn.XLOOKUP(1,(--(Sheet1!$F$2:$F$754=AE311))*(--ISNUMBER(FIND("-",Sheet1!$W$2:$W$754,FIND("-",Sheet1!$W$2:$W$754)+1))),Sheet1!$W$2:$W$754,""),IF(_xlpm.desc="","NOT FOUND",LEFT(_xlpm.desc,FIND("-",_xlpm.desc,FIND("-",_xlpm.desc)+1))&amp;AE311)),LEFT(J311,FIND("-",J311,FIND("-",J311)+1))&amp;AE311))</f>
        <v>KRTS-APWN26-GETKRTSCUT5008D</v>
      </c>
    </row>
    <row r="312" spans="1:34" ht="15.75" customHeight="1" x14ac:dyDescent="0.2">
      <c r="A312" t="s">
        <v>59</v>
      </c>
      <c r="B312" t="s">
        <v>1093</v>
      </c>
      <c r="C312" t="s">
        <v>371</v>
      </c>
      <c r="D312" t="s">
        <v>1156</v>
      </c>
      <c r="E312" t="s">
        <v>34</v>
      </c>
      <c r="F312" t="s">
        <v>35</v>
      </c>
      <c r="G312" t="s">
        <v>47</v>
      </c>
      <c r="H312" t="s">
        <v>1027</v>
      </c>
      <c r="I312" t="s">
        <v>1028</v>
      </c>
      <c r="J312" t="s">
        <v>1029</v>
      </c>
      <c r="K312" t="s">
        <v>474</v>
      </c>
      <c r="L312" t="s">
        <v>40</v>
      </c>
      <c r="M312">
        <v>1</v>
      </c>
      <c r="N312">
        <v>167</v>
      </c>
      <c r="O312">
        <v>167</v>
      </c>
      <c r="P312" t="s">
        <v>41</v>
      </c>
      <c r="Q312">
        <v>249.7</v>
      </c>
      <c r="R312">
        <v>249.7</v>
      </c>
      <c r="S312">
        <v>2085</v>
      </c>
      <c r="T312">
        <v>41699.9</v>
      </c>
      <c r="U312">
        <v>5</v>
      </c>
      <c r="V312" t="s">
        <v>42</v>
      </c>
      <c r="W312" t="s">
        <v>474</v>
      </c>
      <c r="X312" s="6" t="str">
        <f t="shared" si="15"/>
        <v>441814704</v>
      </c>
      <c r="Y312" s="7" t="str">
        <f t="shared" si="16"/>
        <v>DC</v>
      </c>
      <c r="Z312" s="7">
        <f t="shared" si="17"/>
        <v>0</v>
      </c>
      <c r="AA312" s="7">
        <f t="shared" si="18"/>
        <v>0</v>
      </c>
      <c r="AB312" s="7">
        <f t="shared" si="19"/>
        <v>167</v>
      </c>
      <c r="AC312" s="7">
        <f t="shared" si="20"/>
        <v>0</v>
      </c>
      <c r="AD312" s="7">
        <f t="shared" si="21"/>
        <v>0</v>
      </c>
      <c r="AE312" s="8" t="str" cm="1">
        <f t="array" ref="AE312">IFERROR(_xlfn.XLOOKUP(H312,Sheet1!$G:$G,Sheet1!$F:$F),IFERROR(_xlfn.XLOOKUP(1,(--($X$2:$X$1074=X312))*(--ISNUMBER(MATCH($H$2:$H$1074,Sheet1!$G:$G,0))),_xlfn.XLOOKUP($H$2:$H$1074,Sheet1!$G:$G,Sheet1!$F:$F,"")),"NOT FOUND"))</f>
        <v>GETKRTSCUT5008D</v>
      </c>
      <c r="AF312" s="9" t="str">
        <f t="shared" si="22"/>
        <v>MUSTARD</v>
      </c>
      <c r="AG312" s="10" t="str">
        <f t="shared" si="23"/>
        <v>JHAJJAR</v>
      </c>
      <c r="AH312" s="8" t="str" cm="1">
        <f t="array" ref="AH312">IF(OR(J312="",AE312="",AE312="NOT FOUND"),"",IF(Y312="RP",_xlfn.LET(_xlpm.desc,_xlfn.XLOOKUP(1,(--(Sheet1!$F$2:$F$754=AE312))*(--ISNUMBER(FIND("-",Sheet1!$W$2:$W$754,FIND("-",Sheet1!$W$2:$W$754)+1))),Sheet1!$W$2:$W$754,""),IF(_xlpm.desc="","NOT FOUND",LEFT(_xlpm.desc,FIND("-",_xlpm.desc,FIND("-",_xlpm.desc)+1))&amp;AE312)),LEFT(J312,FIND("-",J312,FIND("-",J312)+1))&amp;AE312))</f>
        <v>KRTS-APWN26-GETKRTSCUT5008D</v>
      </c>
    </row>
    <row r="313" spans="1:34" ht="15.75" customHeight="1" x14ac:dyDescent="0.2">
      <c r="A313" t="s">
        <v>59</v>
      </c>
      <c r="B313" t="s">
        <v>1093</v>
      </c>
      <c r="C313" t="s">
        <v>371</v>
      </c>
      <c r="D313" t="s">
        <v>1156</v>
      </c>
      <c r="E313" t="s">
        <v>34</v>
      </c>
      <c r="F313" t="s">
        <v>35</v>
      </c>
      <c r="G313" t="s">
        <v>51</v>
      </c>
      <c r="H313" t="s">
        <v>1030</v>
      </c>
      <c r="I313" t="s">
        <v>1031</v>
      </c>
      <c r="J313" t="s">
        <v>1032</v>
      </c>
      <c r="K313" t="s">
        <v>474</v>
      </c>
      <c r="L313" t="s">
        <v>40</v>
      </c>
      <c r="M313">
        <v>1</v>
      </c>
      <c r="N313">
        <v>177</v>
      </c>
      <c r="O313">
        <v>177</v>
      </c>
      <c r="P313" t="s">
        <v>41</v>
      </c>
      <c r="Q313">
        <v>249.7</v>
      </c>
      <c r="R313">
        <v>249.7</v>
      </c>
      <c r="S313">
        <v>2209.85</v>
      </c>
      <c r="T313">
        <v>44196.9</v>
      </c>
      <c r="U313">
        <v>5</v>
      </c>
      <c r="V313" t="s">
        <v>42</v>
      </c>
      <c r="W313" t="s">
        <v>474</v>
      </c>
      <c r="X313" s="6" t="str">
        <f t="shared" si="15"/>
        <v>441814704</v>
      </c>
      <c r="Y313" s="7" t="str">
        <f t="shared" si="16"/>
        <v>DC</v>
      </c>
      <c r="Z313" s="7">
        <f t="shared" si="17"/>
        <v>0</v>
      </c>
      <c r="AA313" s="7">
        <f t="shared" si="18"/>
        <v>0</v>
      </c>
      <c r="AB313" s="7">
        <f t="shared" si="19"/>
        <v>0</v>
      </c>
      <c r="AC313" s="7">
        <f t="shared" si="20"/>
        <v>177</v>
      </c>
      <c r="AD313" s="7">
        <f t="shared" si="21"/>
        <v>0</v>
      </c>
      <c r="AE313" s="8" t="str" cm="1">
        <f t="array" ref="AE313">IFERROR(_xlfn.XLOOKUP(H313,Sheet1!$G:$G,Sheet1!$F:$F),IFERROR(_xlfn.XLOOKUP(1,(--($X$2:$X$1074=X313))*(--ISNUMBER(MATCH($H$2:$H$1074,Sheet1!$G:$G,0))),_xlfn.XLOOKUP($H$2:$H$1074,Sheet1!$G:$G,Sheet1!$F:$F,"")),"NOT FOUND"))</f>
        <v>GETKRTSCUT5008D</v>
      </c>
      <c r="AF313" s="9" t="str">
        <f t="shared" si="22"/>
        <v>MUSTARD</v>
      </c>
      <c r="AG313" s="10" t="str">
        <f t="shared" si="23"/>
        <v>JHAJJAR</v>
      </c>
      <c r="AH313" s="8" t="str" cm="1">
        <f t="array" ref="AH313">IF(OR(J313="",AE313="",AE313="NOT FOUND"),"",IF(Y313="RP",_xlfn.LET(_xlpm.desc,_xlfn.XLOOKUP(1,(--(Sheet1!$F$2:$F$754=AE313))*(--ISNUMBER(FIND("-",Sheet1!$W$2:$W$754,FIND("-",Sheet1!$W$2:$W$754)+1))),Sheet1!$W$2:$W$754,""),IF(_xlpm.desc="","NOT FOUND",LEFT(_xlpm.desc,FIND("-",_xlpm.desc,FIND("-",_xlpm.desc)+1))&amp;AE313)),LEFT(J313,FIND("-",J313,FIND("-",J313)+1))&amp;AE313))</f>
        <v>KRTS-APWN26-GETKRTSCUT5008D</v>
      </c>
    </row>
    <row r="314" spans="1:34" ht="15.75" customHeight="1" x14ac:dyDescent="0.2">
      <c r="A314" t="s">
        <v>59</v>
      </c>
      <c r="B314" t="s">
        <v>1093</v>
      </c>
      <c r="C314" t="s">
        <v>371</v>
      </c>
      <c r="D314" t="s">
        <v>1156</v>
      </c>
      <c r="E314" t="s">
        <v>34</v>
      </c>
      <c r="F314" t="s">
        <v>35</v>
      </c>
      <c r="G314" t="s">
        <v>55</v>
      </c>
      <c r="H314" t="s">
        <v>1033</v>
      </c>
      <c r="I314" t="s">
        <v>1034</v>
      </c>
      <c r="J314" t="s">
        <v>1036</v>
      </c>
      <c r="K314" t="s">
        <v>474</v>
      </c>
      <c r="L314" t="s">
        <v>40</v>
      </c>
      <c r="M314">
        <v>1</v>
      </c>
      <c r="N314">
        <v>63</v>
      </c>
      <c r="O314">
        <v>63</v>
      </c>
      <c r="P314" t="s">
        <v>41</v>
      </c>
      <c r="Q314">
        <v>249.7</v>
      </c>
      <c r="R314">
        <v>249.7</v>
      </c>
      <c r="S314">
        <v>786.56</v>
      </c>
      <c r="T314">
        <v>15731.1</v>
      </c>
      <c r="U314">
        <v>5</v>
      </c>
      <c r="V314" t="s">
        <v>42</v>
      </c>
      <c r="W314" t="s">
        <v>474</v>
      </c>
      <c r="X314" s="6" t="str">
        <f t="shared" si="15"/>
        <v>441814704</v>
      </c>
      <c r="Y314" s="7" t="str">
        <f t="shared" si="16"/>
        <v>DC</v>
      </c>
      <c r="Z314" s="7">
        <f t="shared" si="17"/>
        <v>0</v>
      </c>
      <c r="AA314" s="7">
        <f t="shared" si="18"/>
        <v>0</v>
      </c>
      <c r="AB314" s="7">
        <f t="shared" si="19"/>
        <v>0</v>
      </c>
      <c r="AC314" s="7">
        <f t="shared" si="20"/>
        <v>0</v>
      </c>
      <c r="AD314" s="7">
        <f t="shared" si="21"/>
        <v>63</v>
      </c>
      <c r="AE314" s="8" t="str" cm="1">
        <f t="array" ref="AE314">IFERROR(_xlfn.XLOOKUP(H314,Sheet1!$G:$G,Sheet1!$F:$F),IFERROR(_xlfn.XLOOKUP(1,(--($X$2:$X$1074=X314))*(--ISNUMBER(MATCH($H$2:$H$1074,Sheet1!$G:$G,0))),_xlfn.XLOOKUP($H$2:$H$1074,Sheet1!$G:$G,Sheet1!$F:$F,"")),"NOT FOUND"))</f>
        <v>GETKRTSCUT5008D</v>
      </c>
      <c r="AF314" s="9" t="str">
        <f t="shared" si="22"/>
        <v>MUSTARD</v>
      </c>
      <c r="AG314" s="10" t="str">
        <f t="shared" si="23"/>
        <v>JHAJJAR</v>
      </c>
      <c r="AH314" s="8" t="str" cm="1">
        <f t="array" ref="AH314">IF(OR(J314="",AE314="",AE314="NOT FOUND"),"",IF(Y314="RP",_xlfn.LET(_xlpm.desc,_xlfn.XLOOKUP(1,(--(Sheet1!$F$2:$F$754=AE314))*(--ISNUMBER(FIND("-",Sheet1!$W$2:$W$754,FIND("-",Sheet1!$W$2:$W$754)+1))),Sheet1!$W$2:$W$754,""),IF(_xlpm.desc="","NOT FOUND",LEFT(_xlpm.desc,FIND("-",_xlpm.desc,FIND("-",_xlpm.desc)+1))&amp;AE314)),LEFT(J314,FIND("-",J314,FIND("-",J314)+1))&amp;AE314))</f>
        <v>KRTS-APWN26-GETKRTSCUT5008D</v>
      </c>
    </row>
    <row r="315" spans="1:34" ht="15.75" customHeight="1" x14ac:dyDescent="0.2">
      <c r="A315" t="s">
        <v>59</v>
      </c>
      <c r="B315" t="s">
        <v>1094</v>
      </c>
      <c r="C315" t="s">
        <v>371</v>
      </c>
      <c r="D315" t="s">
        <v>1156</v>
      </c>
      <c r="E315" t="s">
        <v>34</v>
      </c>
      <c r="F315" t="s">
        <v>35</v>
      </c>
      <c r="G315" t="s">
        <v>36</v>
      </c>
      <c r="H315" t="s">
        <v>1039</v>
      </c>
      <c r="I315" t="s">
        <v>1040</v>
      </c>
      <c r="J315" t="s">
        <v>1041</v>
      </c>
      <c r="K315" t="s">
        <v>474</v>
      </c>
      <c r="L315" t="s">
        <v>40</v>
      </c>
      <c r="M315">
        <v>1</v>
      </c>
      <c r="N315">
        <v>44</v>
      </c>
      <c r="O315">
        <v>44</v>
      </c>
      <c r="P315" t="s">
        <v>41</v>
      </c>
      <c r="Q315">
        <v>249.7</v>
      </c>
      <c r="R315">
        <v>249.7</v>
      </c>
      <c r="S315">
        <v>549.34</v>
      </c>
      <c r="T315">
        <v>10986.8</v>
      </c>
      <c r="U315">
        <v>5</v>
      </c>
      <c r="V315" t="s">
        <v>42</v>
      </c>
      <c r="W315" t="s">
        <v>474</v>
      </c>
      <c r="X315" s="6" t="str">
        <f t="shared" si="15"/>
        <v>441814703</v>
      </c>
      <c r="Y315" s="7" t="str">
        <f t="shared" si="16"/>
        <v>DC</v>
      </c>
      <c r="Z315" s="7">
        <f t="shared" si="17"/>
        <v>44</v>
      </c>
      <c r="AA315" s="7">
        <f t="shared" si="18"/>
        <v>0</v>
      </c>
      <c r="AB315" s="7">
        <f t="shared" si="19"/>
        <v>0</v>
      </c>
      <c r="AC315" s="7">
        <f t="shared" si="20"/>
        <v>0</v>
      </c>
      <c r="AD315" s="7">
        <f t="shared" si="21"/>
        <v>0</v>
      </c>
      <c r="AE315" s="8" t="str" cm="1">
        <f t="array" ref="AE315">IFERROR(_xlfn.XLOOKUP(H315,Sheet1!$G:$G,Sheet1!$F:$F),IFERROR(_xlfn.XLOOKUP(1,(--($X$2:$X$1074=X315))*(--ISNUMBER(MATCH($H$2:$H$1074,Sheet1!$G:$G,0))),_xlfn.XLOOKUP($H$2:$H$1074,Sheet1!$G:$G,Sheet1!$F:$F,"")),"NOT FOUND"))</f>
        <v>GETKRTSCUT5008C</v>
      </c>
      <c r="AF315" s="9" t="str">
        <f t="shared" si="22"/>
        <v>RED</v>
      </c>
      <c r="AG315" s="10" t="str">
        <f t="shared" si="23"/>
        <v>JHAJJAR</v>
      </c>
      <c r="AH315" s="8" t="str" cm="1">
        <f t="array" ref="AH315">IF(OR(J315="",AE315="",AE315="NOT FOUND"),"",IF(Y315="RP",_xlfn.LET(_xlpm.desc,_xlfn.XLOOKUP(1,(--(Sheet1!$F$2:$F$754=AE315))*(--ISNUMBER(FIND("-",Sheet1!$W$2:$W$754,FIND("-",Sheet1!$W$2:$W$754)+1))),Sheet1!$W$2:$W$754,""),IF(_xlpm.desc="","NOT FOUND",LEFT(_xlpm.desc,FIND("-",_xlpm.desc,FIND("-",_xlpm.desc)+1))&amp;AE315)),LEFT(J315,FIND("-",J315,FIND("-",J315)+1))&amp;AE315))</f>
        <v>KRTS-APWN26-GETKRTSCUT5008C</v>
      </c>
    </row>
    <row r="316" spans="1:34" ht="15.75" customHeight="1" x14ac:dyDescent="0.2">
      <c r="A316" t="s">
        <v>59</v>
      </c>
      <c r="B316" t="s">
        <v>1094</v>
      </c>
      <c r="C316" t="s">
        <v>371</v>
      </c>
      <c r="D316" t="s">
        <v>1156</v>
      </c>
      <c r="E316" t="s">
        <v>34</v>
      </c>
      <c r="F316" t="s">
        <v>35</v>
      </c>
      <c r="G316" t="s">
        <v>43</v>
      </c>
      <c r="H316" t="s">
        <v>1042</v>
      </c>
      <c r="I316" t="s">
        <v>1043</v>
      </c>
      <c r="J316" t="s">
        <v>1044</v>
      </c>
      <c r="K316" t="s">
        <v>474</v>
      </c>
      <c r="L316" t="s">
        <v>40</v>
      </c>
      <c r="M316">
        <v>1</v>
      </c>
      <c r="N316">
        <v>187</v>
      </c>
      <c r="O316">
        <v>187</v>
      </c>
      <c r="P316" t="s">
        <v>41</v>
      </c>
      <c r="Q316">
        <v>249.7</v>
      </c>
      <c r="R316">
        <v>249.7</v>
      </c>
      <c r="S316">
        <v>2334.6999999999998</v>
      </c>
      <c r="T316">
        <v>46693.9</v>
      </c>
      <c r="U316">
        <v>5</v>
      </c>
      <c r="V316" t="s">
        <v>42</v>
      </c>
      <c r="W316" t="s">
        <v>474</v>
      </c>
      <c r="X316" s="6" t="str">
        <f t="shared" si="15"/>
        <v>441814703</v>
      </c>
      <c r="Y316" s="7" t="str">
        <f t="shared" si="16"/>
        <v>DC</v>
      </c>
      <c r="Z316" s="7">
        <f t="shared" si="17"/>
        <v>0</v>
      </c>
      <c r="AA316" s="7">
        <f t="shared" si="18"/>
        <v>187</v>
      </c>
      <c r="AB316" s="7">
        <f t="shared" si="19"/>
        <v>0</v>
      </c>
      <c r="AC316" s="7">
        <f t="shared" si="20"/>
        <v>0</v>
      </c>
      <c r="AD316" s="7">
        <f t="shared" si="21"/>
        <v>0</v>
      </c>
      <c r="AE316" s="8" t="str" cm="1">
        <f t="array" ref="AE316">IFERROR(_xlfn.XLOOKUP(H316,Sheet1!$G:$G,Sheet1!$F:$F),IFERROR(_xlfn.XLOOKUP(1,(--($X$2:$X$1074=X316))*(--ISNUMBER(MATCH($H$2:$H$1074,Sheet1!$G:$G,0))),_xlfn.XLOOKUP($H$2:$H$1074,Sheet1!$G:$G,Sheet1!$F:$F,"")),"NOT FOUND"))</f>
        <v>GETKRTSCUT5008C</v>
      </c>
      <c r="AF316" s="9" t="str">
        <f t="shared" si="22"/>
        <v>RED</v>
      </c>
      <c r="AG316" s="10" t="str">
        <f t="shared" si="23"/>
        <v>JHAJJAR</v>
      </c>
      <c r="AH316" s="8" t="str" cm="1">
        <f t="array" ref="AH316">IF(OR(J316="",AE316="",AE316="NOT FOUND"),"",IF(Y316="RP",_xlfn.LET(_xlpm.desc,_xlfn.XLOOKUP(1,(--(Sheet1!$F$2:$F$754=AE316))*(--ISNUMBER(FIND("-",Sheet1!$W$2:$W$754,FIND("-",Sheet1!$W$2:$W$754)+1))),Sheet1!$W$2:$W$754,""),IF(_xlpm.desc="","NOT FOUND",LEFT(_xlpm.desc,FIND("-",_xlpm.desc,FIND("-",_xlpm.desc)+1))&amp;AE316)),LEFT(J316,FIND("-",J316,FIND("-",J316)+1))&amp;AE316))</f>
        <v>KRTS-APWN26-GETKRTSCUT5008C</v>
      </c>
    </row>
    <row r="317" spans="1:34" ht="15.75" customHeight="1" x14ac:dyDescent="0.2">
      <c r="A317" t="s">
        <v>59</v>
      </c>
      <c r="B317" t="s">
        <v>1094</v>
      </c>
      <c r="C317" t="s">
        <v>371</v>
      </c>
      <c r="D317" t="s">
        <v>1156</v>
      </c>
      <c r="E317" t="s">
        <v>34</v>
      </c>
      <c r="F317" t="s">
        <v>35</v>
      </c>
      <c r="G317" t="s">
        <v>47</v>
      </c>
      <c r="H317" t="s">
        <v>1045</v>
      </c>
      <c r="I317" t="s">
        <v>1046</v>
      </c>
      <c r="J317" t="s">
        <v>1048</v>
      </c>
      <c r="K317" t="s">
        <v>474</v>
      </c>
      <c r="L317" t="s">
        <v>40</v>
      </c>
      <c r="M317">
        <v>1</v>
      </c>
      <c r="N317">
        <v>175</v>
      </c>
      <c r="O317">
        <v>175</v>
      </c>
      <c r="P317" t="s">
        <v>41</v>
      </c>
      <c r="Q317">
        <v>249.7</v>
      </c>
      <c r="R317">
        <v>249.7</v>
      </c>
      <c r="S317">
        <v>2184.88</v>
      </c>
      <c r="T317">
        <v>43697.5</v>
      </c>
      <c r="U317">
        <v>5</v>
      </c>
      <c r="V317" t="s">
        <v>42</v>
      </c>
      <c r="W317" t="s">
        <v>474</v>
      </c>
      <c r="X317" s="6" t="str">
        <f t="shared" si="15"/>
        <v>441814703</v>
      </c>
      <c r="Y317" s="7" t="str">
        <f t="shared" si="16"/>
        <v>DC</v>
      </c>
      <c r="Z317" s="7">
        <f t="shared" si="17"/>
        <v>0</v>
      </c>
      <c r="AA317" s="7">
        <f t="shared" si="18"/>
        <v>0</v>
      </c>
      <c r="AB317" s="7">
        <f t="shared" si="19"/>
        <v>175</v>
      </c>
      <c r="AC317" s="7">
        <f t="shared" si="20"/>
        <v>0</v>
      </c>
      <c r="AD317" s="7">
        <f t="shared" si="21"/>
        <v>0</v>
      </c>
      <c r="AE317" s="8" t="str" cm="1">
        <f t="array" ref="AE317">IFERROR(_xlfn.XLOOKUP(H317,Sheet1!$G:$G,Sheet1!$F:$F),IFERROR(_xlfn.XLOOKUP(1,(--($X$2:$X$1074=X317))*(--ISNUMBER(MATCH($H$2:$H$1074,Sheet1!$G:$G,0))),_xlfn.XLOOKUP($H$2:$H$1074,Sheet1!$G:$G,Sheet1!$F:$F,"")),"NOT FOUND"))</f>
        <v>GETKRTSCUT5008C</v>
      </c>
      <c r="AF317" s="9" t="str">
        <f t="shared" si="22"/>
        <v>RED</v>
      </c>
      <c r="AG317" s="10" t="str">
        <f t="shared" si="23"/>
        <v>JHAJJAR</v>
      </c>
      <c r="AH317" s="8" t="str" cm="1">
        <f t="array" ref="AH317">IF(OR(J317="",AE317="",AE317="NOT FOUND"),"",IF(Y317="RP",_xlfn.LET(_xlpm.desc,_xlfn.XLOOKUP(1,(--(Sheet1!$F$2:$F$754=AE317))*(--ISNUMBER(FIND("-",Sheet1!$W$2:$W$754,FIND("-",Sheet1!$W$2:$W$754)+1))),Sheet1!$W$2:$W$754,""),IF(_xlpm.desc="","NOT FOUND",LEFT(_xlpm.desc,FIND("-",_xlpm.desc,FIND("-",_xlpm.desc)+1))&amp;AE317)),LEFT(J317,FIND("-",J317,FIND("-",J317)+1))&amp;AE317))</f>
        <v>KRTS-APWN26-GETKRTSCUT5008C</v>
      </c>
    </row>
    <row r="318" spans="1:34" ht="15.75" customHeight="1" x14ac:dyDescent="0.2">
      <c r="A318" t="s">
        <v>59</v>
      </c>
      <c r="B318" t="s">
        <v>1094</v>
      </c>
      <c r="C318" t="s">
        <v>371</v>
      </c>
      <c r="D318" t="s">
        <v>1156</v>
      </c>
      <c r="E318" t="s">
        <v>34</v>
      </c>
      <c r="F318" t="s">
        <v>35</v>
      </c>
      <c r="G318" t="s">
        <v>51</v>
      </c>
      <c r="H318" t="s">
        <v>1049</v>
      </c>
      <c r="I318" t="s">
        <v>1050</v>
      </c>
      <c r="J318" t="s">
        <v>1051</v>
      </c>
      <c r="K318" t="s">
        <v>474</v>
      </c>
      <c r="L318" t="s">
        <v>40</v>
      </c>
      <c r="M318">
        <v>1</v>
      </c>
      <c r="N318">
        <v>187</v>
      </c>
      <c r="O318">
        <v>187</v>
      </c>
      <c r="P318" t="s">
        <v>41</v>
      </c>
      <c r="Q318">
        <v>249.7</v>
      </c>
      <c r="R318">
        <v>249.7</v>
      </c>
      <c r="S318">
        <v>2334.6999999999998</v>
      </c>
      <c r="T318">
        <v>46693.9</v>
      </c>
      <c r="U318">
        <v>5</v>
      </c>
      <c r="V318" t="s">
        <v>42</v>
      </c>
      <c r="W318" t="s">
        <v>474</v>
      </c>
      <c r="X318" s="6" t="str">
        <f t="shared" si="15"/>
        <v>441814703</v>
      </c>
      <c r="Y318" s="7" t="str">
        <f t="shared" si="16"/>
        <v>DC</v>
      </c>
      <c r="Z318" s="7">
        <f t="shared" si="17"/>
        <v>0</v>
      </c>
      <c r="AA318" s="7">
        <f t="shared" si="18"/>
        <v>0</v>
      </c>
      <c r="AB318" s="7">
        <f t="shared" si="19"/>
        <v>0</v>
      </c>
      <c r="AC318" s="7">
        <f t="shared" si="20"/>
        <v>187</v>
      </c>
      <c r="AD318" s="7">
        <f t="shared" si="21"/>
        <v>0</v>
      </c>
      <c r="AE318" s="8" t="str" cm="1">
        <f t="array" ref="AE318">IFERROR(_xlfn.XLOOKUP(H318,Sheet1!$G:$G,Sheet1!$F:$F),IFERROR(_xlfn.XLOOKUP(1,(--($X$2:$X$1074=X318))*(--ISNUMBER(MATCH($H$2:$H$1074,Sheet1!$G:$G,0))),_xlfn.XLOOKUP($H$2:$H$1074,Sheet1!$G:$G,Sheet1!$F:$F,"")),"NOT FOUND"))</f>
        <v>GETKRTSCUT5008C</v>
      </c>
      <c r="AF318" s="9" t="str">
        <f t="shared" si="22"/>
        <v>RED</v>
      </c>
      <c r="AG318" s="10" t="str">
        <f t="shared" si="23"/>
        <v>JHAJJAR</v>
      </c>
      <c r="AH318" s="8" t="str" cm="1">
        <f t="array" ref="AH318">IF(OR(J318="",AE318="",AE318="NOT FOUND"),"",IF(Y318="RP",_xlfn.LET(_xlpm.desc,_xlfn.XLOOKUP(1,(--(Sheet1!$F$2:$F$754=AE318))*(--ISNUMBER(FIND("-",Sheet1!$W$2:$W$754,FIND("-",Sheet1!$W$2:$W$754)+1))),Sheet1!$W$2:$W$754,""),IF(_xlpm.desc="","NOT FOUND",LEFT(_xlpm.desc,FIND("-",_xlpm.desc,FIND("-",_xlpm.desc)+1))&amp;AE318)),LEFT(J318,FIND("-",J318,FIND("-",J318)+1))&amp;AE318))</f>
        <v>KRTS-APWN26-GETKRTSCUT5008C</v>
      </c>
    </row>
    <row r="319" spans="1:34" ht="15.75" customHeight="1" x14ac:dyDescent="0.2">
      <c r="A319" t="s">
        <v>59</v>
      </c>
      <c r="B319" t="s">
        <v>1094</v>
      </c>
      <c r="C319" t="s">
        <v>371</v>
      </c>
      <c r="D319" t="s">
        <v>1156</v>
      </c>
      <c r="E319" t="s">
        <v>34</v>
      </c>
      <c r="F319" t="s">
        <v>35</v>
      </c>
      <c r="G319" t="s">
        <v>55</v>
      </c>
      <c r="H319" t="s">
        <v>1052</v>
      </c>
      <c r="I319" t="s">
        <v>1053</v>
      </c>
      <c r="J319" t="s">
        <v>1055</v>
      </c>
      <c r="K319" t="s">
        <v>474</v>
      </c>
      <c r="L319" t="s">
        <v>40</v>
      </c>
      <c r="M319">
        <v>1</v>
      </c>
      <c r="N319">
        <v>66</v>
      </c>
      <c r="O319">
        <v>66</v>
      </c>
      <c r="P319" t="s">
        <v>41</v>
      </c>
      <c r="Q319">
        <v>249.7</v>
      </c>
      <c r="R319">
        <v>249.7</v>
      </c>
      <c r="S319">
        <v>824.01</v>
      </c>
      <c r="T319">
        <v>16480.2</v>
      </c>
      <c r="U319">
        <v>5</v>
      </c>
      <c r="V319" t="s">
        <v>42</v>
      </c>
      <c r="W319" t="s">
        <v>474</v>
      </c>
      <c r="X319" s="6" t="str">
        <f t="shared" si="15"/>
        <v>441814703</v>
      </c>
      <c r="Y319" s="7" t="str">
        <f t="shared" si="16"/>
        <v>DC</v>
      </c>
      <c r="Z319" s="7">
        <f t="shared" si="17"/>
        <v>0</v>
      </c>
      <c r="AA319" s="7">
        <f t="shared" si="18"/>
        <v>0</v>
      </c>
      <c r="AB319" s="7">
        <f t="shared" si="19"/>
        <v>0</v>
      </c>
      <c r="AC319" s="7">
        <f t="shared" si="20"/>
        <v>0</v>
      </c>
      <c r="AD319" s="7">
        <f t="shared" si="21"/>
        <v>66</v>
      </c>
      <c r="AE319" s="8" t="str" cm="1">
        <f t="array" ref="AE319">IFERROR(_xlfn.XLOOKUP(H319,Sheet1!$G:$G,Sheet1!$F:$F),IFERROR(_xlfn.XLOOKUP(1,(--($X$2:$X$1074=X319))*(--ISNUMBER(MATCH($H$2:$H$1074,Sheet1!$G:$G,0))),_xlfn.XLOOKUP($H$2:$H$1074,Sheet1!$G:$G,Sheet1!$F:$F,"")),"NOT FOUND"))</f>
        <v>GETKRTSCUT5008C</v>
      </c>
      <c r="AF319" s="9" t="str">
        <f t="shared" si="22"/>
        <v>RED</v>
      </c>
      <c r="AG319" s="10" t="str">
        <f t="shared" si="23"/>
        <v>JHAJJAR</v>
      </c>
      <c r="AH319" s="8" t="str" cm="1">
        <f t="array" ref="AH319">IF(OR(J319="",AE319="",AE319="NOT FOUND"),"",IF(Y319="RP",_xlfn.LET(_xlpm.desc,_xlfn.XLOOKUP(1,(--(Sheet1!$F$2:$F$754=AE319))*(--ISNUMBER(FIND("-",Sheet1!$W$2:$W$754,FIND("-",Sheet1!$W$2:$W$754)+1))),Sheet1!$W$2:$W$754,""),IF(_xlpm.desc="","NOT FOUND",LEFT(_xlpm.desc,FIND("-",_xlpm.desc,FIND("-",_xlpm.desc)+1))&amp;AE319)),LEFT(J319,FIND("-",J319,FIND("-",J319)+1))&amp;AE319))</f>
        <v>KRTS-APWN26-GETKRTSCUT5008C</v>
      </c>
    </row>
    <row r="320" spans="1:34" ht="15.75" customHeight="1" x14ac:dyDescent="0.2">
      <c r="A320" t="s">
        <v>59</v>
      </c>
      <c r="B320" t="s">
        <v>1097</v>
      </c>
      <c r="C320" t="s">
        <v>371</v>
      </c>
      <c r="D320" t="s">
        <v>1156</v>
      </c>
      <c r="E320" t="s">
        <v>34</v>
      </c>
      <c r="F320" t="s">
        <v>35</v>
      </c>
      <c r="G320" t="s">
        <v>36</v>
      </c>
      <c r="H320" t="s">
        <v>1058</v>
      </c>
      <c r="I320" t="s">
        <v>1059</v>
      </c>
      <c r="J320" t="s">
        <v>1060</v>
      </c>
      <c r="K320" t="s">
        <v>474</v>
      </c>
      <c r="L320" t="s">
        <v>40</v>
      </c>
      <c r="M320">
        <v>1</v>
      </c>
      <c r="N320">
        <v>42</v>
      </c>
      <c r="O320">
        <v>42</v>
      </c>
      <c r="P320" t="s">
        <v>41</v>
      </c>
      <c r="Q320">
        <v>249.7</v>
      </c>
      <c r="R320">
        <v>249.7</v>
      </c>
      <c r="S320">
        <v>524.37</v>
      </c>
      <c r="T320">
        <v>10487.4</v>
      </c>
      <c r="U320">
        <v>5</v>
      </c>
      <c r="V320" t="s">
        <v>42</v>
      </c>
      <c r="W320" t="s">
        <v>474</v>
      </c>
      <c r="X320" s="6" t="str">
        <f t="shared" si="15"/>
        <v>441814702</v>
      </c>
      <c r="Y320" s="7" t="str">
        <f t="shared" si="16"/>
        <v>DC</v>
      </c>
      <c r="Z320" s="7">
        <f t="shared" si="17"/>
        <v>42</v>
      </c>
      <c r="AA320" s="7">
        <f t="shared" si="18"/>
        <v>0</v>
      </c>
      <c r="AB320" s="7">
        <f t="shared" si="19"/>
        <v>0</v>
      </c>
      <c r="AC320" s="7">
        <f t="shared" si="20"/>
        <v>0</v>
      </c>
      <c r="AD320" s="7">
        <f t="shared" si="21"/>
        <v>0</v>
      </c>
      <c r="AE320" s="8" t="str" cm="1">
        <f t="array" ref="AE320">IFERROR(_xlfn.XLOOKUP(H320,Sheet1!$G:$G,Sheet1!$F:$F),IFERROR(_xlfn.XLOOKUP(1,(--($X$2:$X$1074=X320))*(--ISNUMBER(MATCH($H$2:$H$1074,Sheet1!$G:$G,0))),_xlfn.XLOOKUP($H$2:$H$1074,Sheet1!$G:$G,Sheet1!$F:$F,"")),"NOT FOUND"))</f>
        <v>GETKRTSCUT5008B</v>
      </c>
      <c r="AF320" s="9" t="str">
        <f t="shared" si="22"/>
        <v>OLIVE</v>
      </c>
      <c r="AG320" s="10" t="str">
        <f t="shared" si="23"/>
        <v>JHAJJAR</v>
      </c>
      <c r="AH320" s="8" t="str" cm="1">
        <f t="array" ref="AH320">IF(OR(J320="",AE320="",AE320="NOT FOUND"),"",IF(Y320="RP",_xlfn.LET(_xlpm.desc,_xlfn.XLOOKUP(1,(--(Sheet1!$F$2:$F$754=AE320))*(--ISNUMBER(FIND("-",Sheet1!$W$2:$W$754,FIND("-",Sheet1!$W$2:$W$754)+1))),Sheet1!$W$2:$W$754,""),IF(_xlpm.desc="","NOT FOUND",LEFT(_xlpm.desc,FIND("-",_xlpm.desc,FIND("-",_xlpm.desc)+1))&amp;AE320)),LEFT(J320,FIND("-",J320,FIND("-",J320)+1))&amp;AE320))</f>
        <v>KRTS-APWN26-GETKRTSCUT5008B</v>
      </c>
    </row>
    <row r="321" spans="1:34" ht="15.75" customHeight="1" x14ac:dyDescent="0.2">
      <c r="A321" t="s">
        <v>59</v>
      </c>
      <c r="B321" t="s">
        <v>1097</v>
      </c>
      <c r="C321" t="s">
        <v>371</v>
      </c>
      <c r="D321" t="s">
        <v>1156</v>
      </c>
      <c r="E321" t="s">
        <v>34</v>
      </c>
      <c r="F321" t="s">
        <v>35</v>
      </c>
      <c r="G321" t="s">
        <v>43</v>
      </c>
      <c r="H321" t="s">
        <v>1061</v>
      </c>
      <c r="I321" t="s">
        <v>1062</v>
      </c>
      <c r="J321" t="s">
        <v>1063</v>
      </c>
      <c r="K321" t="s">
        <v>474</v>
      </c>
      <c r="L321" t="s">
        <v>40</v>
      </c>
      <c r="M321">
        <v>1</v>
      </c>
      <c r="N321">
        <v>177</v>
      </c>
      <c r="O321">
        <v>177</v>
      </c>
      <c r="P321" t="s">
        <v>41</v>
      </c>
      <c r="Q321">
        <v>249.7</v>
      </c>
      <c r="R321">
        <v>249.7</v>
      </c>
      <c r="S321">
        <v>2209.85</v>
      </c>
      <c r="T321">
        <v>44196.9</v>
      </c>
      <c r="U321">
        <v>5</v>
      </c>
      <c r="V321" t="s">
        <v>42</v>
      </c>
      <c r="W321" t="s">
        <v>474</v>
      </c>
      <c r="X321" s="6" t="str">
        <f t="shared" si="15"/>
        <v>441814702</v>
      </c>
      <c r="Y321" s="7" t="str">
        <f t="shared" si="16"/>
        <v>DC</v>
      </c>
      <c r="Z321" s="7">
        <f t="shared" si="17"/>
        <v>0</v>
      </c>
      <c r="AA321" s="7">
        <f t="shared" si="18"/>
        <v>177</v>
      </c>
      <c r="AB321" s="7">
        <f t="shared" si="19"/>
        <v>0</v>
      </c>
      <c r="AC321" s="7">
        <f t="shared" si="20"/>
        <v>0</v>
      </c>
      <c r="AD321" s="7">
        <f t="shared" si="21"/>
        <v>0</v>
      </c>
      <c r="AE321" s="8" t="str" cm="1">
        <f t="array" ref="AE321">IFERROR(_xlfn.XLOOKUP(H321,Sheet1!$G:$G,Sheet1!$F:$F),IFERROR(_xlfn.XLOOKUP(1,(--($X$2:$X$1074=X321))*(--ISNUMBER(MATCH($H$2:$H$1074,Sheet1!$G:$G,0))),_xlfn.XLOOKUP($H$2:$H$1074,Sheet1!$G:$G,Sheet1!$F:$F,"")),"NOT FOUND"))</f>
        <v>GETKRTSCUT5008B</v>
      </c>
      <c r="AF321" s="9" t="str">
        <f t="shared" si="22"/>
        <v>OLIVE</v>
      </c>
      <c r="AG321" s="10" t="str">
        <f t="shared" si="23"/>
        <v>JHAJJAR</v>
      </c>
      <c r="AH321" s="8" t="str" cm="1">
        <f t="array" ref="AH321">IF(OR(J321="",AE321="",AE321="NOT FOUND"),"",IF(Y321="RP",_xlfn.LET(_xlpm.desc,_xlfn.XLOOKUP(1,(--(Sheet1!$F$2:$F$754=AE321))*(--ISNUMBER(FIND("-",Sheet1!$W$2:$W$754,FIND("-",Sheet1!$W$2:$W$754)+1))),Sheet1!$W$2:$W$754,""),IF(_xlpm.desc="","NOT FOUND",LEFT(_xlpm.desc,FIND("-",_xlpm.desc,FIND("-",_xlpm.desc)+1))&amp;AE321)),LEFT(J321,FIND("-",J321,FIND("-",J321)+1))&amp;AE321))</f>
        <v>KRTS-APWN26-GETKRTSCUT5008B</v>
      </c>
    </row>
    <row r="322" spans="1:34" ht="15.75" customHeight="1" x14ac:dyDescent="0.2">
      <c r="A322" t="s">
        <v>59</v>
      </c>
      <c r="B322" t="s">
        <v>1097</v>
      </c>
      <c r="C322" t="s">
        <v>371</v>
      </c>
      <c r="D322" t="s">
        <v>1156</v>
      </c>
      <c r="E322" t="s">
        <v>34</v>
      </c>
      <c r="F322" t="s">
        <v>35</v>
      </c>
      <c r="G322" t="s">
        <v>47</v>
      </c>
      <c r="H322" t="s">
        <v>1064</v>
      </c>
      <c r="I322" t="s">
        <v>1065</v>
      </c>
      <c r="J322" t="s">
        <v>1066</v>
      </c>
      <c r="K322" t="s">
        <v>474</v>
      </c>
      <c r="L322" t="s">
        <v>40</v>
      </c>
      <c r="M322">
        <v>1</v>
      </c>
      <c r="N322">
        <v>167</v>
      </c>
      <c r="O322">
        <v>167</v>
      </c>
      <c r="P322" t="s">
        <v>41</v>
      </c>
      <c r="Q322">
        <v>249.7</v>
      </c>
      <c r="R322">
        <v>249.7</v>
      </c>
      <c r="S322">
        <v>2085</v>
      </c>
      <c r="T322">
        <v>41699.9</v>
      </c>
      <c r="U322">
        <v>5</v>
      </c>
      <c r="V322" t="s">
        <v>42</v>
      </c>
      <c r="W322" t="s">
        <v>474</v>
      </c>
      <c r="X322" s="6" t="str">
        <f t="shared" si="15"/>
        <v>441814702</v>
      </c>
      <c r="Y322" s="7" t="str">
        <f t="shared" si="16"/>
        <v>DC</v>
      </c>
      <c r="Z322" s="7">
        <f t="shared" si="17"/>
        <v>0</v>
      </c>
      <c r="AA322" s="7">
        <f t="shared" si="18"/>
        <v>0</v>
      </c>
      <c r="AB322" s="7">
        <f t="shared" si="19"/>
        <v>167</v>
      </c>
      <c r="AC322" s="7">
        <f t="shared" si="20"/>
        <v>0</v>
      </c>
      <c r="AD322" s="7">
        <f t="shared" si="21"/>
        <v>0</v>
      </c>
      <c r="AE322" s="8" t="str" cm="1">
        <f t="array" ref="AE322">IFERROR(_xlfn.XLOOKUP(H322,Sheet1!$G:$G,Sheet1!$F:$F),IFERROR(_xlfn.XLOOKUP(1,(--($X$2:$X$1074=X322))*(--ISNUMBER(MATCH($H$2:$H$1074,Sheet1!$G:$G,0))),_xlfn.XLOOKUP($H$2:$H$1074,Sheet1!$G:$G,Sheet1!$F:$F,"")),"NOT FOUND"))</f>
        <v>GETKRTSCUT5008B</v>
      </c>
      <c r="AF322" s="9" t="str">
        <f t="shared" si="22"/>
        <v>OLIVE</v>
      </c>
      <c r="AG322" s="10" t="str">
        <f t="shared" si="23"/>
        <v>JHAJJAR</v>
      </c>
      <c r="AH322" s="8" t="str" cm="1">
        <f t="array" ref="AH322">IF(OR(J322="",AE322="",AE322="NOT FOUND"),"",IF(Y322="RP",_xlfn.LET(_xlpm.desc,_xlfn.XLOOKUP(1,(--(Sheet1!$F$2:$F$754=AE322))*(--ISNUMBER(FIND("-",Sheet1!$W$2:$W$754,FIND("-",Sheet1!$W$2:$W$754)+1))),Sheet1!$W$2:$W$754,""),IF(_xlpm.desc="","NOT FOUND",LEFT(_xlpm.desc,FIND("-",_xlpm.desc,FIND("-",_xlpm.desc)+1))&amp;AE322)),LEFT(J322,FIND("-",J322,FIND("-",J322)+1))&amp;AE322))</f>
        <v>KRTS-APWN26-GETKRTSCUT5008B</v>
      </c>
    </row>
    <row r="323" spans="1:34" ht="15.75" customHeight="1" x14ac:dyDescent="0.2">
      <c r="A323" t="s">
        <v>59</v>
      </c>
      <c r="B323" t="s">
        <v>1097</v>
      </c>
      <c r="C323" t="s">
        <v>371</v>
      </c>
      <c r="D323" t="s">
        <v>1156</v>
      </c>
      <c r="E323" t="s">
        <v>34</v>
      </c>
      <c r="F323" t="s">
        <v>35</v>
      </c>
      <c r="G323" t="s">
        <v>51</v>
      </c>
      <c r="H323" t="s">
        <v>1067</v>
      </c>
      <c r="I323" t="s">
        <v>1068</v>
      </c>
      <c r="J323" t="s">
        <v>1069</v>
      </c>
      <c r="K323" t="s">
        <v>474</v>
      </c>
      <c r="L323" t="s">
        <v>40</v>
      </c>
      <c r="M323">
        <v>1</v>
      </c>
      <c r="N323">
        <v>177</v>
      </c>
      <c r="O323">
        <v>177</v>
      </c>
      <c r="P323" t="s">
        <v>41</v>
      </c>
      <c r="Q323">
        <v>249.7</v>
      </c>
      <c r="R323">
        <v>249.7</v>
      </c>
      <c r="S323">
        <v>2209.85</v>
      </c>
      <c r="T323">
        <v>44196.9</v>
      </c>
      <c r="U323">
        <v>5</v>
      </c>
      <c r="V323" t="s">
        <v>42</v>
      </c>
      <c r="W323" t="s">
        <v>474</v>
      </c>
      <c r="X323" s="6" t="str">
        <f t="shared" si="15"/>
        <v>441814702</v>
      </c>
      <c r="Y323" s="7" t="str">
        <f t="shared" si="16"/>
        <v>DC</v>
      </c>
      <c r="Z323" s="7">
        <f t="shared" si="17"/>
        <v>0</v>
      </c>
      <c r="AA323" s="7">
        <f t="shared" si="18"/>
        <v>0</v>
      </c>
      <c r="AB323" s="7">
        <f t="shared" si="19"/>
        <v>0</v>
      </c>
      <c r="AC323" s="7">
        <f t="shared" si="20"/>
        <v>177</v>
      </c>
      <c r="AD323" s="7">
        <f t="shared" si="21"/>
        <v>0</v>
      </c>
      <c r="AE323" s="8" t="str" cm="1">
        <f t="array" ref="AE323">IFERROR(_xlfn.XLOOKUP(H323,Sheet1!$G:$G,Sheet1!$F:$F),IFERROR(_xlfn.XLOOKUP(1,(--($X$2:$X$1074=X323))*(--ISNUMBER(MATCH($H$2:$H$1074,Sheet1!$G:$G,0))),_xlfn.XLOOKUP($H$2:$H$1074,Sheet1!$G:$G,Sheet1!$F:$F,"")),"NOT FOUND"))</f>
        <v>GETKRTSCUT5008B</v>
      </c>
      <c r="AF323" s="9" t="str">
        <f t="shared" ref="AF323:AF386" si="24">IFERROR(IF(ISNUMBER(SEARCH("(RP)",J323)),TRIM(SUBSTITUTE(MID(J323,10,LEN(J323)),"(RP)","")),TRIM(MID(J323,FIND(",",J323)+1,FIND(",",J323,FIND(",",J323)+1)-FIND(",",J323)-1))),"")</f>
        <v>OLIVE</v>
      </c>
      <c r="AG323" s="10" t="str">
        <f t="shared" ref="AG323:AG386" si="25">IF(A323="SZAF","Bangalore",IF(A323="SAEX","JHAJJAR",IF(A323="S0EU","HARIPAL","")))</f>
        <v>JHAJJAR</v>
      </c>
      <c r="AH323" s="8" t="str" cm="1">
        <f t="array" ref="AH323">IF(OR(J323="",AE323="",AE323="NOT FOUND"),"",IF(Y323="RP",_xlfn.LET(_xlpm.desc,_xlfn.XLOOKUP(1,(--(Sheet1!$F$2:$F$754=AE323))*(--ISNUMBER(FIND("-",Sheet1!$W$2:$W$754,FIND("-",Sheet1!$W$2:$W$754)+1))),Sheet1!$W$2:$W$754,""),IF(_xlpm.desc="","NOT FOUND",LEFT(_xlpm.desc,FIND("-",_xlpm.desc,FIND("-",_xlpm.desc)+1))&amp;AE323)),LEFT(J323,FIND("-",J323,FIND("-",J323)+1))&amp;AE323))</f>
        <v>KRTS-APWN26-GETKRTSCUT5008B</v>
      </c>
    </row>
    <row r="324" spans="1:34" ht="15.75" customHeight="1" x14ac:dyDescent="0.2">
      <c r="A324" t="s">
        <v>59</v>
      </c>
      <c r="B324" t="s">
        <v>1097</v>
      </c>
      <c r="C324" t="s">
        <v>371</v>
      </c>
      <c r="D324" t="s">
        <v>1156</v>
      </c>
      <c r="E324" t="s">
        <v>34</v>
      </c>
      <c r="F324" t="s">
        <v>35</v>
      </c>
      <c r="G324" t="s">
        <v>55</v>
      </c>
      <c r="H324" t="s">
        <v>1070</v>
      </c>
      <c r="I324" t="s">
        <v>1071</v>
      </c>
      <c r="J324" t="s">
        <v>1072</v>
      </c>
      <c r="K324" t="s">
        <v>474</v>
      </c>
      <c r="L324" t="s">
        <v>40</v>
      </c>
      <c r="M324">
        <v>1</v>
      </c>
      <c r="N324">
        <v>63</v>
      </c>
      <c r="O324">
        <v>63</v>
      </c>
      <c r="P324" t="s">
        <v>41</v>
      </c>
      <c r="Q324">
        <v>249.7</v>
      </c>
      <c r="R324">
        <v>249.7</v>
      </c>
      <c r="S324">
        <v>786.56</v>
      </c>
      <c r="T324">
        <v>15731.1</v>
      </c>
      <c r="U324">
        <v>5</v>
      </c>
      <c r="V324" t="s">
        <v>42</v>
      </c>
      <c r="W324" t="s">
        <v>474</v>
      </c>
      <c r="X324" s="6" t="str">
        <f t="shared" si="15"/>
        <v>441814702</v>
      </c>
      <c r="Y324" s="7" t="str">
        <f t="shared" si="16"/>
        <v>DC</v>
      </c>
      <c r="Z324" s="7">
        <f t="shared" si="17"/>
        <v>0</v>
      </c>
      <c r="AA324" s="7">
        <f t="shared" si="18"/>
        <v>0</v>
      </c>
      <c r="AB324" s="7">
        <f t="shared" si="19"/>
        <v>0</v>
      </c>
      <c r="AC324" s="7">
        <f t="shared" si="20"/>
        <v>0</v>
      </c>
      <c r="AD324" s="7">
        <f t="shared" si="21"/>
        <v>63</v>
      </c>
      <c r="AE324" s="8" t="str" cm="1">
        <f t="array" ref="AE324">IFERROR(_xlfn.XLOOKUP(H324,Sheet1!$G:$G,Sheet1!$F:$F),IFERROR(_xlfn.XLOOKUP(1,(--($X$2:$X$1074=X324))*(--ISNUMBER(MATCH($H$2:$H$1074,Sheet1!$G:$G,0))),_xlfn.XLOOKUP($H$2:$H$1074,Sheet1!$G:$G,Sheet1!$F:$F,"")),"NOT FOUND"))</f>
        <v>GETKRTSCUT5008B</v>
      </c>
      <c r="AF324" s="9" t="str">
        <f t="shared" si="24"/>
        <v>OLIVE</v>
      </c>
      <c r="AG324" s="10" t="str">
        <f t="shared" si="25"/>
        <v>JHAJJAR</v>
      </c>
      <c r="AH324" s="8" t="str" cm="1">
        <f t="array" ref="AH324">IF(OR(J324="",AE324="",AE324="NOT FOUND"),"",IF(Y324="RP",_xlfn.LET(_xlpm.desc,_xlfn.XLOOKUP(1,(--(Sheet1!$F$2:$F$754=AE324))*(--ISNUMBER(FIND("-",Sheet1!$W$2:$W$754,FIND("-",Sheet1!$W$2:$W$754)+1))),Sheet1!$W$2:$W$754,""),IF(_xlpm.desc="","NOT FOUND",LEFT(_xlpm.desc,FIND("-",_xlpm.desc,FIND("-",_xlpm.desc)+1))&amp;AE324)),LEFT(J324,FIND("-",J324,FIND("-",J324)+1))&amp;AE324))</f>
        <v>KRTS-APWN26-GETKRTSCUT5008B</v>
      </c>
    </row>
    <row r="325" spans="1:34" ht="15.75" customHeight="1" x14ac:dyDescent="0.2">
      <c r="A325" t="s">
        <v>59</v>
      </c>
      <c r="B325" t="s">
        <v>1098</v>
      </c>
      <c r="C325" t="s">
        <v>371</v>
      </c>
      <c r="D325" t="s">
        <v>1156</v>
      </c>
      <c r="E325" t="s">
        <v>34</v>
      </c>
      <c r="F325" t="s">
        <v>35</v>
      </c>
      <c r="G325" t="s">
        <v>36</v>
      </c>
      <c r="H325" t="s">
        <v>1075</v>
      </c>
      <c r="I325" t="s">
        <v>1076</v>
      </c>
      <c r="J325" t="s">
        <v>1077</v>
      </c>
      <c r="K325" t="s">
        <v>474</v>
      </c>
      <c r="L325" t="s">
        <v>40</v>
      </c>
      <c r="M325">
        <v>1</v>
      </c>
      <c r="N325">
        <v>56</v>
      </c>
      <c r="O325">
        <v>56</v>
      </c>
      <c r="P325" t="s">
        <v>41</v>
      </c>
      <c r="Q325">
        <v>249.7</v>
      </c>
      <c r="R325">
        <v>249.7</v>
      </c>
      <c r="S325">
        <v>699.16</v>
      </c>
      <c r="T325">
        <v>13983.2</v>
      </c>
      <c r="U325">
        <v>5</v>
      </c>
      <c r="V325" t="s">
        <v>42</v>
      </c>
      <c r="W325" t="s">
        <v>474</v>
      </c>
      <c r="X325" s="6" t="str">
        <f t="shared" si="15"/>
        <v>441814701</v>
      </c>
      <c r="Y325" s="7" t="str">
        <f t="shared" si="16"/>
        <v>DC</v>
      </c>
      <c r="Z325" s="7">
        <f t="shared" si="17"/>
        <v>56</v>
      </c>
      <c r="AA325" s="7">
        <f t="shared" si="18"/>
        <v>0</v>
      </c>
      <c r="AB325" s="7">
        <f t="shared" si="19"/>
        <v>0</v>
      </c>
      <c r="AC325" s="7">
        <f t="shared" si="20"/>
        <v>0</v>
      </c>
      <c r="AD325" s="7">
        <f t="shared" si="21"/>
        <v>0</v>
      </c>
      <c r="AE325" s="8" t="str" cm="1">
        <f t="array" ref="AE325">IFERROR(_xlfn.XLOOKUP(H325,Sheet1!$G:$G,Sheet1!$F:$F),IFERROR(_xlfn.XLOOKUP(1,(--($X$2:$X$1074=X325))*(--ISNUMBER(MATCH($H$2:$H$1074,Sheet1!$G:$G,0))),_xlfn.XLOOKUP($H$2:$H$1074,Sheet1!$G:$G,Sheet1!$F:$F,"")),"NOT FOUND"))</f>
        <v>GETKRTSCUT5008</v>
      </c>
      <c r="AF325" s="9" t="str">
        <f t="shared" si="24"/>
        <v>BLACK</v>
      </c>
      <c r="AG325" s="10" t="str">
        <f t="shared" si="25"/>
        <v>JHAJJAR</v>
      </c>
      <c r="AH325" s="8" t="str" cm="1">
        <f t="array" ref="AH325">IF(OR(J325="",AE325="",AE325="NOT FOUND"),"",IF(Y325="RP",_xlfn.LET(_xlpm.desc,_xlfn.XLOOKUP(1,(--(Sheet1!$F$2:$F$754=AE325))*(--ISNUMBER(FIND("-",Sheet1!$W$2:$W$754,FIND("-",Sheet1!$W$2:$W$754)+1))),Sheet1!$W$2:$W$754,""),IF(_xlpm.desc="","NOT FOUND",LEFT(_xlpm.desc,FIND("-",_xlpm.desc,FIND("-",_xlpm.desc)+1))&amp;AE325)),LEFT(J325,FIND("-",J325,FIND("-",J325)+1))&amp;AE325))</f>
        <v>KRTS-APWN26-GETKRTSCUT5008</v>
      </c>
    </row>
    <row r="326" spans="1:34" ht="15.75" customHeight="1" x14ac:dyDescent="0.2">
      <c r="A326" t="s">
        <v>59</v>
      </c>
      <c r="B326" t="s">
        <v>1098</v>
      </c>
      <c r="C326" t="s">
        <v>371</v>
      </c>
      <c r="D326" t="s">
        <v>1156</v>
      </c>
      <c r="E326" t="s">
        <v>34</v>
      </c>
      <c r="F326" t="s">
        <v>35</v>
      </c>
      <c r="G326" t="s">
        <v>43</v>
      </c>
      <c r="H326" t="s">
        <v>1078</v>
      </c>
      <c r="I326" t="s">
        <v>1079</v>
      </c>
      <c r="J326" t="s">
        <v>1081</v>
      </c>
      <c r="K326" t="s">
        <v>474</v>
      </c>
      <c r="L326" t="s">
        <v>40</v>
      </c>
      <c r="M326">
        <v>1</v>
      </c>
      <c r="N326">
        <v>240</v>
      </c>
      <c r="O326">
        <v>240</v>
      </c>
      <c r="P326" t="s">
        <v>41</v>
      </c>
      <c r="Q326">
        <v>249.7</v>
      </c>
      <c r="R326">
        <v>249.7</v>
      </c>
      <c r="S326">
        <v>2996.4</v>
      </c>
      <c r="T326">
        <v>59928</v>
      </c>
      <c r="U326">
        <v>5</v>
      </c>
      <c r="V326" t="s">
        <v>42</v>
      </c>
      <c r="W326" t="s">
        <v>474</v>
      </c>
      <c r="X326" s="6" t="str">
        <f t="shared" si="15"/>
        <v>441814701</v>
      </c>
      <c r="Y326" s="7" t="str">
        <f t="shared" si="16"/>
        <v>DC</v>
      </c>
      <c r="Z326" s="7">
        <f t="shared" si="17"/>
        <v>0</v>
      </c>
      <c r="AA326" s="7">
        <f t="shared" si="18"/>
        <v>240</v>
      </c>
      <c r="AB326" s="7">
        <f t="shared" si="19"/>
        <v>0</v>
      </c>
      <c r="AC326" s="7">
        <f t="shared" si="20"/>
        <v>0</v>
      </c>
      <c r="AD326" s="7">
        <f t="shared" si="21"/>
        <v>0</v>
      </c>
      <c r="AE326" s="8" t="str" cm="1">
        <f t="array" ref="AE326">IFERROR(_xlfn.XLOOKUP(H326,Sheet1!$G:$G,Sheet1!$F:$F),IFERROR(_xlfn.XLOOKUP(1,(--($X$2:$X$1074=X326))*(--ISNUMBER(MATCH($H$2:$H$1074,Sheet1!$G:$G,0))),_xlfn.XLOOKUP($H$2:$H$1074,Sheet1!$G:$G,Sheet1!$F:$F,"")),"NOT FOUND"))</f>
        <v>GETKRTSCUT5008</v>
      </c>
      <c r="AF326" s="9" t="str">
        <f t="shared" si="24"/>
        <v>BLACK</v>
      </c>
      <c r="AG326" s="10" t="str">
        <f t="shared" si="25"/>
        <v>JHAJJAR</v>
      </c>
      <c r="AH326" s="8" t="str" cm="1">
        <f t="array" ref="AH326">IF(OR(J326="",AE326="",AE326="NOT FOUND"),"",IF(Y326="RP",_xlfn.LET(_xlpm.desc,_xlfn.XLOOKUP(1,(--(Sheet1!$F$2:$F$754=AE326))*(--ISNUMBER(FIND("-",Sheet1!$W$2:$W$754,FIND("-",Sheet1!$W$2:$W$754)+1))),Sheet1!$W$2:$W$754,""),IF(_xlpm.desc="","NOT FOUND",LEFT(_xlpm.desc,FIND("-",_xlpm.desc,FIND("-",_xlpm.desc)+1))&amp;AE326)),LEFT(J326,FIND("-",J326,FIND("-",J326)+1))&amp;AE326))</f>
        <v>KRTS-APWN26-GETKRTSCUT5008</v>
      </c>
    </row>
    <row r="327" spans="1:34" ht="15.75" customHeight="1" x14ac:dyDescent="0.2">
      <c r="A327" t="s">
        <v>59</v>
      </c>
      <c r="B327" t="s">
        <v>1098</v>
      </c>
      <c r="C327" t="s">
        <v>371</v>
      </c>
      <c r="D327" t="s">
        <v>1156</v>
      </c>
      <c r="E327" t="s">
        <v>34</v>
      </c>
      <c r="F327" t="s">
        <v>35</v>
      </c>
      <c r="G327" t="s">
        <v>47</v>
      </c>
      <c r="H327" t="s">
        <v>1082</v>
      </c>
      <c r="I327" t="s">
        <v>1083</v>
      </c>
      <c r="J327" t="s">
        <v>1085</v>
      </c>
      <c r="K327" t="s">
        <v>474</v>
      </c>
      <c r="L327" t="s">
        <v>40</v>
      </c>
      <c r="M327">
        <v>1</v>
      </c>
      <c r="N327">
        <v>225</v>
      </c>
      <c r="O327">
        <v>225</v>
      </c>
      <c r="P327" t="s">
        <v>41</v>
      </c>
      <c r="Q327">
        <v>249.7</v>
      </c>
      <c r="R327">
        <v>249.7</v>
      </c>
      <c r="S327">
        <v>2809.13</v>
      </c>
      <c r="T327">
        <v>56182.5</v>
      </c>
      <c r="U327">
        <v>5</v>
      </c>
      <c r="V327" t="s">
        <v>42</v>
      </c>
      <c r="W327" t="s">
        <v>474</v>
      </c>
      <c r="X327" s="6" t="str">
        <f t="shared" si="15"/>
        <v>441814701</v>
      </c>
      <c r="Y327" s="7" t="str">
        <f t="shared" si="16"/>
        <v>DC</v>
      </c>
      <c r="Z327" s="7">
        <f t="shared" si="17"/>
        <v>0</v>
      </c>
      <c r="AA327" s="7">
        <f t="shared" si="18"/>
        <v>0</v>
      </c>
      <c r="AB327" s="7">
        <f t="shared" si="19"/>
        <v>225</v>
      </c>
      <c r="AC327" s="7">
        <f t="shared" si="20"/>
        <v>0</v>
      </c>
      <c r="AD327" s="7">
        <f t="shared" si="21"/>
        <v>0</v>
      </c>
      <c r="AE327" s="8" t="str" cm="1">
        <f t="array" ref="AE327">IFERROR(_xlfn.XLOOKUP(H327,Sheet1!$G:$G,Sheet1!$F:$F),IFERROR(_xlfn.XLOOKUP(1,(--($X$2:$X$1074=X327))*(--ISNUMBER(MATCH($H$2:$H$1074,Sheet1!$G:$G,0))),_xlfn.XLOOKUP($H$2:$H$1074,Sheet1!$G:$G,Sheet1!$F:$F,"")),"NOT FOUND"))</f>
        <v>GETKRTSCUT5008</v>
      </c>
      <c r="AF327" s="9" t="str">
        <f t="shared" si="24"/>
        <v>BLACK</v>
      </c>
      <c r="AG327" s="10" t="str">
        <f t="shared" si="25"/>
        <v>JHAJJAR</v>
      </c>
      <c r="AH327" s="8" t="str" cm="1">
        <f t="array" ref="AH327">IF(OR(J327="",AE327="",AE327="NOT FOUND"),"",IF(Y327="RP",_xlfn.LET(_xlpm.desc,_xlfn.XLOOKUP(1,(--(Sheet1!$F$2:$F$754=AE327))*(--ISNUMBER(FIND("-",Sheet1!$W$2:$W$754,FIND("-",Sheet1!$W$2:$W$754)+1))),Sheet1!$W$2:$W$754,""),IF(_xlpm.desc="","NOT FOUND",LEFT(_xlpm.desc,FIND("-",_xlpm.desc,FIND("-",_xlpm.desc)+1))&amp;AE327)),LEFT(J327,FIND("-",J327,FIND("-",J327)+1))&amp;AE327))</f>
        <v>KRTS-APWN26-GETKRTSCUT5008</v>
      </c>
    </row>
    <row r="328" spans="1:34" ht="15.75" customHeight="1" x14ac:dyDescent="0.2">
      <c r="A328" t="s">
        <v>59</v>
      </c>
      <c r="B328" t="s">
        <v>1098</v>
      </c>
      <c r="C328" t="s">
        <v>371</v>
      </c>
      <c r="D328" t="s">
        <v>1156</v>
      </c>
      <c r="E328" t="s">
        <v>34</v>
      </c>
      <c r="F328" t="s">
        <v>35</v>
      </c>
      <c r="G328" t="s">
        <v>51</v>
      </c>
      <c r="H328" t="s">
        <v>1086</v>
      </c>
      <c r="I328" t="s">
        <v>1087</v>
      </c>
      <c r="J328" t="s">
        <v>1088</v>
      </c>
      <c r="K328" t="s">
        <v>474</v>
      </c>
      <c r="L328" t="s">
        <v>40</v>
      </c>
      <c r="M328">
        <v>1</v>
      </c>
      <c r="N328">
        <v>240</v>
      </c>
      <c r="O328">
        <v>240</v>
      </c>
      <c r="P328" t="s">
        <v>41</v>
      </c>
      <c r="Q328">
        <v>249.7</v>
      </c>
      <c r="R328">
        <v>249.7</v>
      </c>
      <c r="S328">
        <v>2996.4</v>
      </c>
      <c r="T328">
        <v>59928</v>
      </c>
      <c r="U328">
        <v>5</v>
      </c>
      <c r="V328" t="s">
        <v>42</v>
      </c>
      <c r="W328" t="s">
        <v>474</v>
      </c>
      <c r="X328" s="6" t="str">
        <f t="shared" si="15"/>
        <v>441814701</v>
      </c>
      <c r="Y328" s="7" t="str">
        <f t="shared" si="16"/>
        <v>DC</v>
      </c>
      <c r="Z328" s="7">
        <f t="shared" si="17"/>
        <v>0</v>
      </c>
      <c r="AA328" s="7">
        <f t="shared" si="18"/>
        <v>0</v>
      </c>
      <c r="AB328" s="7">
        <f t="shared" si="19"/>
        <v>0</v>
      </c>
      <c r="AC328" s="7">
        <f t="shared" si="20"/>
        <v>240</v>
      </c>
      <c r="AD328" s="7">
        <f t="shared" si="21"/>
        <v>0</v>
      </c>
      <c r="AE328" s="8" t="str" cm="1">
        <f t="array" ref="AE328">IFERROR(_xlfn.XLOOKUP(H328,Sheet1!$G:$G,Sheet1!$F:$F),IFERROR(_xlfn.XLOOKUP(1,(--($X$2:$X$1074=X328))*(--ISNUMBER(MATCH($H$2:$H$1074,Sheet1!$G:$G,0))),_xlfn.XLOOKUP($H$2:$H$1074,Sheet1!$G:$G,Sheet1!$F:$F,"")),"NOT FOUND"))</f>
        <v>GETKRTSCUT5008</v>
      </c>
      <c r="AF328" s="9" t="str">
        <f t="shared" si="24"/>
        <v>BLACK</v>
      </c>
      <c r="AG328" s="10" t="str">
        <f t="shared" si="25"/>
        <v>JHAJJAR</v>
      </c>
      <c r="AH328" s="8" t="str" cm="1">
        <f t="array" ref="AH328">IF(OR(J328="",AE328="",AE328="NOT FOUND"),"",IF(Y328="RP",_xlfn.LET(_xlpm.desc,_xlfn.XLOOKUP(1,(--(Sheet1!$F$2:$F$754=AE328))*(--ISNUMBER(FIND("-",Sheet1!$W$2:$W$754,FIND("-",Sheet1!$W$2:$W$754)+1))),Sheet1!$W$2:$W$754,""),IF(_xlpm.desc="","NOT FOUND",LEFT(_xlpm.desc,FIND("-",_xlpm.desc,FIND("-",_xlpm.desc)+1))&amp;AE328)),LEFT(J328,FIND("-",J328,FIND("-",J328)+1))&amp;AE328))</f>
        <v>KRTS-APWN26-GETKRTSCUT5008</v>
      </c>
    </row>
    <row r="329" spans="1:34" ht="15.75" customHeight="1" x14ac:dyDescent="0.2">
      <c r="A329" t="s">
        <v>59</v>
      </c>
      <c r="B329" t="s">
        <v>1098</v>
      </c>
      <c r="C329" t="s">
        <v>371</v>
      </c>
      <c r="D329" t="s">
        <v>1156</v>
      </c>
      <c r="E329" t="s">
        <v>34</v>
      </c>
      <c r="F329" t="s">
        <v>35</v>
      </c>
      <c r="G329" t="s">
        <v>55</v>
      </c>
      <c r="H329" t="s">
        <v>1089</v>
      </c>
      <c r="I329" t="s">
        <v>1090</v>
      </c>
      <c r="J329" t="s">
        <v>1092</v>
      </c>
      <c r="K329" t="s">
        <v>474</v>
      </c>
      <c r="L329" t="s">
        <v>40</v>
      </c>
      <c r="M329">
        <v>1</v>
      </c>
      <c r="N329">
        <v>85</v>
      </c>
      <c r="O329">
        <v>85</v>
      </c>
      <c r="P329" t="s">
        <v>41</v>
      </c>
      <c r="Q329">
        <v>249.7</v>
      </c>
      <c r="R329">
        <v>249.7</v>
      </c>
      <c r="S329">
        <v>1061.23</v>
      </c>
      <c r="T329">
        <v>21224.5</v>
      </c>
      <c r="U329">
        <v>5</v>
      </c>
      <c r="V329" t="s">
        <v>42</v>
      </c>
      <c r="W329" t="s">
        <v>474</v>
      </c>
      <c r="X329" s="6" t="str">
        <f t="shared" si="15"/>
        <v>441814701</v>
      </c>
      <c r="Y329" s="7" t="str">
        <f t="shared" si="16"/>
        <v>DC</v>
      </c>
      <c r="Z329" s="7">
        <f t="shared" si="17"/>
        <v>0</v>
      </c>
      <c r="AA329" s="7">
        <f t="shared" si="18"/>
        <v>0</v>
      </c>
      <c r="AB329" s="7">
        <f t="shared" si="19"/>
        <v>0</v>
      </c>
      <c r="AC329" s="7">
        <f t="shared" si="20"/>
        <v>0</v>
      </c>
      <c r="AD329" s="7">
        <f t="shared" si="21"/>
        <v>85</v>
      </c>
      <c r="AE329" s="8" t="str" cm="1">
        <f t="array" ref="AE329">IFERROR(_xlfn.XLOOKUP(H329,Sheet1!$G:$G,Sheet1!$F:$F),IFERROR(_xlfn.XLOOKUP(1,(--($X$2:$X$1074=X329))*(--ISNUMBER(MATCH($H$2:$H$1074,Sheet1!$G:$G,0))),_xlfn.XLOOKUP($H$2:$H$1074,Sheet1!$G:$G,Sheet1!$F:$F,"")),"NOT FOUND"))</f>
        <v>GETKRTSCUT5008</v>
      </c>
      <c r="AF329" s="9" t="str">
        <f t="shared" si="24"/>
        <v>BLACK</v>
      </c>
      <c r="AG329" s="10" t="str">
        <f t="shared" si="25"/>
        <v>JHAJJAR</v>
      </c>
      <c r="AH329" s="8" t="str" cm="1">
        <f t="array" ref="AH329">IF(OR(J329="",AE329="",AE329="NOT FOUND"),"",IF(Y329="RP",_xlfn.LET(_xlpm.desc,_xlfn.XLOOKUP(1,(--(Sheet1!$F$2:$F$754=AE329))*(--ISNUMBER(FIND("-",Sheet1!$W$2:$W$754,FIND("-",Sheet1!$W$2:$W$754)+1))),Sheet1!$W$2:$W$754,""),IF(_xlpm.desc="","NOT FOUND",LEFT(_xlpm.desc,FIND("-",_xlpm.desc,FIND("-",_xlpm.desc)+1))&amp;AE329)),LEFT(J329,FIND("-",J329,FIND("-",J329)+1))&amp;AE329))</f>
        <v>KRTS-APWN26-GETKRTSCUT5008</v>
      </c>
    </row>
    <row r="330" spans="1:34" ht="15.75" customHeight="1" x14ac:dyDescent="0.2">
      <c r="A330" t="s">
        <v>61</v>
      </c>
      <c r="B330" t="s">
        <v>1101</v>
      </c>
      <c r="C330" t="s">
        <v>371</v>
      </c>
      <c r="D330" t="s">
        <v>1156</v>
      </c>
      <c r="E330" t="s">
        <v>34</v>
      </c>
      <c r="F330" t="s">
        <v>35</v>
      </c>
      <c r="G330" t="s">
        <v>36</v>
      </c>
      <c r="H330" t="s">
        <v>1020</v>
      </c>
      <c r="I330" t="s">
        <v>1021</v>
      </c>
      <c r="J330" t="s">
        <v>1023</v>
      </c>
      <c r="K330" t="s">
        <v>474</v>
      </c>
      <c r="L330" t="s">
        <v>40</v>
      </c>
      <c r="M330">
        <v>1</v>
      </c>
      <c r="N330">
        <v>44</v>
      </c>
      <c r="O330">
        <v>44</v>
      </c>
      <c r="P330" t="s">
        <v>41</v>
      </c>
      <c r="Q330">
        <v>249.7</v>
      </c>
      <c r="R330">
        <v>249.7</v>
      </c>
      <c r="S330">
        <v>549.34</v>
      </c>
      <c r="T330">
        <v>10986.8</v>
      </c>
      <c r="U330">
        <v>5</v>
      </c>
      <c r="V330" t="s">
        <v>42</v>
      </c>
      <c r="W330" t="s">
        <v>474</v>
      </c>
      <c r="X330" s="6" t="str">
        <f t="shared" si="15"/>
        <v>441814704</v>
      </c>
      <c r="Y330" s="7" t="str">
        <f t="shared" si="16"/>
        <v>DC</v>
      </c>
      <c r="Z330" s="7">
        <f t="shared" si="17"/>
        <v>44</v>
      </c>
      <c r="AA330" s="7">
        <f t="shared" si="18"/>
        <v>0</v>
      </c>
      <c r="AB330" s="7">
        <f t="shared" si="19"/>
        <v>0</v>
      </c>
      <c r="AC330" s="7">
        <f t="shared" si="20"/>
        <v>0</v>
      </c>
      <c r="AD330" s="7">
        <f t="shared" si="21"/>
        <v>0</v>
      </c>
      <c r="AE330" s="8" t="str" cm="1">
        <f t="array" ref="AE330">IFERROR(_xlfn.XLOOKUP(H330,Sheet1!$G:$G,Sheet1!$F:$F),IFERROR(_xlfn.XLOOKUP(1,(--($X$2:$X$1074=X330))*(--ISNUMBER(MATCH($H$2:$H$1074,Sheet1!$G:$G,0))),_xlfn.XLOOKUP($H$2:$H$1074,Sheet1!$G:$G,Sheet1!$F:$F,"")),"NOT FOUND"))</f>
        <v>GETKRTSCUT5008D</v>
      </c>
      <c r="AF330" s="9" t="str">
        <f t="shared" si="24"/>
        <v>MUSTARD</v>
      </c>
      <c r="AG330" s="10" t="str">
        <f t="shared" si="25"/>
        <v>HARIPAL</v>
      </c>
      <c r="AH330" s="8" t="str" cm="1">
        <f t="array" ref="AH330">IF(OR(J330="",AE330="",AE330="NOT FOUND"),"",IF(Y330="RP",_xlfn.LET(_xlpm.desc,_xlfn.XLOOKUP(1,(--(Sheet1!$F$2:$F$754=AE330))*(--ISNUMBER(FIND("-",Sheet1!$W$2:$W$754,FIND("-",Sheet1!$W$2:$W$754)+1))),Sheet1!$W$2:$W$754,""),IF(_xlpm.desc="","NOT FOUND",LEFT(_xlpm.desc,FIND("-",_xlpm.desc,FIND("-",_xlpm.desc)+1))&amp;AE330)),LEFT(J330,FIND("-",J330,FIND("-",J330)+1))&amp;AE330))</f>
        <v>KRTS-APWN26-GETKRTSCUT5008D</v>
      </c>
    </row>
    <row r="331" spans="1:34" ht="15.75" customHeight="1" x14ac:dyDescent="0.2">
      <c r="A331" t="s">
        <v>61</v>
      </c>
      <c r="B331" t="s">
        <v>1101</v>
      </c>
      <c r="C331" t="s">
        <v>371</v>
      </c>
      <c r="D331" t="s">
        <v>1156</v>
      </c>
      <c r="E331" t="s">
        <v>34</v>
      </c>
      <c r="F331" t="s">
        <v>35</v>
      </c>
      <c r="G331" t="s">
        <v>43</v>
      </c>
      <c r="H331" t="s">
        <v>1024</v>
      </c>
      <c r="I331" t="s">
        <v>1025</v>
      </c>
      <c r="J331" t="s">
        <v>1026</v>
      </c>
      <c r="K331" t="s">
        <v>474</v>
      </c>
      <c r="L331" t="s">
        <v>40</v>
      </c>
      <c r="M331">
        <v>1</v>
      </c>
      <c r="N331">
        <v>187</v>
      </c>
      <c r="O331">
        <v>187</v>
      </c>
      <c r="P331" t="s">
        <v>41</v>
      </c>
      <c r="Q331">
        <v>249.7</v>
      </c>
      <c r="R331">
        <v>249.7</v>
      </c>
      <c r="S331">
        <v>2334.6999999999998</v>
      </c>
      <c r="T331">
        <v>46693.9</v>
      </c>
      <c r="U331">
        <v>5</v>
      </c>
      <c r="V331" t="s">
        <v>42</v>
      </c>
      <c r="W331" t="s">
        <v>474</v>
      </c>
      <c r="X331" s="6" t="str">
        <f t="shared" si="15"/>
        <v>441814704</v>
      </c>
      <c r="Y331" s="7" t="str">
        <f t="shared" si="16"/>
        <v>DC</v>
      </c>
      <c r="Z331" s="7">
        <f t="shared" si="17"/>
        <v>0</v>
      </c>
      <c r="AA331" s="7">
        <f t="shared" si="18"/>
        <v>187</v>
      </c>
      <c r="AB331" s="7">
        <f t="shared" si="19"/>
        <v>0</v>
      </c>
      <c r="AC331" s="7">
        <f t="shared" si="20"/>
        <v>0</v>
      </c>
      <c r="AD331" s="7">
        <f t="shared" si="21"/>
        <v>0</v>
      </c>
      <c r="AE331" s="8" t="str" cm="1">
        <f t="array" ref="AE331">IFERROR(_xlfn.XLOOKUP(H331,Sheet1!$G:$G,Sheet1!$F:$F),IFERROR(_xlfn.XLOOKUP(1,(--($X$2:$X$1074=X331))*(--ISNUMBER(MATCH($H$2:$H$1074,Sheet1!$G:$G,0))),_xlfn.XLOOKUP($H$2:$H$1074,Sheet1!$G:$G,Sheet1!$F:$F,"")),"NOT FOUND"))</f>
        <v>GETKRTSCUT5008D</v>
      </c>
      <c r="AF331" s="9" t="str">
        <f t="shared" si="24"/>
        <v>MUSTARD</v>
      </c>
      <c r="AG331" s="10" t="str">
        <f t="shared" si="25"/>
        <v>HARIPAL</v>
      </c>
      <c r="AH331" s="8" t="str" cm="1">
        <f t="array" ref="AH331">IF(OR(J331="",AE331="",AE331="NOT FOUND"),"",IF(Y331="RP",_xlfn.LET(_xlpm.desc,_xlfn.XLOOKUP(1,(--(Sheet1!$F$2:$F$754=AE331))*(--ISNUMBER(FIND("-",Sheet1!$W$2:$W$754,FIND("-",Sheet1!$W$2:$W$754)+1))),Sheet1!$W$2:$W$754,""),IF(_xlpm.desc="","NOT FOUND",LEFT(_xlpm.desc,FIND("-",_xlpm.desc,FIND("-",_xlpm.desc)+1))&amp;AE331)),LEFT(J331,FIND("-",J331,FIND("-",J331)+1))&amp;AE331))</f>
        <v>KRTS-APWN26-GETKRTSCUT5008D</v>
      </c>
    </row>
    <row r="332" spans="1:34" ht="15.75" customHeight="1" x14ac:dyDescent="0.2">
      <c r="A332" t="s">
        <v>61</v>
      </c>
      <c r="B332" t="s">
        <v>1101</v>
      </c>
      <c r="C332" t="s">
        <v>371</v>
      </c>
      <c r="D332" t="s">
        <v>1156</v>
      </c>
      <c r="E332" t="s">
        <v>34</v>
      </c>
      <c r="F332" t="s">
        <v>35</v>
      </c>
      <c r="G332" t="s">
        <v>47</v>
      </c>
      <c r="H332" t="s">
        <v>1027</v>
      </c>
      <c r="I332" t="s">
        <v>1028</v>
      </c>
      <c r="J332" t="s">
        <v>1029</v>
      </c>
      <c r="K332" t="s">
        <v>474</v>
      </c>
      <c r="L332" t="s">
        <v>40</v>
      </c>
      <c r="M332">
        <v>1</v>
      </c>
      <c r="N332">
        <v>176</v>
      </c>
      <c r="O332">
        <v>176</v>
      </c>
      <c r="P332" t="s">
        <v>41</v>
      </c>
      <c r="Q332">
        <v>249.7</v>
      </c>
      <c r="R332">
        <v>249.7</v>
      </c>
      <c r="S332">
        <v>2197.36</v>
      </c>
      <c r="T332">
        <v>43947.199999999997</v>
      </c>
      <c r="U332">
        <v>5</v>
      </c>
      <c r="V332" t="s">
        <v>42</v>
      </c>
      <c r="W332" t="s">
        <v>474</v>
      </c>
      <c r="X332" s="6" t="str">
        <f t="shared" si="15"/>
        <v>441814704</v>
      </c>
      <c r="Y332" s="7" t="str">
        <f t="shared" si="16"/>
        <v>DC</v>
      </c>
      <c r="Z332" s="7">
        <f t="shared" si="17"/>
        <v>0</v>
      </c>
      <c r="AA332" s="7">
        <f t="shared" si="18"/>
        <v>0</v>
      </c>
      <c r="AB332" s="7">
        <f t="shared" si="19"/>
        <v>176</v>
      </c>
      <c r="AC332" s="7">
        <f t="shared" si="20"/>
        <v>0</v>
      </c>
      <c r="AD332" s="7">
        <f t="shared" si="21"/>
        <v>0</v>
      </c>
      <c r="AE332" s="8" t="str" cm="1">
        <f t="array" ref="AE332">IFERROR(_xlfn.XLOOKUP(H332,Sheet1!$G:$G,Sheet1!$F:$F),IFERROR(_xlfn.XLOOKUP(1,(--($X$2:$X$1074=X332))*(--ISNUMBER(MATCH($H$2:$H$1074,Sheet1!$G:$G,0))),_xlfn.XLOOKUP($H$2:$H$1074,Sheet1!$G:$G,Sheet1!$F:$F,"")),"NOT FOUND"))</f>
        <v>GETKRTSCUT5008D</v>
      </c>
      <c r="AF332" s="9" t="str">
        <f t="shared" si="24"/>
        <v>MUSTARD</v>
      </c>
      <c r="AG332" s="10" t="str">
        <f t="shared" si="25"/>
        <v>HARIPAL</v>
      </c>
      <c r="AH332" s="8" t="str" cm="1">
        <f t="array" ref="AH332">IF(OR(J332="",AE332="",AE332="NOT FOUND"),"",IF(Y332="RP",_xlfn.LET(_xlpm.desc,_xlfn.XLOOKUP(1,(--(Sheet1!$F$2:$F$754=AE332))*(--ISNUMBER(FIND("-",Sheet1!$W$2:$W$754,FIND("-",Sheet1!$W$2:$W$754)+1))),Sheet1!$W$2:$W$754,""),IF(_xlpm.desc="","NOT FOUND",LEFT(_xlpm.desc,FIND("-",_xlpm.desc,FIND("-",_xlpm.desc)+1))&amp;AE332)),LEFT(J332,FIND("-",J332,FIND("-",J332)+1))&amp;AE332))</f>
        <v>KRTS-APWN26-GETKRTSCUT5008D</v>
      </c>
    </row>
    <row r="333" spans="1:34" ht="15.75" customHeight="1" x14ac:dyDescent="0.2">
      <c r="A333" t="s">
        <v>61</v>
      </c>
      <c r="B333" t="s">
        <v>1101</v>
      </c>
      <c r="C333" t="s">
        <v>371</v>
      </c>
      <c r="D333" t="s">
        <v>1156</v>
      </c>
      <c r="E333" t="s">
        <v>34</v>
      </c>
      <c r="F333" t="s">
        <v>35</v>
      </c>
      <c r="G333" t="s">
        <v>51</v>
      </c>
      <c r="H333" t="s">
        <v>1030</v>
      </c>
      <c r="I333" t="s">
        <v>1031</v>
      </c>
      <c r="J333" t="s">
        <v>1032</v>
      </c>
      <c r="K333" t="s">
        <v>474</v>
      </c>
      <c r="L333" t="s">
        <v>40</v>
      </c>
      <c r="M333">
        <v>1</v>
      </c>
      <c r="N333">
        <v>187</v>
      </c>
      <c r="O333">
        <v>187</v>
      </c>
      <c r="P333" t="s">
        <v>41</v>
      </c>
      <c r="Q333">
        <v>249.7</v>
      </c>
      <c r="R333">
        <v>249.7</v>
      </c>
      <c r="S333">
        <v>2334.6999999999998</v>
      </c>
      <c r="T333">
        <v>46693.9</v>
      </c>
      <c r="U333">
        <v>5</v>
      </c>
      <c r="V333" t="s">
        <v>42</v>
      </c>
      <c r="W333" t="s">
        <v>474</v>
      </c>
      <c r="X333" s="6" t="str">
        <f t="shared" si="15"/>
        <v>441814704</v>
      </c>
      <c r="Y333" s="7" t="str">
        <f t="shared" si="16"/>
        <v>DC</v>
      </c>
      <c r="Z333" s="7">
        <f t="shared" si="17"/>
        <v>0</v>
      </c>
      <c r="AA333" s="7">
        <f t="shared" si="18"/>
        <v>0</v>
      </c>
      <c r="AB333" s="7">
        <f t="shared" si="19"/>
        <v>0</v>
      </c>
      <c r="AC333" s="7">
        <f t="shared" si="20"/>
        <v>187</v>
      </c>
      <c r="AD333" s="7">
        <f t="shared" si="21"/>
        <v>0</v>
      </c>
      <c r="AE333" s="8" t="str" cm="1">
        <f t="array" ref="AE333">IFERROR(_xlfn.XLOOKUP(H333,Sheet1!$G:$G,Sheet1!$F:$F),IFERROR(_xlfn.XLOOKUP(1,(--($X$2:$X$1074=X333))*(--ISNUMBER(MATCH($H$2:$H$1074,Sheet1!$G:$G,0))),_xlfn.XLOOKUP($H$2:$H$1074,Sheet1!$G:$G,Sheet1!$F:$F,"")),"NOT FOUND"))</f>
        <v>GETKRTSCUT5008D</v>
      </c>
      <c r="AF333" s="9" t="str">
        <f t="shared" si="24"/>
        <v>MUSTARD</v>
      </c>
      <c r="AG333" s="10" t="str">
        <f t="shared" si="25"/>
        <v>HARIPAL</v>
      </c>
      <c r="AH333" s="8" t="str" cm="1">
        <f t="array" ref="AH333">IF(OR(J333="",AE333="",AE333="NOT FOUND"),"",IF(Y333="RP",_xlfn.LET(_xlpm.desc,_xlfn.XLOOKUP(1,(--(Sheet1!$F$2:$F$754=AE333))*(--ISNUMBER(FIND("-",Sheet1!$W$2:$W$754,FIND("-",Sheet1!$W$2:$W$754)+1))),Sheet1!$W$2:$W$754,""),IF(_xlpm.desc="","NOT FOUND",LEFT(_xlpm.desc,FIND("-",_xlpm.desc,FIND("-",_xlpm.desc)+1))&amp;AE333)),LEFT(J333,FIND("-",J333,FIND("-",J333)+1))&amp;AE333))</f>
        <v>KRTS-APWN26-GETKRTSCUT5008D</v>
      </c>
    </row>
    <row r="334" spans="1:34" ht="15.75" customHeight="1" x14ac:dyDescent="0.2">
      <c r="A334" t="s">
        <v>61</v>
      </c>
      <c r="B334" t="s">
        <v>1101</v>
      </c>
      <c r="C334" t="s">
        <v>371</v>
      </c>
      <c r="D334" t="s">
        <v>1156</v>
      </c>
      <c r="E334" t="s">
        <v>34</v>
      </c>
      <c r="F334" t="s">
        <v>35</v>
      </c>
      <c r="G334" t="s">
        <v>55</v>
      </c>
      <c r="H334" t="s">
        <v>1033</v>
      </c>
      <c r="I334" t="s">
        <v>1034</v>
      </c>
      <c r="J334" t="s">
        <v>1036</v>
      </c>
      <c r="K334" t="s">
        <v>474</v>
      </c>
      <c r="L334" t="s">
        <v>40</v>
      </c>
      <c r="M334">
        <v>1</v>
      </c>
      <c r="N334">
        <v>66</v>
      </c>
      <c r="O334">
        <v>66</v>
      </c>
      <c r="P334" t="s">
        <v>41</v>
      </c>
      <c r="Q334">
        <v>249.7</v>
      </c>
      <c r="R334">
        <v>249.7</v>
      </c>
      <c r="S334">
        <v>824.01</v>
      </c>
      <c r="T334">
        <v>16480.2</v>
      </c>
      <c r="U334">
        <v>5</v>
      </c>
      <c r="V334" t="s">
        <v>42</v>
      </c>
      <c r="W334" t="s">
        <v>474</v>
      </c>
      <c r="X334" s="6" t="str">
        <f t="shared" si="15"/>
        <v>441814704</v>
      </c>
      <c r="Y334" s="7" t="str">
        <f t="shared" si="16"/>
        <v>DC</v>
      </c>
      <c r="Z334" s="7">
        <f t="shared" si="17"/>
        <v>0</v>
      </c>
      <c r="AA334" s="7">
        <f t="shared" si="18"/>
        <v>0</v>
      </c>
      <c r="AB334" s="7">
        <f t="shared" si="19"/>
        <v>0</v>
      </c>
      <c r="AC334" s="7">
        <f t="shared" si="20"/>
        <v>0</v>
      </c>
      <c r="AD334" s="7">
        <f t="shared" si="21"/>
        <v>66</v>
      </c>
      <c r="AE334" s="8" t="str" cm="1">
        <f t="array" ref="AE334">IFERROR(_xlfn.XLOOKUP(H334,Sheet1!$G:$G,Sheet1!$F:$F),IFERROR(_xlfn.XLOOKUP(1,(--($X$2:$X$1074=X334))*(--ISNUMBER(MATCH($H$2:$H$1074,Sheet1!$G:$G,0))),_xlfn.XLOOKUP($H$2:$H$1074,Sheet1!$G:$G,Sheet1!$F:$F,"")),"NOT FOUND"))</f>
        <v>GETKRTSCUT5008D</v>
      </c>
      <c r="AF334" s="9" t="str">
        <f t="shared" si="24"/>
        <v>MUSTARD</v>
      </c>
      <c r="AG334" s="10" t="str">
        <f t="shared" si="25"/>
        <v>HARIPAL</v>
      </c>
      <c r="AH334" s="8" t="str" cm="1">
        <f t="array" ref="AH334">IF(OR(J334="",AE334="",AE334="NOT FOUND"),"",IF(Y334="RP",_xlfn.LET(_xlpm.desc,_xlfn.XLOOKUP(1,(--(Sheet1!$F$2:$F$754=AE334))*(--ISNUMBER(FIND("-",Sheet1!$W$2:$W$754,FIND("-",Sheet1!$W$2:$W$754)+1))),Sheet1!$W$2:$W$754,""),IF(_xlpm.desc="","NOT FOUND",LEFT(_xlpm.desc,FIND("-",_xlpm.desc,FIND("-",_xlpm.desc)+1))&amp;AE334)),LEFT(J334,FIND("-",J334,FIND("-",J334)+1))&amp;AE334))</f>
        <v>KRTS-APWN26-GETKRTSCUT5008D</v>
      </c>
    </row>
    <row r="335" spans="1:34" ht="15.75" customHeight="1" x14ac:dyDescent="0.2">
      <c r="A335" t="s">
        <v>61</v>
      </c>
      <c r="B335" t="s">
        <v>1102</v>
      </c>
      <c r="C335" t="s">
        <v>371</v>
      </c>
      <c r="D335" t="s">
        <v>1156</v>
      </c>
      <c r="E335" t="s">
        <v>34</v>
      </c>
      <c r="F335" t="s">
        <v>35</v>
      </c>
      <c r="G335" t="s">
        <v>36</v>
      </c>
      <c r="H335" t="s">
        <v>1039</v>
      </c>
      <c r="I335" t="s">
        <v>1040</v>
      </c>
      <c r="J335" t="s">
        <v>1041</v>
      </c>
      <c r="K335" t="s">
        <v>474</v>
      </c>
      <c r="L335" t="s">
        <v>40</v>
      </c>
      <c r="M335">
        <v>1</v>
      </c>
      <c r="N335">
        <v>46</v>
      </c>
      <c r="O335">
        <v>46</v>
      </c>
      <c r="P335" t="s">
        <v>41</v>
      </c>
      <c r="Q335">
        <v>249.7</v>
      </c>
      <c r="R335">
        <v>249.7</v>
      </c>
      <c r="S335">
        <v>574.30999999999995</v>
      </c>
      <c r="T335">
        <v>11486.2</v>
      </c>
      <c r="U335">
        <v>5</v>
      </c>
      <c r="V335" t="s">
        <v>42</v>
      </c>
      <c r="W335" t="s">
        <v>474</v>
      </c>
      <c r="X335" s="6" t="str">
        <f t="shared" si="15"/>
        <v>441814703</v>
      </c>
      <c r="Y335" s="7" t="str">
        <f t="shared" si="16"/>
        <v>DC</v>
      </c>
      <c r="Z335" s="7">
        <f t="shared" si="17"/>
        <v>46</v>
      </c>
      <c r="AA335" s="7">
        <f t="shared" si="18"/>
        <v>0</v>
      </c>
      <c r="AB335" s="7">
        <f t="shared" si="19"/>
        <v>0</v>
      </c>
      <c r="AC335" s="7">
        <f t="shared" si="20"/>
        <v>0</v>
      </c>
      <c r="AD335" s="7">
        <f t="shared" si="21"/>
        <v>0</v>
      </c>
      <c r="AE335" s="8" t="str" cm="1">
        <f t="array" ref="AE335">IFERROR(_xlfn.XLOOKUP(H335,Sheet1!$G:$G,Sheet1!$F:$F),IFERROR(_xlfn.XLOOKUP(1,(--($X$2:$X$1074=X335))*(--ISNUMBER(MATCH($H$2:$H$1074,Sheet1!$G:$G,0))),_xlfn.XLOOKUP($H$2:$H$1074,Sheet1!$G:$G,Sheet1!$F:$F,"")),"NOT FOUND"))</f>
        <v>GETKRTSCUT5008C</v>
      </c>
      <c r="AF335" s="9" t="str">
        <f t="shared" si="24"/>
        <v>RED</v>
      </c>
      <c r="AG335" s="10" t="str">
        <f t="shared" si="25"/>
        <v>HARIPAL</v>
      </c>
      <c r="AH335" s="8" t="str" cm="1">
        <f t="array" ref="AH335">IF(OR(J335="",AE335="",AE335="NOT FOUND"),"",IF(Y335="RP",_xlfn.LET(_xlpm.desc,_xlfn.XLOOKUP(1,(--(Sheet1!$F$2:$F$754=AE335))*(--ISNUMBER(FIND("-",Sheet1!$W$2:$W$754,FIND("-",Sheet1!$W$2:$W$754)+1))),Sheet1!$W$2:$W$754,""),IF(_xlpm.desc="","NOT FOUND",LEFT(_xlpm.desc,FIND("-",_xlpm.desc,FIND("-",_xlpm.desc)+1))&amp;AE335)),LEFT(J335,FIND("-",J335,FIND("-",J335)+1))&amp;AE335))</f>
        <v>KRTS-APWN26-GETKRTSCUT5008C</v>
      </c>
    </row>
    <row r="336" spans="1:34" ht="15.75" customHeight="1" x14ac:dyDescent="0.2">
      <c r="A336" t="s">
        <v>61</v>
      </c>
      <c r="B336" t="s">
        <v>1102</v>
      </c>
      <c r="C336" t="s">
        <v>371</v>
      </c>
      <c r="D336" t="s">
        <v>1156</v>
      </c>
      <c r="E336" t="s">
        <v>34</v>
      </c>
      <c r="F336" t="s">
        <v>35</v>
      </c>
      <c r="G336" t="s">
        <v>43</v>
      </c>
      <c r="H336" t="s">
        <v>1042</v>
      </c>
      <c r="I336" t="s">
        <v>1043</v>
      </c>
      <c r="J336" t="s">
        <v>1044</v>
      </c>
      <c r="K336" t="s">
        <v>474</v>
      </c>
      <c r="L336" t="s">
        <v>40</v>
      </c>
      <c r="M336">
        <v>1</v>
      </c>
      <c r="N336">
        <v>196</v>
      </c>
      <c r="O336">
        <v>196</v>
      </c>
      <c r="P336" t="s">
        <v>41</v>
      </c>
      <c r="Q336">
        <v>249.7</v>
      </c>
      <c r="R336">
        <v>249.7</v>
      </c>
      <c r="S336">
        <v>2447.06</v>
      </c>
      <c r="T336">
        <v>48941.2</v>
      </c>
      <c r="U336">
        <v>5</v>
      </c>
      <c r="V336" t="s">
        <v>42</v>
      </c>
      <c r="W336" t="s">
        <v>474</v>
      </c>
      <c r="X336" s="6" t="str">
        <f t="shared" si="15"/>
        <v>441814703</v>
      </c>
      <c r="Y336" s="7" t="str">
        <f t="shared" si="16"/>
        <v>DC</v>
      </c>
      <c r="Z336" s="7">
        <f t="shared" si="17"/>
        <v>0</v>
      </c>
      <c r="AA336" s="7">
        <f t="shared" si="18"/>
        <v>196</v>
      </c>
      <c r="AB336" s="7">
        <f t="shared" si="19"/>
        <v>0</v>
      </c>
      <c r="AC336" s="7">
        <f t="shared" si="20"/>
        <v>0</v>
      </c>
      <c r="AD336" s="7">
        <f t="shared" si="21"/>
        <v>0</v>
      </c>
      <c r="AE336" s="8" t="str" cm="1">
        <f t="array" ref="AE336">IFERROR(_xlfn.XLOOKUP(H336,Sheet1!$G:$G,Sheet1!$F:$F),IFERROR(_xlfn.XLOOKUP(1,(--($X$2:$X$1074=X336))*(--ISNUMBER(MATCH($H$2:$H$1074,Sheet1!$G:$G,0))),_xlfn.XLOOKUP($H$2:$H$1074,Sheet1!$G:$G,Sheet1!$F:$F,"")),"NOT FOUND"))</f>
        <v>GETKRTSCUT5008C</v>
      </c>
      <c r="AF336" s="9" t="str">
        <f t="shared" si="24"/>
        <v>RED</v>
      </c>
      <c r="AG336" s="10" t="str">
        <f t="shared" si="25"/>
        <v>HARIPAL</v>
      </c>
      <c r="AH336" s="8" t="str" cm="1">
        <f t="array" ref="AH336">IF(OR(J336="",AE336="",AE336="NOT FOUND"),"",IF(Y336="RP",_xlfn.LET(_xlpm.desc,_xlfn.XLOOKUP(1,(--(Sheet1!$F$2:$F$754=AE336))*(--ISNUMBER(FIND("-",Sheet1!$W$2:$W$754,FIND("-",Sheet1!$W$2:$W$754)+1))),Sheet1!$W$2:$W$754,""),IF(_xlpm.desc="","NOT FOUND",LEFT(_xlpm.desc,FIND("-",_xlpm.desc,FIND("-",_xlpm.desc)+1))&amp;AE336)),LEFT(J336,FIND("-",J336,FIND("-",J336)+1))&amp;AE336))</f>
        <v>KRTS-APWN26-GETKRTSCUT5008C</v>
      </c>
    </row>
    <row r="337" spans="1:34" ht="15.75" customHeight="1" x14ac:dyDescent="0.2">
      <c r="A337" t="s">
        <v>61</v>
      </c>
      <c r="B337" t="s">
        <v>1102</v>
      </c>
      <c r="C337" t="s">
        <v>371</v>
      </c>
      <c r="D337" t="s">
        <v>1156</v>
      </c>
      <c r="E337" t="s">
        <v>34</v>
      </c>
      <c r="F337" t="s">
        <v>35</v>
      </c>
      <c r="G337" t="s">
        <v>47</v>
      </c>
      <c r="H337" t="s">
        <v>1045</v>
      </c>
      <c r="I337" t="s">
        <v>1046</v>
      </c>
      <c r="J337" t="s">
        <v>1048</v>
      </c>
      <c r="K337" t="s">
        <v>474</v>
      </c>
      <c r="L337" t="s">
        <v>40</v>
      </c>
      <c r="M337">
        <v>1</v>
      </c>
      <c r="N337">
        <v>185</v>
      </c>
      <c r="O337">
        <v>185</v>
      </c>
      <c r="P337" t="s">
        <v>41</v>
      </c>
      <c r="Q337">
        <v>249.7</v>
      </c>
      <c r="R337">
        <v>249.7</v>
      </c>
      <c r="S337">
        <v>2309.73</v>
      </c>
      <c r="T337">
        <v>46194.5</v>
      </c>
      <c r="U337">
        <v>5</v>
      </c>
      <c r="V337" t="s">
        <v>42</v>
      </c>
      <c r="W337" t="s">
        <v>474</v>
      </c>
      <c r="X337" s="6" t="str">
        <f t="shared" si="15"/>
        <v>441814703</v>
      </c>
      <c r="Y337" s="7" t="str">
        <f t="shared" si="16"/>
        <v>DC</v>
      </c>
      <c r="Z337" s="7">
        <f t="shared" si="17"/>
        <v>0</v>
      </c>
      <c r="AA337" s="7">
        <f t="shared" si="18"/>
        <v>0</v>
      </c>
      <c r="AB337" s="7">
        <f t="shared" si="19"/>
        <v>185</v>
      </c>
      <c r="AC337" s="7">
        <f t="shared" si="20"/>
        <v>0</v>
      </c>
      <c r="AD337" s="7">
        <f t="shared" si="21"/>
        <v>0</v>
      </c>
      <c r="AE337" s="8" t="str" cm="1">
        <f t="array" ref="AE337">IFERROR(_xlfn.XLOOKUP(H337,Sheet1!$G:$G,Sheet1!$F:$F),IFERROR(_xlfn.XLOOKUP(1,(--($X$2:$X$1074=X337))*(--ISNUMBER(MATCH($H$2:$H$1074,Sheet1!$G:$G,0))),_xlfn.XLOOKUP($H$2:$H$1074,Sheet1!$G:$G,Sheet1!$F:$F,"")),"NOT FOUND"))</f>
        <v>GETKRTSCUT5008C</v>
      </c>
      <c r="AF337" s="9" t="str">
        <f t="shared" si="24"/>
        <v>RED</v>
      </c>
      <c r="AG337" s="10" t="str">
        <f t="shared" si="25"/>
        <v>HARIPAL</v>
      </c>
      <c r="AH337" s="8" t="str" cm="1">
        <f t="array" ref="AH337">IF(OR(J337="",AE337="",AE337="NOT FOUND"),"",IF(Y337="RP",_xlfn.LET(_xlpm.desc,_xlfn.XLOOKUP(1,(--(Sheet1!$F$2:$F$754=AE337))*(--ISNUMBER(FIND("-",Sheet1!$W$2:$W$754,FIND("-",Sheet1!$W$2:$W$754)+1))),Sheet1!$W$2:$W$754,""),IF(_xlpm.desc="","NOT FOUND",LEFT(_xlpm.desc,FIND("-",_xlpm.desc,FIND("-",_xlpm.desc)+1))&amp;AE337)),LEFT(J337,FIND("-",J337,FIND("-",J337)+1))&amp;AE337))</f>
        <v>KRTS-APWN26-GETKRTSCUT5008C</v>
      </c>
    </row>
    <row r="338" spans="1:34" ht="15.75" customHeight="1" x14ac:dyDescent="0.2">
      <c r="A338" t="s">
        <v>61</v>
      </c>
      <c r="B338" t="s">
        <v>1102</v>
      </c>
      <c r="C338" t="s">
        <v>371</v>
      </c>
      <c r="D338" t="s">
        <v>1156</v>
      </c>
      <c r="E338" t="s">
        <v>34</v>
      </c>
      <c r="F338" t="s">
        <v>35</v>
      </c>
      <c r="G338" t="s">
        <v>51</v>
      </c>
      <c r="H338" t="s">
        <v>1049</v>
      </c>
      <c r="I338" t="s">
        <v>1050</v>
      </c>
      <c r="J338" t="s">
        <v>1051</v>
      </c>
      <c r="K338" t="s">
        <v>474</v>
      </c>
      <c r="L338" t="s">
        <v>40</v>
      </c>
      <c r="M338">
        <v>1</v>
      </c>
      <c r="N338">
        <v>196</v>
      </c>
      <c r="O338">
        <v>196</v>
      </c>
      <c r="P338" t="s">
        <v>41</v>
      </c>
      <c r="Q338">
        <v>249.7</v>
      </c>
      <c r="R338">
        <v>249.7</v>
      </c>
      <c r="S338">
        <v>2447.06</v>
      </c>
      <c r="T338">
        <v>48941.2</v>
      </c>
      <c r="U338">
        <v>5</v>
      </c>
      <c r="V338" t="s">
        <v>42</v>
      </c>
      <c r="W338" t="s">
        <v>474</v>
      </c>
      <c r="X338" s="6" t="str">
        <f t="shared" si="15"/>
        <v>441814703</v>
      </c>
      <c r="Y338" s="7" t="str">
        <f t="shared" si="16"/>
        <v>DC</v>
      </c>
      <c r="Z338" s="7">
        <f t="shared" si="17"/>
        <v>0</v>
      </c>
      <c r="AA338" s="7">
        <f t="shared" si="18"/>
        <v>0</v>
      </c>
      <c r="AB338" s="7">
        <f t="shared" si="19"/>
        <v>0</v>
      </c>
      <c r="AC338" s="7">
        <f t="shared" si="20"/>
        <v>196</v>
      </c>
      <c r="AD338" s="7">
        <f t="shared" si="21"/>
        <v>0</v>
      </c>
      <c r="AE338" s="8" t="str" cm="1">
        <f t="array" ref="AE338">IFERROR(_xlfn.XLOOKUP(H338,Sheet1!$G:$G,Sheet1!$F:$F),IFERROR(_xlfn.XLOOKUP(1,(--($X$2:$X$1074=X338))*(--ISNUMBER(MATCH($H$2:$H$1074,Sheet1!$G:$G,0))),_xlfn.XLOOKUP($H$2:$H$1074,Sheet1!$G:$G,Sheet1!$F:$F,"")),"NOT FOUND"))</f>
        <v>GETKRTSCUT5008C</v>
      </c>
      <c r="AF338" s="9" t="str">
        <f t="shared" si="24"/>
        <v>RED</v>
      </c>
      <c r="AG338" s="10" t="str">
        <f t="shared" si="25"/>
        <v>HARIPAL</v>
      </c>
      <c r="AH338" s="8" t="str" cm="1">
        <f t="array" ref="AH338">IF(OR(J338="",AE338="",AE338="NOT FOUND"),"",IF(Y338="RP",_xlfn.LET(_xlpm.desc,_xlfn.XLOOKUP(1,(--(Sheet1!$F$2:$F$754=AE338))*(--ISNUMBER(FIND("-",Sheet1!$W$2:$W$754,FIND("-",Sheet1!$W$2:$W$754)+1))),Sheet1!$W$2:$W$754,""),IF(_xlpm.desc="","NOT FOUND",LEFT(_xlpm.desc,FIND("-",_xlpm.desc,FIND("-",_xlpm.desc)+1))&amp;AE338)),LEFT(J338,FIND("-",J338,FIND("-",J338)+1))&amp;AE338))</f>
        <v>KRTS-APWN26-GETKRTSCUT5008C</v>
      </c>
    </row>
    <row r="339" spans="1:34" ht="15.75" customHeight="1" x14ac:dyDescent="0.2">
      <c r="A339" t="s">
        <v>61</v>
      </c>
      <c r="B339" t="s">
        <v>1102</v>
      </c>
      <c r="C339" t="s">
        <v>371</v>
      </c>
      <c r="D339" t="s">
        <v>1156</v>
      </c>
      <c r="E339" t="s">
        <v>34</v>
      </c>
      <c r="F339" t="s">
        <v>35</v>
      </c>
      <c r="G339" t="s">
        <v>55</v>
      </c>
      <c r="H339" t="s">
        <v>1052</v>
      </c>
      <c r="I339" t="s">
        <v>1053</v>
      </c>
      <c r="J339" t="s">
        <v>1055</v>
      </c>
      <c r="K339" t="s">
        <v>474</v>
      </c>
      <c r="L339" t="s">
        <v>40</v>
      </c>
      <c r="M339">
        <v>1</v>
      </c>
      <c r="N339">
        <v>69</v>
      </c>
      <c r="O339">
        <v>69</v>
      </c>
      <c r="P339" t="s">
        <v>41</v>
      </c>
      <c r="Q339">
        <v>249.7</v>
      </c>
      <c r="R339">
        <v>249.7</v>
      </c>
      <c r="S339">
        <v>861.47</v>
      </c>
      <c r="T339">
        <v>17229.3</v>
      </c>
      <c r="U339">
        <v>5</v>
      </c>
      <c r="V339" t="s">
        <v>42</v>
      </c>
      <c r="W339" t="s">
        <v>474</v>
      </c>
      <c r="X339" s="6" t="str">
        <f t="shared" si="15"/>
        <v>441814703</v>
      </c>
      <c r="Y339" s="7" t="str">
        <f t="shared" si="16"/>
        <v>DC</v>
      </c>
      <c r="Z339" s="7">
        <f t="shared" si="17"/>
        <v>0</v>
      </c>
      <c r="AA339" s="7">
        <f t="shared" si="18"/>
        <v>0</v>
      </c>
      <c r="AB339" s="7">
        <f t="shared" si="19"/>
        <v>0</v>
      </c>
      <c r="AC339" s="7">
        <f t="shared" si="20"/>
        <v>0</v>
      </c>
      <c r="AD339" s="7">
        <f t="shared" si="21"/>
        <v>69</v>
      </c>
      <c r="AE339" s="8" t="str" cm="1">
        <f t="array" ref="AE339">IFERROR(_xlfn.XLOOKUP(H339,Sheet1!$G:$G,Sheet1!$F:$F),IFERROR(_xlfn.XLOOKUP(1,(--($X$2:$X$1074=X339))*(--ISNUMBER(MATCH($H$2:$H$1074,Sheet1!$G:$G,0))),_xlfn.XLOOKUP($H$2:$H$1074,Sheet1!$G:$G,Sheet1!$F:$F,"")),"NOT FOUND"))</f>
        <v>GETKRTSCUT5008C</v>
      </c>
      <c r="AF339" s="9" t="str">
        <f t="shared" si="24"/>
        <v>RED</v>
      </c>
      <c r="AG339" s="10" t="str">
        <f t="shared" si="25"/>
        <v>HARIPAL</v>
      </c>
      <c r="AH339" s="8" t="str" cm="1">
        <f t="array" ref="AH339">IF(OR(J339="",AE339="",AE339="NOT FOUND"),"",IF(Y339="RP",_xlfn.LET(_xlpm.desc,_xlfn.XLOOKUP(1,(--(Sheet1!$F$2:$F$754=AE339))*(--ISNUMBER(FIND("-",Sheet1!$W$2:$W$754,FIND("-",Sheet1!$W$2:$W$754)+1))),Sheet1!$W$2:$W$754,""),IF(_xlpm.desc="","NOT FOUND",LEFT(_xlpm.desc,FIND("-",_xlpm.desc,FIND("-",_xlpm.desc)+1))&amp;AE339)),LEFT(J339,FIND("-",J339,FIND("-",J339)+1))&amp;AE339))</f>
        <v>KRTS-APWN26-GETKRTSCUT5008C</v>
      </c>
    </row>
    <row r="340" spans="1:34" ht="15.75" customHeight="1" x14ac:dyDescent="0.2">
      <c r="A340" t="s">
        <v>61</v>
      </c>
      <c r="B340" t="s">
        <v>1105</v>
      </c>
      <c r="C340" t="s">
        <v>371</v>
      </c>
      <c r="D340" t="s">
        <v>1156</v>
      </c>
      <c r="E340" t="s">
        <v>34</v>
      </c>
      <c r="F340" t="s">
        <v>35</v>
      </c>
      <c r="G340" t="s">
        <v>36</v>
      </c>
      <c r="H340" t="s">
        <v>1058</v>
      </c>
      <c r="I340" t="s">
        <v>1059</v>
      </c>
      <c r="J340" t="s">
        <v>1060</v>
      </c>
      <c r="K340" t="s">
        <v>474</v>
      </c>
      <c r="L340" t="s">
        <v>40</v>
      </c>
      <c r="M340">
        <v>1</v>
      </c>
      <c r="N340">
        <v>44</v>
      </c>
      <c r="O340">
        <v>44</v>
      </c>
      <c r="P340" t="s">
        <v>41</v>
      </c>
      <c r="Q340">
        <v>249.7</v>
      </c>
      <c r="R340">
        <v>249.7</v>
      </c>
      <c r="S340">
        <v>549.34</v>
      </c>
      <c r="T340">
        <v>10986.8</v>
      </c>
      <c r="U340">
        <v>5</v>
      </c>
      <c r="V340" t="s">
        <v>42</v>
      </c>
      <c r="W340" t="s">
        <v>474</v>
      </c>
      <c r="X340" s="6" t="str">
        <f t="shared" si="15"/>
        <v>441814702</v>
      </c>
      <c r="Y340" s="7" t="str">
        <f t="shared" si="16"/>
        <v>DC</v>
      </c>
      <c r="Z340" s="7">
        <f t="shared" si="17"/>
        <v>44</v>
      </c>
      <c r="AA340" s="7">
        <f t="shared" si="18"/>
        <v>0</v>
      </c>
      <c r="AB340" s="7">
        <f t="shared" si="19"/>
        <v>0</v>
      </c>
      <c r="AC340" s="7">
        <f t="shared" si="20"/>
        <v>0</v>
      </c>
      <c r="AD340" s="7">
        <f t="shared" si="21"/>
        <v>0</v>
      </c>
      <c r="AE340" s="8" t="str" cm="1">
        <f t="array" ref="AE340">IFERROR(_xlfn.XLOOKUP(H340,Sheet1!$G:$G,Sheet1!$F:$F),IFERROR(_xlfn.XLOOKUP(1,(--($X$2:$X$1074=X340))*(--ISNUMBER(MATCH($H$2:$H$1074,Sheet1!$G:$G,0))),_xlfn.XLOOKUP($H$2:$H$1074,Sheet1!$G:$G,Sheet1!$F:$F,"")),"NOT FOUND"))</f>
        <v>GETKRTSCUT5008B</v>
      </c>
      <c r="AF340" s="9" t="str">
        <f t="shared" si="24"/>
        <v>OLIVE</v>
      </c>
      <c r="AG340" s="10" t="str">
        <f t="shared" si="25"/>
        <v>HARIPAL</v>
      </c>
      <c r="AH340" s="8" t="str" cm="1">
        <f t="array" ref="AH340">IF(OR(J340="",AE340="",AE340="NOT FOUND"),"",IF(Y340="RP",_xlfn.LET(_xlpm.desc,_xlfn.XLOOKUP(1,(--(Sheet1!$F$2:$F$754=AE340))*(--ISNUMBER(FIND("-",Sheet1!$W$2:$W$754,FIND("-",Sheet1!$W$2:$W$754)+1))),Sheet1!$W$2:$W$754,""),IF(_xlpm.desc="","NOT FOUND",LEFT(_xlpm.desc,FIND("-",_xlpm.desc,FIND("-",_xlpm.desc)+1))&amp;AE340)),LEFT(J340,FIND("-",J340,FIND("-",J340)+1))&amp;AE340))</f>
        <v>KRTS-APWN26-GETKRTSCUT5008B</v>
      </c>
    </row>
    <row r="341" spans="1:34" ht="15.75" customHeight="1" x14ac:dyDescent="0.2">
      <c r="A341" t="s">
        <v>61</v>
      </c>
      <c r="B341" t="s">
        <v>1105</v>
      </c>
      <c r="C341" t="s">
        <v>371</v>
      </c>
      <c r="D341" t="s">
        <v>1156</v>
      </c>
      <c r="E341" t="s">
        <v>34</v>
      </c>
      <c r="F341" t="s">
        <v>35</v>
      </c>
      <c r="G341" t="s">
        <v>43</v>
      </c>
      <c r="H341" t="s">
        <v>1061</v>
      </c>
      <c r="I341" t="s">
        <v>1062</v>
      </c>
      <c r="J341" t="s">
        <v>1063</v>
      </c>
      <c r="K341" t="s">
        <v>474</v>
      </c>
      <c r="L341" t="s">
        <v>40</v>
      </c>
      <c r="M341">
        <v>1</v>
      </c>
      <c r="N341">
        <v>187</v>
      </c>
      <c r="O341">
        <v>187</v>
      </c>
      <c r="P341" t="s">
        <v>41</v>
      </c>
      <c r="Q341">
        <v>249.7</v>
      </c>
      <c r="R341">
        <v>249.7</v>
      </c>
      <c r="S341">
        <v>2334.6999999999998</v>
      </c>
      <c r="T341">
        <v>46693.9</v>
      </c>
      <c r="U341">
        <v>5</v>
      </c>
      <c r="V341" t="s">
        <v>42</v>
      </c>
      <c r="W341" t="s">
        <v>474</v>
      </c>
      <c r="X341" s="6" t="str">
        <f t="shared" si="15"/>
        <v>441814702</v>
      </c>
      <c r="Y341" s="7" t="str">
        <f t="shared" si="16"/>
        <v>DC</v>
      </c>
      <c r="Z341" s="7">
        <f t="shared" si="17"/>
        <v>0</v>
      </c>
      <c r="AA341" s="7">
        <f t="shared" si="18"/>
        <v>187</v>
      </c>
      <c r="AB341" s="7">
        <f t="shared" si="19"/>
        <v>0</v>
      </c>
      <c r="AC341" s="7">
        <f t="shared" si="20"/>
        <v>0</v>
      </c>
      <c r="AD341" s="7">
        <f t="shared" si="21"/>
        <v>0</v>
      </c>
      <c r="AE341" s="8" t="str" cm="1">
        <f t="array" ref="AE341">IFERROR(_xlfn.XLOOKUP(H341,Sheet1!$G:$G,Sheet1!$F:$F),IFERROR(_xlfn.XLOOKUP(1,(--($X$2:$X$1074=X341))*(--ISNUMBER(MATCH($H$2:$H$1074,Sheet1!$G:$G,0))),_xlfn.XLOOKUP($H$2:$H$1074,Sheet1!$G:$G,Sheet1!$F:$F,"")),"NOT FOUND"))</f>
        <v>GETKRTSCUT5008B</v>
      </c>
      <c r="AF341" s="9" t="str">
        <f t="shared" si="24"/>
        <v>OLIVE</v>
      </c>
      <c r="AG341" s="10" t="str">
        <f t="shared" si="25"/>
        <v>HARIPAL</v>
      </c>
      <c r="AH341" s="8" t="str" cm="1">
        <f t="array" ref="AH341">IF(OR(J341="",AE341="",AE341="NOT FOUND"),"",IF(Y341="RP",_xlfn.LET(_xlpm.desc,_xlfn.XLOOKUP(1,(--(Sheet1!$F$2:$F$754=AE341))*(--ISNUMBER(FIND("-",Sheet1!$W$2:$W$754,FIND("-",Sheet1!$W$2:$W$754)+1))),Sheet1!$W$2:$W$754,""),IF(_xlpm.desc="","NOT FOUND",LEFT(_xlpm.desc,FIND("-",_xlpm.desc,FIND("-",_xlpm.desc)+1))&amp;AE341)),LEFT(J341,FIND("-",J341,FIND("-",J341)+1))&amp;AE341))</f>
        <v>KRTS-APWN26-GETKRTSCUT5008B</v>
      </c>
    </row>
    <row r="342" spans="1:34" ht="15.75" customHeight="1" x14ac:dyDescent="0.2">
      <c r="A342" t="s">
        <v>61</v>
      </c>
      <c r="B342" t="s">
        <v>1105</v>
      </c>
      <c r="C342" t="s">
        <v>371</v>
      </c>
      <c r="D342" t="s">
        <v>1156</v>
      </c>
      <c r="E342" t="s">
        <v>34</v>
      </c>
      <c r="F342" t="s">
        <v>35</v>
      </c>
      <c r="G342" t="s">
        <v>47</v>
      </c>
      <c r="H342" t="s">
        <v>1064</v>
      </c>
      <c r="I342" t="s">
        <v>1065</v>
      </c>
      <c r="J342" t="s">
        <v>1066</v>
      </c>
      <c r="K342" t="s">
        <v>474</v>
      </c>
      <c r="L342" t="s">
        <v>40</v>
      </c>
      <c r="M342">
        <v>1</v>
      </c>
      <c r="N342">
        <v>176</v>
      </c>
      <c r="O342">
        <v>176</v>
      </c>
      <c r="P342" t="s">
        <v>41</v>
      </c>
      <c r="Q342">
        <v>249.7</v>
      </c>
      <c r="R342">
        <v>249.7</v>
      </c>
      <c r="S342">
        <v>2197.36</v>
      </c>
      <c r="T342">
        <v>43947.199999999997</v>
      </c>
      <c r="U342">
        <v>5</v>
      </c>
      <c r="V342" t="s">
        <v>42</v>
      </c>
      <c r="W342" t="s">
        <v>474</v>
      </c>
      <c r="X342" s="6" t="str">
        <f t="shared" si="15"/>
        <v>441814702</v>
      </c>
      <c r="Y342" s="7" t="str">
        <f t="shared" si="16"/>
        <v>DC</v>
      </c>
      <c r="Z342" s="7">
        <f t="shared" si="17"/>
        <v>0</v>
      </c>
      <c r="AA342" s="7">
        <f t="shared" si="18"/>
        <v>0</v>
      </c>
      <c r="AB342" s="7">
        <f t="shared" si="19"/>
        <v>176</v>
      </c>
      <c r="AC342" s="7">
        <f t="shared" si="20"/>
        <v>0</v>
      </c>
      <c r="AD342" s="7">
        <f t="shared" si="21"/>
        <v>0</v>
      </c>
      <c r="AE342" s="8" t="str" cm="1">
        <f t="array" ref="AE342">IFERROR(_xlfn.XLOOKUP(H342,Sheet1!$G:$G,Sheet1!$F:$F),IFERROR(_xlfn.XLOOKUP(1,(--($X$2:$X$1074=X342))*(--ISNUMBER(MATCH($H$2:$H$1074,Sheet1!$G:$G,0))),_xlfn.XLOOKUP($H$2:$H$1074,Sheet1!$G:$G,Sheet1!$F:$F,"")),"NOT FOUND"))</f>
        <v>GETKRTSCUT5008B</v>
      </c>
      <c r="AF342" s="9" t="str">
        <f t="shared" si="24"/>
        <v>OLIVE</v>
      </c>
      <c r="AG342" s="10" t="str">
        <f t="shared" si="25"/>
        <v>HARIPAL</v>
      </c>
      <c r="AH342" s="8" t="str" cm="1">
        <f t="array" ref="AH342">IF(OR(J342="",AE342="",AE342="NOT FOUND"),"",IF(Y342="RP",_xlfn.LET(_xlpm.desc,_xlfn.XLOOKUP(1,(--(Sheet1!$F$2:$F$754=AE342))*(--ISNUMBER(FIND("-",Sheet1!$W$2:$W$754,FIND("-",Sheet1!$W$2:$W$754)+1))),Sheet1!$W$2:$W$754,""),IF(_xlpm.desc="","NOT FOUND",LEFT(_xlpm.desc,FIND("-",_xlpm.desc,FIND("-",_xlpm.desc)+1))&amp;AE342)),LEFT(J342,FIND("-",J342,FIND("-",J342)+1))&amp;AE342))</f>
        <v>KRTS-APWN26-GETKRTSCUT5008B</v>
      </c>
    </row>
    <row r="343" spans="1:34" ht="15.75" customHeight="1" x14ac:dyDescent="0.2">
      <c r="A343" t="s">
        <v>61</v>
      </c>
      <c r="B343" t="s">
        <v>1105</v>
      </c>
      <c r="C343" t="s">
        <v>371</v>
      </c>
      <c r="D343" t="s">
        <v>1156</v>
      </c>
      <c r="E343" t="s">
        <v>34</v>
      </c>
      <c r="F343" t="s">
        <v>35</v>
      </c>
      <c r="G343" t="s">
        <v>51</v>
      </c>
      <c r="H343" t="s">
        <v>1067</v>
      </c>
      <c r="I343" t="s">
        <v>1068</v>
      </c>
      <c r="J343" t="s">
        <v>1069</v>
      </c>
      <c r="K343" t="s">
        <v>474</v>
      </c>
      <c r="L343" t="s">
        <v>40</v>
      </c>
      <c r="M343">
        <v>1</v>
      </c>
      <c r="N343">
        <v>187</v>
      </c>
      <c r="O343">
        <v>187</v>
      </c>
      <c r="P343" t="s">
        <v>41</v>
      </c>
      <c r="Q343">
        <v>249.7</v>
      </c>
      <c r="R343">
        <v>249.7</v>
      </c>
      <c r="S343">
        <v>2334.6999999999998</v>
      </c>
      <c r="T343">
        <v>46693.9</v>
      </c>
      <c r="U343">
        <v>5</v>
      </c>
      <c r="V343" t="s">
        <v>42</v>
      </c>
      <c r="W343" t="s">
        <v>474</v>
      </c>
      <c r="X343" s="6" t="str">
        <f t="shared" si="15"/>
        <v>441814702</v>
      </c>
      <c r="Y343" s="7" t="str">
        <f t="shared" si="16"/>
        <v>DC</v>
      </c>
      <c r="Z343" s="7">
        <f t="shared" si="17"/>
        <v>0</v>
      </c>
      <c r="AA343" s="7">
        <f t="shared" si="18"/>
        <v>0</v>
      </c>
      <c r="AB343" s="7">
        <f t="shared" si="19"/>
        <v>0</v>
      </c>
      <c r="AC343" s="7">
        <f t="shared" si="20"/>
        <v>187</v>
      </c>
      <c r="AD343" s="7">
        <f t="shared" si="21"/>
        <v>0</v>
      </c>
      <c r="AE343" s="8" t="str" cm="1">
        <f t="array" ref="AE343">IFERROR(_xlfn.XLOOKUP(H343,Sheet1!$G:$G,Sheet1!$F:$F),IFERROR(_xlfn.XLOOKUP(1,(--($X$2:$X$1074=X343))*(--ISNUMBER(MATCH($H$2:$H$1074,Sheet1!$G:$G,0))),_xlfn.XLOOKUP($H$2:$H$1074,Sheet1!$G:$G,Sheet1!$F:$F,"")),"NOT FOUND"))</f>
        <v>GETKRTSCUT5008B</v>
      </c>
      <c r="AF343" s="9" t="str">
        <f t="shared" si="24"/>
        <v>OLIVE</v>
      </c>
      <c r="AG343" s="10" t="str">
        <f t="shared" si="25"/>
        <v>HARIPAL</v>
      </c>
      <c r="AH343" s="8" t="str" cm="1">
        <f t="array" ref="AH343">IF(OR(J343="",AE343="",AE343="NOT FOUND"),"",IF(Y343="RP",_xlfn.LET(_xlpm.desc,_xlfn.XLOOKUP(1,(--(Sheet1!$F$2:$F$754=AE343))*(--ISNUMBER(FIND("-",Sheet1!$W$2:$W$754,FIND("-",Sheet1!$W$2:$W$754)+1))),Sheet1!$W$2:$W$754,""),IF(_xlpm.desc="","NOT FOUND",LEFT(_xlpm.desc,FIND("-",_xlpm.desc,FIND("-",_xlpm.desc)+1))&amp;AE343)),LEFT(J343,FIND("-",J343,FIND("-",J343)+1))&amp;AE343))</f>
        <v>KRTS-APWN26-GETKRTSCUT5008B</v>
      </c>
    </row>
    <row r="344" spans="1:34" ht="15.75" customHeight="1" x14ac:dyDescent="0.2">
      <c r="A344" t="s">
        <v>61</v>
      </c>
      <c r="B344" t="s">
        <v>1105</v>
      </c>
      <c r="C344" t="s">
        <v>371</v>
      </c>
      <c r="D344" t="s">
        <v>1156</v>
      </c>
      <c r="E344" t="s">
        <v>34</v>
      </c>
      <c r="F344" t="s">
        <v>35</v>
      </c>
      <c r="G344" t="s">
        <v>55</v>
      </c>
      <c r="H344" t="s">
        <v>1070</v>
      </c>
      <c r="I344" t="s">
        <v>1071</v>
      </c>
      <c r="J344" t="s">
        <v>1072</v>
      </c>
      <c r="K344" t="s">
        <v>474</v>
      </c>
      <c r="L344" t="s">
        <v>40</v>
      </c>
      <c r="M344">
        <v>1</v>
      </c>
      <c r="N344">
        <v>66</v>
      </c>
      <c r="O344">
        <v>66</v>
      </c>
      <c r="P344" t="s">
        <v>41</v>
      </c>
      <c r="Q344">
        <v>249.7</v>
      </c>
      <c r="R344">
        <v>249.7</v>
      </c>
      <c r="S344">
        <v>824.01</v>
      </c>
      <c r="T344">
        <v>16480.2</v>
      </c>
      <c r="U344">
        <v>5</v>
      </c>
      <c r="V344" t="s">
        <v>42</v>
      </c>
      <c r="W344" t="s">
        <v>474</v>
      </c>
      <c r="X344" s="6" t="str">
        <f t="shared" si="15"/>
        <v>441814702</v>
      </c>
      <c r="Y344" s="7" t="str">
        <f t="shared" si="16"/>
        <v>DC</v>
      </c>
      <c r="Z344" s="7">
        <f t="shared" si="17"/>
        <v>0</v>
      </c>
      <c r="AA344" s="7">
        <f t="shared" si="18"/>
        <v>0</v>
      </c>
      <c r="AB344" s="7">
        <f t="shared" si="19"/>
        <v>0</v>
      </c>
      <c r="AC344" s="7">
        <f t="shared" si="20"/>
        <v>0</v>
      </c>
      <c r="AD344" s="7">
        <f t="shared" si="21"/>
        <v>66</v>
      </c>
      <c r="AE344" s="8" t="str" cm="1">
        <f t="array" ref="AE344">IFERROR(_xlfn.XLOOKUP(H344,Sheet1!$G:$G,Sheet1!$F:$F),IFERROR(_xlfn.XLOOKUP(1,(--($X$2:$X$1074=X344))*(--ISNUMBER(MATCH($H$2:$H$1074,Sheet1!$G:$G,0))),_xlfn.XLOOKUP($H$2:$H$1074,Sheet1!$G:$G,Sheet1!$F:$F,"")),"NOT FOUND"))</f>
        <v>GETKRTSCUT5008B</v>
      </c>
      <c r="AF344" s="9" t="str">
        <f t="shared" si="24"/>
        <v>OLIVE</v>
      </c>
      <c r="AG344" s="10" t="str">
        <f t="shared" si="25"/>
        <v>HARIPAL</v>
      </c>
      <c r="AH344" s="8" t="str" cm="1">
        <f t="array" ref="AH344">IF(OR(J344="",AE344="",AE344="NOT FOUND"),"",IF(Y344="RP",_xlfn.LET(_xlpm.desc,_xlfn.XLOOKUP(1,(--(Sheet1!$F$2:$F$754=AE344))*(--ISNUMBER(FIND("-",Sheet1!$W$2:$W$754,FIND("-",Sheet1!$W$2:$W$754)+1))),Sheet1!$W$2:$W$754,""),IF(_xlpm.desc="","NOT FOUND",LEFT(_xlpm.desc,FIND("-",_xlpm.desc,FIND("-",_xlpm.desc)+1))&amp;AE344)),LEFT(J344,FIND("-",J344,FIND("-",J344)+1))&amp;AE344))</f>
        <v>KRTS-APWN26-GETKRTSCUT5008B</v>
      </c>
    </row>
    <row r="345" spans="1:34" ht="15.75" customHeight="1" x14ac:dyDescent="0.2">
      <c r="A345" t="s">
        <v>61</v>
      </c>
      <c r="B345" t="s">
        <v>1106</v>
      </c>
      <c r="C345" t="s">
        <v>371</v>
      </c>
      <c r="D345" t="s">
        <v>1156</v>
      </c>
      <c r="E345" t="s">
        <v>34</v>
      </c>
      <c r="F345" t="s">
        <v>35</v>
      </c>
      <c r="G345" t="s">
        <v>36</v>
      </c>
      <c r="H345" t="s">
        <v>1075</v>
      </c>
      <c r="I345" t="s">
        <v>1076</v>
      </c>
      <c r="J345" t="s">
        <v>1077</v>
      </c>
      <c r="K345" t="s">
        <v>474</v>
      </c>
      <c r="L345" t="s">
        <v>40</v>
      </c>
      <c r="M345">
        <v>1</v>
      </c>
      <c r="N345">
        <v>60</v>
      </c>
      <c r="O345">
        <v>60</v>
      </c>
      <c r="P345" t="s">
        <v>41</v>
      </c>
      <c r="Q345">
        <v>249.7</v>
      </c>
      <c r="R345">
        <v>249.7</v>
      </c>
      <c r="S345">
        <v>749.1</v>
      </c>
      <c r="T345">
        <v>14982</v>
      </c>
      <c r="U345">
        <v>5</v>
      </c>
      <c r="V345" t="s">
        <v>42</v>
      </c>
      <c r="W345" t="s">
        <v>474</v>
      </c>
      <c r="X345" s="6" t="str">
        <f t="shared" si="15"/>
        <v>441814701</v>
      </c>
      <c r="Y345" s="7" t="str">
        <f t="shared" si="16"/>
        <v>DC</v>
      </c>
      <c r="Z345" s="7">
        <f t="shared" si="17"/>
        <v>60</v>
      </c>
      <c r="AA345" s="7">
        <f t="shared" si="18"/>
        <v>0</v>
      </c>
      <c r="AB345" s="7">
        <f t="shared" si="19"/>
        <v>0</v>
      </c>
      <c r="AC345" s="7">
        <f t="shared" si="20"/>
        <v>0</v>
      </c>
      <c r="AD345" s="7">
        <f t="shared" si="21"/>
        <v>0</v>
      </c>
      <c r="AE345" s="8" t="str" cm="1">
        <f t="array" ref="AE345">IFERROR(_xlfn.XLOOKUP(H345,Sheet1!$G:$G,Sheet1!$F:$F),IFERROR(_xlfn.XLOOKUP(1,(--($X$2:$X$1074=X345))*(--ISNUMBER(MATCH($H$2:$H$1074,Sheet1!$G:$G,0))),_xlfn.XLOOKUP($H$2:$H$1074,Sheet1!$G:$G,Sheet1!$F:$F,"")),"NOT FOUND"))</f>
        <v>GETKRTSCUT5008</v>
      </c>
      <c r="AF345" s="9" t="str">
        <f t="shared" si="24"/>
        <v>BLACK</v>
      </c>
      <c r="AG345" s="10" t="str">
        <f t="shared" si="25"/>
        <v>HARIPAL</v>
      </c>
      <c r="AH345" s="8" t="str" cm="1">
        <f t="array" ref="AH345">IF(OR(J345="",AE345="",AE345="NOT FOUND"),"",IF(Y345="RP",_xlfn.LET(_xlpm.desc,_xlfn.XLOOKUP(1,(--(Sheet1!$F$2:$F$754=AE345))*(--ISNUMBER(FIND("-",Sheet1!$W$2:$W$754,FIND("-",Sheet1!$W$2:$W$754)+1))),Sheet1!$W$2:$W$754,""),IF(_xlpm.desc="","NOT FOUND",LEFT(_xlpm.desc,FIND("-",_xlpm.desc,FIND("-",_xlpm.desc)+1))&amp;AE345)),LEFT(J345,FIND("-",J345,FIND("-",J345)+1))&amp;AE345))</f>
        <v>KRTS-APWN26-GETKRTSCUT5008</v>
      </c>
    </row>
    <row r="346" spans="1:34" ht="15.75" customHeight="1" x14ac:dyDescent="0.2">
      <c r="A346" t="s">
        <v>61</v>
      </c>
      <c r="B346" t="s">
        <v>1106</v>
      </c>
      <c r="C346" t="s">
        <v>371</v>
      </c>
      <c r="D346" t="s">
        <v>1156</v>
      </c>
      <c r="E346" t="s">
        <v>34</v>
      </c>
      <c r="F346" t="s">
        <v>35</v>
      </c>
      <c r="G346" t="s">
        <v>43</v>
      </c>
      <c r="H346" t="s">
        <v>1078</v>
      </c>
      <c r="I346" t="s">
        <v>1079</v>
      </c>
      <c r="J346" t="s">
        <v>1081</v>
      </c>
      <c r="K346" t="s">
        <v>474</v>
      </c>
      <c r="L346" t="s">
        <v>40</v>
      </c>
      <c r="M346">
        <v>1</v>
      </c>
      <c r="N346">
        <v>252</v>
      </c>
      <c r="O346">
        <v>252</v>
      </c>
      <c r="P346" t="s">
        <v>41</v>
      </c>
      <c r="Q346">
        <v>249.7</v>
      </c>
      <c r="R346">
        <v>249.7</v>
      </c>
      <c r="S346">
        <v>3146.22</v>
      </c>
      <c r="T346">
        <v>62924.4</v>
      </c>
      <c r="U346">
        <v>5</v>
      </c>
      <c r="V346" t="s">
        <v>42</v>
      </c>
      <c r="W346" t="s">
        <v>474</v>
      </c>
      <c r="X346" s="6" t="str">
        <f t="shared" si="15"/>
        <v>441814701</v>
      </c>
      <c r="Y346" s="7" t="str">
        <f t="shared" si="16"/>
        <v>DC</v>
      </c>
      <c r="Z346" s="7">
        <f t="shared" si="17"/>
        <v>0</v>
      </c>
      <c r="AA346" s="7">
        <f t="shared" si="18"/>
        <v>252</v>
      </c>
      <c r="AB346" s="7">
        <f t="shared" si="19"/>
        <v>0</v>
      </c>
      <c r="AC346" s="7">
        <f t="shared" si="20"/>
        <v>0</v>
      </c>
      <c r="AD346" s="7">
        <f t="shared" si="21"/>
        <v>0</v>
      </c>
      <c r="AE346" s="8" t="str" cm="1">
        <f t="array" ref="AE346">IFERROR(_xlfn.XLOOKUP(H346,Sheet1!$G:$G,Sheet1!$F:$F),IFERROR(_xlfn.XLOOKUP(1,(--($X$2:$X$1074=X346))*(--ISNUMBER(MATCH($H$2:$H$1074,Sheet1!$G:$G,0))),_xlfn.XLOOKUP($H$2:$H$1074,Sheet1!$G:$G,Sheet1!$F:$F,"")),"NOT FOUND"))</f>
        <v>GETKRTSCUT5008</v>
      </c>
      <c r="AF346" s="9" t="str">
        <f t="shared" si="24"/>
        <v>BLACK</v>
      </c>
      <c r="AG346" s="10" t="str">
        <f t="shared" si="25"/>
        <v>HARIPAL</v>
      </c>
      <c r="AH346" s="8" t="str" cm="1">
        <f t="array" ref="AH346">IF(OR(J346="",AE346="",AE346="NOT FOUND"),"",IF(Y346="RP",_xlfn.LET(_xlpm.desc,_xlfn.XLOOKUP(1,(--(Sheet1!$F$2:$F$754=AE346))*(--ISNUMBER(FIND("-",Sheet1!$W$2:$W$754,FIND("-",Sheet1!$W$2:$W$754)+1))),Sheet1!$W$2:$W$754,""),IF(_xlpm.desc="","NOT FOUND",LEFT(_xlpm.desc,FIND("-",_xlpm.desc,FIND("-",_xlpm.desc)+1))&amp;AE346)),LEFT(J346,FIND("-",J346,FIND("-",J346)+1))&amp;AE346))</f>
        <v>KRTS-APWN26-GETKRTSCUT5008</v>
      </c>
    </row>
    <row r="347" spans="1:34" ht="15.75" customHeight="1" x14ac:dyDescent="0.2">
      <c r="A347" t="s">
        <v>61</v>
      </c>
      <c r="B347" t="s">
        <v>1106</v>
      </c>
      <c r="C347" t="s">
        <v>371</v>
      </c>
      <c r="D347" t="s">
        <v>1156</v>
      </c>
      <c r="E347" t="s">
        <v>34</v>
      </c>
      <c r="F347" t="s">
        <v>35</v>
      </c>
      <c r="G347" t="s">
        <v>47</v>
      </c>
      <c r="H347" t="s">
        <v>1082</v>
      </c>
      <c r="I347" t="s">
        <v>1083</v>
      </c>
      <c r="J347" t="s">
        <v>1085</v>
      </c>
      <c r="K347" t="s">
        <v>474</v>
      </c>
      <c r="L347" t="s">
        <v>40</v>
      </c>
      <c r="M347">
        <v>1</v>
      </c>
      <c r="N347">
        <v>238</v>
      </c>
      <c r="O347">
        <v>238</v>
      </c>
      <c r="P347" t="s">
        <v>41</v>
      </c>
      <c r="Q347">
        <v>249.7</v>
      </c>
      <c r="R347">
        <v>249.7</v>
      </c>
      <c r="S347">
        <v>2971.43</v>
      </c>
      <c r="T347">
        <v>59428.6</v>
      </c>
      <c r="U347">
        <v>5</v>
      </c>
      <c r="V347" t="s">
        <v>42</v>
      </c>
      <c r="W347" t="s">
        <v>474</v>
      </c>
      <c r="X347" s="6" t="str">
        <f t="shared" si="15"/>
        <v>441814701</v>
      </c>
      <c r="Y347" s="7" t="str">
        <f t="shared" si="16"/>
        <v>DC</v>
      </c>
      <c r="Z347" s="7">
        <f t="shared" si="17"/>
        <v>0</v>
      </c>
      <c r="AA347" s="7">
        <f t="shared" si="18"/>
        <v>0</v>
      </c>
      <c r="AB347" s="7">
        <f t="shared" si="19"/>
        <v>238</v>
      </c>
      <c r="AC347" s="7">
        <f t="shared" si="20"/>
        <v>0</v>
      </c>
      <c r="AD347" s="7">
        <f t="shared" si="21"/>
        <v>0</v>
      </c>
      <c r="AE347" s="8" t="str" cm="1">
        <f t="array" ref="AE347">IFERROR(_xlfn.XLOOKUP(H347,Sheet1!$G:$G,Sheet1!$F:$F),IFERROR(_xlfn.XLOOKUP(1,(--($X$2:$X$1074=X347))*(--ISNUMBER(MATCH($H$2:$H$1074,Sheet1!$G:$G,0))),_xlfn.XLOOKUP($H$2:$H$1074,Sheet1!$G:$G,Sheet1!$F:$F,"")),"NOT FOUND"))</f>
        <v>GETKRTSCUT5008</v>
      </c>
      <c r="AF347" s="9" t="str">
        <f t="shared" si="24"/>
        <v>BLACK</v>
      </c>
      <c r="AG347" s="10" t="str">
        <f t="shared" si="25"/>
        <v>HARIPAL</v>
      </c>
      <c r="AH347" s="8" t="str" cm="1">
        <f t="array" ref="AH347">IF(OR(J347="",AE347="",AE347="NOT FOUND"),"",IF(Y347="RP",_xlfn.LET(_xlpm.desc,_xlfn.XLOOKUP(1,(--(Sheet1!$F$2:$F$754=AE347))*(--ISNUMBER(FIND("-",Sheet1!$W$2:$W$754,FIND("-",Sheet1!$W$2:$W$754)+1))),Sheet1!$W$2:$W$754,""),IF(_xlpm.desc="","NOT FOUND",LEFT(_xlpm.desc,FIND("-",_xlpm.desc,FIND("-",_xlpm.desc)+1))&amp;AE347)),LEFT(J347,FIND("-",J347,FIND("-",J347)+1))&amp;AE347))</f>
        <v>KRTS-APWN26-GETKRTSCUT5008</v>
      </c>
    </row>
    <row r="348" spans="1:34" ht="15.75" customHeight="1" x14ac:dyDescent="0.2">
      <c r="A348" t="s">
        <v>61</v>
      </c>
      <c r="B348" t="s">
        <v>1106</v>
      </c>
      <c r="C348" t="s">
        <v>371</v>
      </c>
      <c r="D348" t="s">
        <v>1156</v>
      </c>
      <c r="E348" t="s">
        <v>34</v>
      </c>
      <c r="F348" t="s">
        <v>35</v>
      </c>
      <c r="G348" t="s">
        <v>51</v>
      </c>
      <c r="H348" t="s">
        <v>1086</v>
      </c>
      <c r="I348" t="s">
        <v>1087</v>
      </c>
      <c r="J348" t="s">
        <v>1088</v>
      </c>
      <c r="K348" t="s">
        <v>474</v>
      </c>
      <c r="L348" t="s">
        <v>40</v>
      </c>
      <c r="M348">
        <v>1</v>
      </c>
      <c r="N348">
        <v>252</v>
      </c>
      <c r="O348">
        <v>252</v>
      </c>
      <c r="P348" t="s">
        <v>41</v>
      </c>
      <c r="Q348">
        <v>249.7</v>
      </c>
      <c r="R348">
        <v>249.7</v>
      </c>
      <c r="S348">
        <v>3146.22</v>
      </c>
      <c r="T348">
        <v>62924.4</v>
      </c>
      <c r="U348">
        <v>5</v>
      </c>
      <c r="V348" t="s">
        <v>42</v>
      </c>
      <c r="W348" t="s">
        <v>474</v>
      </c>
      <c r="X348" s="6" t="str">
        <f t="shared" si="15"/>
        <v>441814701</v>
      </c>
      <c r="Y348" s="7" t="str">
        <f t="shared" si="16"/>
        <v>DC</v>
      </c>
      <c r="Z348" s="7">
        <f t="shared" si="17"/>
        <v>0</v>
      </c>
      <c r="AA348" s="7">
        <f t="shared" si="18"/>
        <v>0</v>
      </c>
      <c r="AB348" s="7">
        <f t="shared" si="19"/>
        <v>0</v>
      </c>
      <c r="AC348" s="7">
        <f t="shared" si="20"/>
        <v>252</v>
      </c>
      <c r="AD348" s="7">
        <f t="shared" si="21"/>
        <v>0</v>
      </c>
      <c r="AE348" s="8" t="str" cm="1">
        <f t="array" ref="AE348">IFERROR(_xlfn.XLOOKUP(H348,Sheet1!$G:$G,Sheet1!$F:$F),IFERROR(_xlfn.XLOOKUP(1,(--($X$2:$X$1074=X348))*(--ISNUMBER(MATCH($H$2:$H$1074,Sheet1!$G:$G,0))),_xlfn.XLOOKUP($H$2:$H$1074,Sheet1!$G:$G,Sheet1!$F:$F,"")),"NOT FOUND"))</f>
        <v>GETKRTSCUT5008</v>
      </c>
      <c r="AF348" s="9" t="str">
        <f t="shared" si="24"/>
        <v>BLACK</v>
      </c>
      <c r="AG348" s="10" t="str">
        <f t="shared" si="25"/>
        <v>HARIPAL</v>
      </c>
      <c r="AH348" s="8" t="str" cm="1">
        <f t="array" ref="AH348">IF(OR(J348="",AE348="",AE348="NOT FOUND"),"",IF(Y348="RP",_xlfn.LET(_xlpm.desc,_xlfn.XLOOKUP(1,(--(Sheet1!$F$2:$F$754=AE348))*(--ISNUMBER(FIND("-",Sheet1!$W$2:$W$754,FIND("-",Sheet1!$W$2:$W$754)+1))),Sheet1!$W$2:$W$754,""),IF(_xlpm.desc="","NOT FOUND",LEFT(_xlpm.desc,FIND("-",_xlpm.desc,FIND("-",_xlpm.desc)+1))&amp;AE348)),LEFT(J348,FIND("-",J348,FIND("-",J348)+1))&amp;AE348))</f>
        <v>KRTS-APWN26-GETKRTSCUT5008</v>
      </c>
    </row>
    <row r="349" spans="1:34" ht="15.75" customHeight="1" x14ac:dyDescent="0.2">
      <c r="A349" t="s">
        <v>61</v>
      </c>
      <c r="B349" t="s">
        <v>1106</v>
      </c>
      <c r="C349" t="s">
        <v>371</v>
      </c>
      <c r="D349" t="s">
        <v>1156</v>
      </c>
      <c r="E349" t="s">
        <v>34</v>
      </c>
      <c r="F349" t="s">
        <v>35</v>
      </c>
      <c r="G349" t="s">
        <v>55</v>
      </c>
      <c r="H349" t="s">
        <v>1089</v>
      </c>
      <c r="I349" t="s">
        <v>1090</v>
      </c>
      <c r="J349" t="s">
        <v>1092</v>
      </c>
      <c r="K349" t="s">
        <v>474</v>
      </c>
      <c r="L349" t="s">
        <v>40</v>
      </c>
      <c r="M349">
        <v>1</v>
      </c>
      <c r="N349">
        <v>89</v>
      </c>
      <c r="O349">
        <v>89</v>
      </c>
      <c r="P349" t="s">
        <v>41</v>
      </c>
      <c r="Q349">
        <v>249.7</v>
      </c>
      <c r="R349">
        <v>249.7</v>
      </c>
      <c r="S349">
        <v>1111.17</v>
      </c>
      <c r="T349">
        <v>22223.3</v>
      </c>
      <c r="U349">
        <v>5</v>
      </c>
      <c r="V349" t="s">
        <v>42</v>
      </c>
      <c r="W349" t="s">
        <v>474</v>
      </c>
      <c r="X349" s="6" t="str">
        <f t="shared" si="15"/>
        <v>441814701</v>
      </c>
      <c r="Y349" s="7" t="str">
        <f t="shared" si="16"/>
        <v>DC</v>
      </c>
      <c r="Z349" s="7">
        <f t="shared" si="17"/>
        <v>0</v>
      </c>
      <c r="AA349" s="7">
        <f t="shared" si="18"/>
        <v>0</v>
      </c>
      <c r="AB349" s="7">
        <f t="shared" si="19"/>
        <v>0</v>
      </c>
      <c r="AC349" s="7">
        <f t="shared" si="20"/>
        <v>0</v>
      </c>
      <c r="AD349" s="7">
        <f t="shared" si="21"/>
        <v>89</v>
      </c>
      <c r="AE349" s="8" t="str" cm="1">
        <f t="array" ref="AE349">IFERROR(_xlfn.XLOOKUP(H349,Sheet1!$G:$G,Sheet1!$F:$F),IFERROR(_xlfn.XLOOKUP(1,(--($X$2:$X$1074=X349))*(--ISNUMBER(MATCH($H$2:$H$1074,Sheet1!$G:$G,0))),_xlfn.XLOOKUP($H$2:$H$1074,Sheet1!$G:$G,Sheet1!$F:$F,"")),"NOT FOUND"))</f>
        <v>GETKRTSCUT5008</v>
      </c>
      <c r="AF349" s="9" t="str">
        <f t="shared" si="24"/>
        <v>BLACK</v>
      </c>
      <c r="AG349" s="10" t="str">
        <f t="shared" si="25"/>
        <v>HARIPAL</v>
      </c>
      <c r="AH349" s="8" t="str" cm="1">
        <f t="array" ref="AH349">IF(OR(J349="",AE349="",AE349="NOT FOUND"),"",IF(Y349="RP",_xlfn.LET(_xlpm.desc,_xlfn.XLOOKUP(1,(--(Sheet1!$F$2:$F$754=AE349))*(--ISNUMBER(FIND("-",Sheet1!$W$2:$W$754,FIND("-",Sheet1!$W$2:$W$754)+1))),Sheet1!$W$2:$W$754,""),IF(_xlpm.desc="","NOT FOUND",LEFT(_xlpm.desc,FIND("-",_xlpm.desc,FIND("-",_xlpm.desc)+1))&amp;AE349)),LEFT(J349,FIND("-",J349,FIND("-",J349)+1))&amp;AE349))</f>
        <v>KRTS-APWN26-GETKRTSCUT5008</v>
      </c>
    </row>
    <row r="350" spans="1:34" ht="15.75" customHeight="1" x14ac:dyDescent="0.2">
      <c r="A350" t="s">
        <v>30</v>
      </c>
      <c r="B350" t="s">
        <v>1110</v>
      </c>
      <c r="C350" t="s">
        <v>371</v>
      </c>
      <c r="D350" t="s">
        <v>1156</v>
      </c>
      <c r="E350" t="s">
        <v>34</v>
      </c>
      <c r="F350" t="s">
        <v>35</v>
      </c>
      <c r="G350" t="s">
        <v>36</v>
      </c>
      <c r="H350" t="s">
        <v>1111</v>
      </c>
      <c r="I350" t="s">
        <v>1112</v>
      </c>
      <c r="J350" t="s">
        <v>1114</v>
      </c>
      <c r="K350" t="s">
        <v>474</v>
      </c>
      <c r="L350" t="s">
        <v>40</v>
      </c>
      <c r="M350">
        <v>1</v>
      </c>
      <c r="N350">
        <v>520</v>
      </c>
      <c r="O350">
        <v>520</v>
      </c>
      <c r="P350" t="s">
        <v>41</v>
      </c>
      <c r="Q350">
        <v>1248.5</v>
      </c>
      <c r="R350">
        <v>1248.5</v>
      </c>
      <c r="S350">
        <v>32461</v>
      </c>
      <c r="T350">
        <v>649220</v>
      </c>
      <c r="U350">
        <v>5</v>
      </c>
      <c r="V350" t="s">
        <v>42</v>
      </c>
      <c r="W350" t="s">
        <v>474</v>
      </c>
      <c r="X350" s="6" t="str">
        <f t="shared" si="15"/>
        <v>441814704</v>
      </c>
      <c r="Y350" s="7" t="str">
        <f t="shared" si="16"/>
        <v>RP</v>
      </c>
      <c r="Z350" s="7">
        <f t="shared" si="17"/>
        <v>520</v>
      </c>
      <c r="AA350" s="7">
        <f t="shared" si="18"/>
        <v>520</v>
      </c>
      <c r="AB350" s="7">
        <f t="shared" si="19"/>
        <v>520</v>
      </c>
      <c r="AC350" s="7">
        <f t="shared" si="20"/>
        <v>520</v>
      </c>
      <c r="AD350" s="7">
        <f t="shared" si="21"/>
        <v>520</v>
      </c>
      <c r="AE350" s="8" t="str" cm="1">
        <f t="array" ref="AE350">IFERROR(_xlfn.XLOOKUP(H350,Sheet1!$G:$G,Sheet1!$F:$F),IFERROR(_xlfn.XLOOKUP(1,(--($X$2:$X$1074=X350))*(--ISNUMBER(MATCH($H$2:$H$1074,Sheet1!$G:$G,0))),_xlfn.XLOOKUP($H$2:$H$1074,Sheet1!$G:$G,Sheet1!$F:$F,"")),"NOT FOUND"))</f>
        <v>GETKRTSCUT5008D</v>
      </c>
      <c r="AF350" s="9" t="str">
        <f t="shared" si="24"/>
        <v>MUSTARD</v>
      </c>
      <c r="AG350" s="10" t="str">
        <f t="shared" si="25"/>
        <v>Bangalore</v>
      </c>
      <c r="AH350" s="8" t="str" cm="1">
        <f t="array" ref="AH350">IF(OR(J350="",AE350="",AE350="NOT FOUND"),"",IF(Y350="RP",_xlfn.LET(_xlpm.desc,_xlfn.XLOOKUP(1,(--(Sheet1!$F$2:$F$754=AE350))*(--ISNUMBER(FIND("-",Sheet1!$W$2:$W$754,FIND("-",Sheet1!$W$2:$W$754)+1))),Sheet1!$W$2:$W$754,""),IF(_xlpm.desc="","NOT FOUND",LEFT(_xlpm.desc,FIND("-",_xlpm.desc,FIND("-",_xlpm.desc)+1))&amp;AE350)),LEFT(J350,FIND("-",J350,FIND("-",J350)+1))&amp;AE350))</f>
        <v>KRTS-APWN26-GETKRTSCUT5008D</v>
      </c>
    </row>
    <row r="351" spans="1:34" ht="15.75" customHeight="1" x14ac:dyDescent="0.2">
      <c r="A351" t="s">
        <v>30</v>
      </c>
      <c r="B351" t="s">
        <v>1115</v>
      </c>
      <c r="C351" t="s">
        <v>371</v>
      </c>
      <c r="D351" t="s">
        <v>1156</v>
      </c>
      <c r="E351" t="s">
        <v>34</v>
      </c>
      <c r="F351" t="s">
        <v>35</v>
      </c>
      <c r="G351" t="s">
        <v>36</v>
      </c>
      <c r="H351" t="s">
        <v>1116</v>
      </c>
      <c r="I351" t="s">
        <v>1117</v>
      </c>
      <c r="J351" t="s">
        <v>1119</v>
      </c>
      <c r="K351" t="s">
        <v>474</v>
      </c>
      <c r="L351" t="s">
        <v>40</v>
      </c>
      <c r="M351">
        <v>1</v>
      </c>
      <c r="N351">
        <v>546</v>
      </c>
      <c r="O351">
        <v>546</v>
      </c>
      <c r="P351" t="s">
        <v>41</v>
      </c>
      <c r="Q351">
        <v>1248.5</v>
      </c>
      <c r="R351">
        <v>1248.5</v>
      </c>
      <c r="S351">
        <v>34084.050000000003</v>
      </c>
      <c r="T351">
        <v>681681</v>
      </c>
      <c r="U351">
        <v>5</v>
      </c>
      <c r="V351" t="s">
        <v>42</v>
      </c>
      <c r="W351" t="s">
        <v>474</v>
      </c>
      <c r="X351" s="6" t="str">
        <f t="shared" si="15"/>
        <v>441814703</v>
      </c>
      <c r="Y351" s="7" t="str">
        <f t="shared" si="16"/>
        <v>RP</v>
      </c>
      <c r="Z351" s="7">
        <f t="shared" si="17"/>
        <v>546</v>
      </c>
      <c r="AA351" s="7">
        <f t="shared" si="18"/>
        <v>546</v>
      </c>
      <c r="AB351" s="7">
        <f t="shared" si="19"/>
        <v>546</v>
      </c>
      <c r="AC351" s="7">
        <f t="shared" si="20"/>
        <v>546</v>
      </c>
      <c r="AD351" s="7">
        <f t="shared" si="21"/>
        <v>546</v>
      </c>
      <c r="AE351" s="8" t="str" cm="1">
        <f t="array" ref="AE351">IFERROR(_xlfn.XLOOKUP(H351,Sheet1!$G:$G,Sheet1!$F:$F),IFERROR(_xlfn.XLOOKUP(1,(--($X$2:$X$1074=X351))*(--ISNUMBER(MATCH($H$2:$H$1074,Sheet1!$G:$G,0))),_xlfn.XLOOKUP($H$2:$H$1074,Sheet1!$G:$G,Sheet1!$F:$F,"")),"NOT FOUND"))</f>
        <v>GETKRTSCUT5008C</v>
      </c>
      <c r="AF351" s="9" t="str">
        <f t="shared" si="24"/>
        <v>RED</v>
      </c>
      <c r="AG351" s="10" t="str">
        <f t="shared" si="25"/>
        <v>Bangalore</v>
      </c>
      <c r="AH351" s="8" t="str" cm="1">
        <f t="array" ref="AH351">IF(OR(J351="",AE351="",AE351="NOT FOUND"),"",IF(Y351="RP",_xlfn.LET(_xlpm.desc,_xlfn.XLOOKUP(1,(--(Sheet1!$F$2:$F$754=AE351))*(--ISNUMBER(FIND("-",Sheet1!$W$2:$W$754,FIND("-",Sheet1!$W$2:$W$754)+1))),Sheet1!$W$2:$W$754,""),IF(_xlpm.desc="","NOT FOUND",LEFT(_xlpm.desc,FIND("-",_xlpm.desc,FIND("-",_xlpm.desc)+1))&amp;AE351)),LEFT(J351,FIND("-",J351,FIND("-",J351)+1))&amp;AE351))</f>
        <v>KRTS-APWN26-GETKRTSCUT5008C</v>
      </c>
    </row>
    <row r="352" spans="1:34" ht="15.75" customHeight="1" x14ac:dyDescent="0.2">
      <c r="A352" t="s">
        <v>61</v>
      </c>
      <c r="B352" t="s">
        <v>1120</v>
      </c>
      <c r="C352" t="s">
        <v>371</v>
      </c>
      <c r="D352" t="s">
        <v>1156</v>
      </c>
      <c r="E352" t="s">
        <v>34</v>
      </c>
      <c r="F352" t="s">
        <v>35</v>
      </c>
      <c r="G352" t="s">
        <v>36</v>
      </c>
      <c r="H352" t="s">
        <v>1116</v>
      </c>
      <c r="I352" t="s">
        <v>1117</v>
      </c>
      <c r="J352" t="s">
        <v>1119</v>
      </c>
      <c r="K352" t="s">
        <v>474</v>
      </c>
      <c r="L352" t="s">
        <v>40</v>
      </c>
      <c r="M352">
        <v>1</v>
      </c>
      <c r="N352">
        <v>323</v>
      </c>
      <c r="O352">
        <v>323</v>
      </c>
      <c r="P352" t="s">
        <v>41</v>
      </c>
      <c r="Q352">
        <v>1248.5</v>
      </c>
      <c r="R352">
        <v>1248.5</v>
      </c>
      <c r="S352">
        <v>20163.28</v>
      </c>
      <c r="T352">
        <v>403265.5</v>
      </c>
      <c r="U352">
        <v>5</v>
      </c>
      <c r="V352" t="s">
        <v>42</v>
      </c>
      <c r="W352" t="s">
        <v>474</v>
      </c>
      <c r="X352" s="6" t="str">
        <f t="shared" si="15"/>
        <v>441814703</v>
      </c>
      <c r="Y352" s="7" t="str">
        <f t="shared" si="16"/>
        <v>RP</v>
      </c>
      <c r="Z352" s="7">
        <f t="shared" si="17"/>
        <v>323</v>
      </c>
      <c r="AA352" s="7">
        <f t="shared" si="18"/>
        <v>323</v>
      </c>
      <c r="AB352" s="7">
        <f t="shared" si="19"/>
        <v>323</v>
      </c>
      <c r="AC352" s="7">
        <f t="shared" si="20"/>
        <v>323</v>
      </c>
      <c r="AD352" s="7">
        <f t="shared" si="21"/>
        <v>323</v>
      </c>
      <c r="AE352" s="8" t="str" cm="1">
        <f t="array" ref="AE352">IFERROR(_xlfn.XLOOKUP(H352,Sheet1!$G:$G,Sheet1!$F:$F),IFERROR(_xlfn.XLOOKUP(1,(--($X$2:$X$1074=X352))*(--ISNUMBER(MATCH($H$2:$H$1074,Sheet1!$G:$G,0))),_xlfn.XLOOKUP($H$2:$H$1074,Sheet1!$G:$G,Sheet1!$F:$F,"")),"NOT FOUND"))</f>
        <v>GETKRTSCUT5008C</v>
      </c>
      <c r="AF352" s="9" t="str">
        <f t="shared" si="24"/>
        <v>RED</v>
      </c>
      <c r="AG352" s="10" t="str">
        <f t="shared" si="25"/>
        <v>HARIPAL</v>
      </c>
      <c r="AH352" s="8" t="str" cm="1">
        <f t="array" ref="AH352">IF(OR(J352="",AE352="",AE352="NOT FOUND"),"",IF(Y352="RP",_xlfn.LET(_xlpm.desc,_xlfn.XLOOKUP(1,(--(Sheet1!$F$2:$F$754=AE352))*(--ISNUMBER(FIND("-",Sheet1!$W$2:$W$754,FIND("-",Sheet1!$W$2:$W$754)+1))),Sheet1!$W$2:$W$754,""),IF(_xlpm.desc="","NOT FOUND",LEFT(_xlpm.desc,FIND("-",_xlpm.desc,FIND("-",_xlpm.desc)+1))&amp;AE352)),LEFT(J352,FIND("-",J352,FIND("-",J352)+1))&amp;AE352))</f>
        <v>KRTS-APWN26-GETKRTSCUT5008C</v>
      </c>
    </row>
    <row r="353" spans="1:34" ht="15.75" customHeight="1" x14ac:dyDescent="0.2">
      <c r="A353" t="s">
        <v>61</v>
      </c>
      <c r="B353" t="s">
        <v>1122</v>
      </c>
      <c r="C353" t="s">
        <v>371</v>
      </c>
      <c r="D353" t="s">
        <v>1156</v>
      </c>
      <c r="E353" t="s">
        <v>34</v>
      </c>
      <c r="F353" t="s">
        <v>35</v>
      </c>
      <c r="G353" t="s">
        <v>36</v>
      </c>
      <c r="H353" t="s">
        <v>1123</v>
      </c>
      <c r="I353" t="s">
        <v>1124</v>
      </c>
      <c r="J353" t="s">
        <v>1126</v>
      </c>
      <c r="K353" t="s">
        <v>474</v>
      </c>
      <c r="L353" t="s">
        <v>40</v>
      </c>
      <c r="M353">
        <v>1</v>
      </c>
      <c r="N353">
        <v>416</v>
      </c>
      <c r="O353">
        <v>416</v>
      </c>
      <c r="P353" t="s">
        <v>41</v>
      </c>
      <c r="Q353">
        <v>1248.5</v>
      </c>
      <c r="R353">
        <v>1248.5</v>
      </c>
      <c r="S353">
        <v>25968.799999999999</v>
      </c>
      <c r="T353">
        <v>519376</v>
      </c>
      <c r="U353">
        <v>5</v>
      </c>
      <c r="V353" t="s">
        <v>42</v>
      </c>
      <c r="W353" t="s">
        <v>474</v>
      </c>
      <c r="X353" s="6" t="str">
        <f t="shared" si="15"/>
        <v>441814701</v>
      </c>
      <c r="Y353" s="7" t="str">
        <f t="shared" si="16"/>
        <v>RP</v>
      </c>
      <c r="Z353" s="7">
        <f t="shared" si="17"/>
        <v>416</v>
      </c>
      <c r="AA353" s="7">
        <f t="shared" si="18"/>
        <v>416</v>
      </c>
      <c r="AB353" s="7">
        <f t="shared" si="19"/>
        <v>416</v>
      </c>
      <c r="AC353" s="7">
        <f t="shared" si="20"/>
        <v>416</v>
      </c>
      <c r="AD353" s="7">
        <f t="shared" si="21"/>
        <v>416</v>
      </c>
      <c r="AE353" s="8" t="str" cm="1">
        <f t="array" ref="AE353">IFERROR(_xlfn.XLOOKUP(H353,Sheet1!$G:$G,Sheet1!$F:$F),IFERROR(_xlfn.XLOOKUP(1,(--($X$2:$X$1074=X353))*(--ISNUMBER(MATCH($H$2:$H$1074,Sheet1!$G:$G,0))),_xlfn.XLOOKUP($H$2:$H$1074,Sheet1!$G:$G,Sheet1!$F:$F,"")),"NOT FOUND"))</f>
        <v>GETKRTSCUT5008</v>
      </c>
      <c r="AF353" s="9" t="str">
        <f t="shared" si="24"/>
        <v>BLACK</v>
      </c>
      <c r="AG353" s="10" t="str">
        <f t="shared" si="25"/>
        <v>HARIPAL</v>
      </c>
      <c r="AH353" s="8" t="str" cm="1">
        <f t="array" ref="AH353">IF(OR(J353="",AE353="",AE353="NOT FOUND"),"",IF(Y353="RP",_xlfn.LET(_xlpm.desc,_xlfn.XLOOKUP(1,(--(Sheet1!$F$2:$F$754=AE353))*(--ISNUMBER(FIND("-",Sheet1!$W$2:$W$754,FIND("-",Sheet1!$W$2:$W$754)+1))),Sheet1!$W$2:$W$754,""),IF(_xlpm.desc="","NOT FOUND",LEFT(_xlpm.desc,FIND("-",_xlpm.desc,FIND("-",_xlpm.desc)+1))&amp;AE353)),LEFT(J353,FIND("-",J353,FIND("-",J353)+1))&amp;AE353))</f>
        <v>KRTS-APWN26-GETKRTSCUT5008</v>
      </c>
    </row>
    <row r="354" spans="1:34" ht="15.75" customHeight="1" x14ac:dyDescent="0.2">
      <c r="A354" t="s">
        <v>59</v>
      </c>
      <c r="B354" t="s">
        <v>1127</v>
      </c>
      <c r="C354" t="s">
        <v>371</v>
      </c>
      <c r="D354" t="s">
        <v>1156</v>
      </c>
      <c r="E354" t="s">
        <v>34</v>
      </c>
      <c r="F354" t="s">
        <v>35</v>
      </c>
      <c r="G354" t="s">
        <v>36</v>
      </c>
      <c r="H354" t="s">
        <v>1111</v>
      </c>
      <c r="I354" t="s">
        <v>1112</v>
      </c>
      <c r="J354" t="s">
        <v>1114</v>
      </c>
      <c r="K354" t="s">
        <v>474</v>
      </c>
      <c r="L354" t="s">
        <v>40</v>
      </c>
      <c r="M354">
        <v>1</v>
      </c>
      <c r="N354">
        <v>292</v>
      </c>
      <c r="O354">
        <v>292</v>
      </c>
      <c r="P354" t="s">
        <v>41</v>
      </c>
      <c r="Q354">
        <v>1248.5</v>
      </c>
      <c r="R354">
        <v>1248.5</v>
      </c>
      <c r="S354">
        <v>18228.099999999999</v>
      </c>
      <c r="T354">
        <v>364562</v>
      </c>
      <c r="U354">
        <v>5</v>
      </c>
      <c r="V354" t="s">
        <v>42</v>
      </c>
      <c r="W354" t="s">
        <v>474</v>
      </c>
      <c r="X354" s="6" t="str">
        <f t="shared" si="15"/>
        <v>441814704</v>
      </c>
      <c r="Y354" s="7" t="str">
        <f t="shared" si="16"/>
        <v>RP</v>
      </c>
      <c r="Z354" s="7">
        <f t="shared" si="17"/>
        <v>292</v>
      </c>
      <c r="AA354" s="7">
        <f t="shared" si="18"/>
        <v>292</v>
      </c>
      <c r="AB354" s="7">
        <f t="shared" si="19"/>
        <v>292</v>
      </c>
      <c r="AC354" s="7">
        <f t="shared" si="20"/>
        <v>292</v>
      </c>
      <c r="AD354" s="7">
        <f t="shared" si="21"/>
        <v>292</v>
      </c>
      <c r="AE354" s="8" t="str" cm="1">
        <f t="array" ref="AE354">IFERROR(_xlfn.XLOOKUP(H354,Sheet1!$G:$G,Sheet1!$F:$F),IFERROR(_xlfn.XLOOKUP(1,(--($X$2:$X$1074=X354))*(--ISNUMBER(MATCH($H$2:$H$1074,Sheet1!$G:$G,0))),_xlfn.XLOOKUP($H$2:$H$1074,Sheet1!$G:$G,Sheet1!$F:$F,"")),"NOT FOUND"))</f>
        <v>GETKRTSCUT5008D</v>
      </c>
      <c r="AF354" s="9" t="str">
        <f t="shared" si="24"/>
        <v>MUSTARD</v>
      </c>
      <c r="AG354" s="10" t="str">
        <f t="shared" si="25"/>
        <v>JHAJJAR</v>
      </c>
      <c r="AH354" s="8" t="str" cm="1">
        <f t="array" ref="AH354">IF(OR(J354="",AE354="",AE354="NOT FOUND"),"",IF(Y354="RP",_xlfn.LET(_xlpm.desc,_xlfn.XLOOKUP(1,(--(Sheet1!$F$2:$F$754=AE354))*(--ISNUMBER(FIND("-",Sheet1!$W$2:$W$754,FIND("-",Sheet1!$W$2:$W$754)+1))),Sheet1!$W$2:$W$754,""),IF(_xlpm.desc="","NOT FOUND",LEFT(_xlpm.desc,FIND("-",_xlpm.desc,FIND("-",_xlpm.desc)+1))&amp;AE354)),LEFT(J354,FIND("-",J354,FIND("-",J354)+1))&amp;AE354))</f>
        <v>KRTS-APWN26-GETKRTSCUT5008D</v>
      </c>
    </row>
    <row r="355" spans="1:34" ht="15.75" customHeight="1" x14ac:dyDescent="0.2">
      <c r="A355" t="s">
        <v>61</v>
      </c>
      <c r="B355" t="s">
        <v>1128</v>
      </c>
      <c r="C355" t="s">
        <v>371</v>
      </c>
      <c r="D355" t="s">
        <v>1156</v>
      </c>
      <c r="E355" t="s">
        <v>34</v>
      </c>
      <c r="F355" t="s">
        <v>35</v>
      </c>
      <c r="G355" t="s">
        <v>36</v>
      </c>
      <c r="H355" t="s">
        <v>1111</v>
      </c>
      <c r="I355" t="s">
        <v>1112</v>
      </c>
      <c r="J355" t="s">
        <v>1114</v>
      </c>
      <c r="K355" t="s">
        <v>474</v>
      </c>
      <c r="L355" t="s">
        <v>40</v>
      </c>
      <c r="M355">
        <v>1</v>
      </c>
      <c r="N355">
        <v>308</v>
      </c>
      <c r="O355">
        <v>308</v>
      </c>
      <c r="P355" t="s">
        <v>41</v>
      </c>
      <c r="Q355">
        <v>1248.5</v>
      </c>
      <c r="R355">
        <v>1248.5</v>
      </c>
      <c r="S355">
        <v>19226.900000000001</v>
      </c>
      <c r="T355">
        <v>384538</v>
      </c>
      <c r="U355">
        <v>5</v>
      </c>
      <c r="V355" t="s">
        <v>42</v>
      </c>
      <c r="W355" t="s">
        <v>474</v>
      </c>
      <c r="X355" s="6" t="str">
        <f t="shared" si="15"/>
        <v>441814704</v>
      </c>
      <c r="Y355" s="7" t="str">
        <f t="shared" si="16"/>
        <v>RP</v>
      </c>
      <c r="Z355" s="7">
        <f t="shared" si="17"/>
        <v>308</v>
      </c>
      <c r="AA355" s="7">
        <f t="shared" si="18"/>
        <v>308</v>
      </c>
      <c r="AB355" s="7">
        <f t="shared" si="19"/>
        <v>308</v>
      </c>
      <c r="AC355" s="7">
        <f t="shared" si="20"/>
        <v>308</v>
      </c>
      <c r="AD355" s="7">
        <f t="shared" si="21"/>
        <v>308</v>
      </c>
      <c r="AE355" s="8" t="str" cm="1">
        <f t="array" ref="AE355">IFERROR(_xlfn.XLOOKUP(H355,Sheet1!$G:$G,Sheet1!$F:$F),IFERROR(_xlfn.XLOOKUP(1,(--($X$2:$X$1074=X355))*(--ISNUMBER(MATCH($H$2:$H$1074,Sheet1!$G:$G,0))),_xlfn.XLOOKUP($H$2:$H$1074,Sheet1!$G:$G,Sheet1!$F:$F,"")),"NOT FOUND"))</f>
        <v>GETKRTSCUT5008D</v>
      </c>
      <c r="AF355" s="9" t="str">
        <f t="shared" si="24"/>
        <v>MUSTARD</v>
      </c>
      <c r="AG355" s="10" t="str">
        <f t="shared" si="25"/>
        <v>HARIPAL</v>
      </c>
      <c r="AH355" s="8" t="str" cm="1">
        <f t="array" ref="AH355">IF(OR(J355="",AE355="",AE355="NOT FOUND"),"",IF(Y355="RP",_xlfn.LET(_xlpm.desc,_xlfn.XLOOKUP(1,(--(Sheet1!$F$2:$F$754=AE355))*(--ISNUMBER(FIND("-",Sheet1!$W$2:$W$754,FIND("-",Sheet1!$W$2:$W$754)+1))),Sheet1!$W$2:$W$754,""),IF(_xlpm.desc="","NOT FOUND",LEFT(_xlpm.desc,FIND("-",_xlpm.desc,FIND("-",_xlpm.desc)+1))&amp;AE355)),LEFT(J355,FIND("-",J355,FIND("-",J355)+1))&amp;AE355))</f>
        <v>KRTS-APWN26-GETKRTSCUT5008D</v>
      </c>
    </row>
    <row r="356" spans="1:34" ht="15.75" customHeight="1" x14ac:dyDescent="0.2">
      <c r="A356" t="s">
        <v>59</v>
      </c>
      <c r="B356" t="s">
        <v>1130</v>
      </c>
      <c r="C356" t="s">
        <v>371</v>
      </c>
      <c r="D356" t="s">
        <v>1156</v>
      </c>
      <c r="E356" t="s">
        <v>34</v>
      </c>
      <c r="F356" t="s">
        <v>35</v>
      </c>
      <c r="G356" t="s">
        <v>36</v>
      </c>
      <c r="H356" t="s">
        <v>1116</v>
      </c>
      <c r="I356" t="s">
        <v>1117</v>
      </c>
      <c r="J356" t="s">
        <v>1119</v>
      </c>
      <c r="K356" t="s">
        <v>474</v>
      </c>
      <c r="L356" t="s">
        <v>40</v>
      </c>
      <c r="M356">
        <v>1</v>
      </c>
      <c r="N356">
        <v>307</v>
      </c>
      <c r="O356">
        <v>307</v>
      </c>
      <c r="P356" t="s">
        <v>41</v>
      </c>
      <c r="Q356">
        <v>1248.5</v>
      </c>
      <c r="R356">
        <v>1248.5</v>
      </c>
      <c r="S356">
        <v>19164.48</v>
      </c>
      <c r="T356">
        <v>383289.5</v>
      </c>
      <c r="U356">
        <v>5</v>
      </c>
      <c r="V356" t="s">
        <v>42</v>
      </c>
      <c r="W356" t="s">
        <v>474</v>
      </c>
      <c r="X356" s="6" t="str">
        <f t="shared" si="15"/>
        <v>441814703</v>
      </c>
      <c r="Y356" s="7" t="str">
        <f t="shared" si="16"/>
        <v>RP</v>
      </c>
      <c r="Z356" s="7">
        <f t="shared" si="17"/>
        <v>307</v>
      </c>
      <c r="AA356" s="7">
        <f t="shared" si="18"/>
        <v>307</v>
      </c>
      <c r="AB356" s="7">
        <f t="shared" si="19"/>
        <v>307</v>
      </c>
      <c r="AC356" s="7">
        <f t="shared" si="20"/>
        <v>307</v>
      </c>
      <c r="AD356" s="7">
        <f t="shared" si="21"/>
        <v>307</v>
      </c>
      <c r="AE356" s="8" t="str" cm="1">
        <f t="array" ref="AE356">IFERROR(_xlfn.XLOOKUP(H356,Sheet1!$G:$G,Sheet1!$F:$F),IFERROR(_xlfn.XLOOKUP(1,(--($X$2:$X$1074=X356))*(--ISNUMBER(MATCH($H$2:$H$1074,Sheet1!$G:$G,0))),_xlfn.XLOOKUP($H$2:$H$1074,Sheet1!$G:$G,Sheet1!$F:$F,"")),"NOT FOUND"))</f>
        <v>GETKRTSCUT5008C</v>
      </c>
      <c r="AF356" s="9" t="str">
        <f t="shared" si="24"/>
        <v>RED</v>
      </c>
      <c r="AG356" s="10" t="str">
        <f t="shared" si="25"/>
        <v>JHAJJAR</v>
      </c>
      <c r="AH356" s="8" t="str" cm="1">
        <f t="array" ref="AH356">IF(OR(J356="",AE356="",AE356="NOT FOUND"),"",IF(Y356="RP",_xlfn.LET(_xlpm.desc,_xlfn.XLOOKUP(1,(--(Sheet1!$F$2:$F$754=AE356))*(--ISNUMBER(FIND("-",Sheet1!$W$2:$W$754,FIND("-",Sheet1!$W$2:$W$754)+1))),Sheet1!$W$2:$W$754,""),IF(_xlpm.desc="","NOT FOUND",LEFT(_xlpm.desc,FIND("-",_xlpm.desc,FIND("-",_xlpm.desc)+1))&amp;AE356)),LEFT(J356,FIND("-",J356,FIND("-",J356)+1))&amp;AE356))</f>
        <v>KRTS-APWN26-GETKRTSCUT5008C</v>
      </c>
    </row>
    <row r="357" spans="1:34" ht="15.75" customHeight="1" x14ac:dyDescent="0.2">
      <c r="A357" t="s">
        <v>59</v>
      </c>
      <c r="B357" t="s">
        <v>1132</v>
      </c>
      <c r="C357" t="s">
        <v>371</v>
      </c>
      <c r="D357" t="s">
        <v>1156</v>
      </c>
      <c r="E357" t="s">
        <v>34</v>
      </c>
      <c r="F357" t="s">
        <v>35</v>
      </c>
      <c r="G357" t="s">
        <v>36</v>
      </c>
      <c r="H357" t="s">
        <v>1133</v>
      </c>
      <c r="I357" t="s">
        <v>1134</v>
      </c>
      <c r="J357" t="s">
        <v>1135</v>
      </c>
      <c r="K357" t="s">
        <v>474</v>
      </c>
      <c r="L357" t="s">
        <v>40</v>
      </c>
      <c r="M357">
        <v>1</v>
      </c>
      <c r="N357">
        <v>292</v>
      </c>
      <c r="O357">
        <v>292</v>
      </c>
      <c r="P357" t="s">
        <v>41</v>
      </c>
      <c r="Q357">
        <v>1248.5</v>
      </c>
      <c r="R357">
        <v>1248.5</v>
      </c>
      <c r="S357">
        <v>18228.099999999999</v>
      </c>
      <c r="T357">
        <v>364562</v>
      </c>
      <c r="U357">
        <v>5</v>
      </c>
      <c r="V357" t="s">
        <v>42</v>
      </c>
      <c r="W357" t="s">
        <v>474</v>
      </c>
      <c r="X357" s="6" t="str">
        <f t="shared" si="15"/>
        <v>441814702</v>
      </c>
      <c r="Y357" s="7" t="str">
        <f t="shared" si="16"/>
        <v>RP</v>
      </c>
      <c r="Z357" s="7">
        <f t="shared" si="17"/>
        <v>292</v>
      </c>
      <c r="AA357" s="7">
        <f t="shared" si="18"/>
        <v>292</v>
      </c>
      <c r="AB357" s="7">
        <f t="shared" si="19"/>
        <v>292</v>
      </c>
      <c r="AC357" s="7">
        <f t="shared" si="20"/>
        <v>292</v>
      </c>
      <c r="AD357" s="7">
        <f t="shared" si="21"/>
        <v>292</v>
      </c>
      <c r="AE357" s="8" t="str" cm="1">
        <f t="array" ref="AE357">IFERROR(_xlfn.XLOOKUP(H357,Sheet1!$G:$G,Sheet1!$F:$F),IFERROR(_xlfn.XLOOKUP(1,(--($X$2:$X$1074=X357))*(--ISNUMBER(MATCH($H$2:$H$1074,Sheet1!$G:$G,0))),_xlfn.XLOOKUP($H$2:$H$1074,Sheet1!$G:$G,Sheet1!$F:$F,"")),"NOT FOUND"))</f>
        <v>GETKRTSCUT5008B</v>
      </c>
      <c r="AF357" s="9" t="str">
        <f t="shared" si="24"/>
        <v>OLIVE</v>
      </c>
      <c r="AG357" s="10" t="str">
        <f t="shared" si="25"/>
        <v>JHAJJAR</v>
      </c>
      <c r="AH357" s="8" t="str" cm="1">
        <f t="array" ref="AH357">IF(OR(J357="",AE357="",AE357="NOT FOUND"),"",IF(Y357="RP",_xlfn.LET(_xlpm.desc,_xlfn.XLOOKUP(1,(--(Sheet1!$F$2:$F$754=AE357))*(--ISNUMBER(FIND("-",Sheet1!$W$2:$W$754,FIND("-",Sheet1!$W$2:$W$754)+1))),Sheet1!$W$2:$W$754,""),IF(_xlpm.desc="","NOT FOUND",LEFT(_xlpm.desc,FIND("-",_xlpm.desc,FIND("-",_xlpm.desc)+1))&amp;AE357)),LEFT(J357,FIND("-",J357,FIND("-",J357)+1))&amp;AE357))</f>
        <v>KRTS-APWN26-GETKRTSCUT5008B</v>
      </c>
    </row>
    <row r="358" spans="1:34" ht="15.75" customHeight="1" x14ac:dyDescent="0.2">
      <c r="A358" t="s">
        <v>30</v>
      </c>
      <c r="B358" t="s">
        <v>1136</v>
      </c>
      <c r="C358" t="s">
        <v>371</v>
      </c>
      <c r="D358" t="s">
        <v>1156</v>
      </c>
      <c r="E358" t="s">
        <v>34</v>
      </c>
      <c r="F358" t="s">
        <v>35</v>
      </c>
      <c r="G358" t="s">
        <v>36</v>
      </c>
      <c r="H358" t="s">
        <v>1133</v>
      </c>
      <c r="I358" t="s">
        <v>1134</v>
      </c>
      <c r="J358" t="s">
        <v>1135</v>
      </c>
      <c r="K358" t="s">
        <v>474</v>
      </c>
      <c r="L358" t="s">
        <v>40</v>
      </c>
      <c r="M358">
        <v>1</v>
      </c>
      <c r="N358">
        <v>520</v>
      </c>
      <c r="O358">
        <v>520</v>
      </c>
      <c r="P358" t="s">
        <v>41</v>
      </c>
      <c r="Q358">
        <v>1248.5</v>
      </c>
      <c r="R358">
        <v>1248.5</v>
      </c>
      <c r="S358">
        <v>32461</v>
      </c>
      <c r="T358">
        <v>649220</v>
      </c>
      <c r="U358">
        <v>5</v>
      </c>
      <c r="V358" t="s">
        <v>42</v>
      </c>
      <c r="W358" t="s">
        <v>474</v>
      </c>
      <c r="X358" s="6" t="str">
        <f t="shared" si="15"/>
        <v>441814702</v>
      </c>
      <c r="Y358" s="7" t="str">
        <f t="shared" si="16"/>
        <v>RP</v>
      </c>
      <c r="Z358" s="7">
        <f t="shared" si="17"/>
        <v>520</v>
      </c>
      <c r="AA358" s="7">
        <f t="shared" si="18"/>
        <v>520</v>
      </c>
      <c r="AB358" s="7">
        <f t="shared" si="19"/>
        <v>520</v>
      </c>
      <c r="AC358" s="7">
        <f t="shared" si="20"/>
        <v>520</v>
      </c>
      <c r="AD358" s="7">
        <f t="shared" si="21"/>
        <v>520</v>
      </c>
      <c r="AE358" s="8" t="str" cm="1">
        <f t="array" ref="AE358">IFERROR(_xlfn.XLOOKUP(H358,Sheet1!$G:$G,Sheet1!$F:$F),IFERROR(_xlfn.XLOOKUP(1,(--($X$2:$X$1074=X358))*(--ISNUMBER(MATCH($H$2:$H$1074,Sheet1!$G:$G,0))),_xlfn.XLOOKUP($H$2:$H$1074,Sheet1!$G:$G,Sheet1!$F:$F,"")),"NOT FOUND"))</f>
        <v>GETKRTSCUT5008B</v>
      </c>
      <c r="AF358" s="9" t="str">
        <f t="shared" si="24"/>
        <v>OLIVE</v>
      </c>
      <c r="AG358" s="10" t="str">
        <f t="shared" si="25"/>
        <v>Bangalore</v>
      </c>
      <c r="AH358" s="8" t="str" cm="1">
        <f t="array" ref="AH358">IF(OR(J358="",AE358="",AE358="NOT FOUND"),"",IF(Y358="RP",_xlfn.LET(_xlpm.desc,_xlfn.XLOOKUP(1,(--(Sheet1!$F$2:$F$754=AE358))*(--ISNUMBER(FIND("-",Sheet1!$W$2:$W$754,FIND("-",Sheet1!$W$2:$W$754)+1))),Sheet1!$W$2:$W$754,""),IF(_xlpm.desc="","NOT FOUND",LEFT(_xlpm.desc,FIND("-",_xlpm.desc,FIND("-",_xlpm.desc)+1))&amp;AE358)),LEFT(J358,FIND("-",J358,FIND("-",J358)+1))&amp;AE358))</f>
        <v>KRTS-APWN26-GETKRTSCUT5008B</v>
      </c>
    </row>
    <row r="359" spans="1:34" ht="15.75" customHeight="1" x14ac:dyDescent="0.2">
      <c r="A359" t="s">
        <v>59</v>
      </c>
      <c r="B359" t="s">
        <v>1137</v>
      </c>
      <c r="C359" t="s">
        <v>371</v>
      </c>
      <c r="D359" t="s">
        <v>1156</v>
      </c>
      <c r="E359" t="s">
        <v>34</v>
      </c>
      <c r="F359" t="s">
        <v>35</v>
      </c>
      <c r="G359" t="s">
        <v>36</v>
      </c>
      <c r="H359" t="s">
        <v>1123</v>
      </c>
      <c r="I359" t="s">
        <v>1124</v>
      </c>
      <c r="J359" t="s">
        <v>1126</v>
      </c>
      <c r="K359" t="s">
        <v>474</v>
      </c>
      <c r="L359" t="s">
        <v>40</v>
      </c>
      <c r="M359">
        <v>1</v>
      </c>
      <c r="N359">
        <v>395</v>
      </c>
      <c r="O359">
        <v>395</v>
      </c>
      <c r="P359" t="s">
        <v>41</v>
      </c>
      <c r="Q359">
        <v>1248.5</v>
      </c>
      <c r="R359">
        <v>1248.5</v>
      </c>
      <c r="S359">
        <v>24657.88</v>
      </c>
      <c r="T359">
        <v>493157.5</v>
      </c>
      <c r="U359">
        <v>5</v>
      </c>
      <c r="V359" t="s">
        <v>42</v>
      </c>
      <c r="W359" t="s">
        <v>474</v>
      </c>
      <c r="X359" s="6" t="str">
        <f t="shared" si="15"/>
        <v>441814701</v>
      </c>
      <c r="Y359" s="7" t="str">
        <f t="shared" si="16"/>
        <v>RP</v>
      </c>
      <c r="Z359" s="7">
        <f t="shared" si="17"/>
        <v>395</v>
      </c>
      <c r="AA359" s="7">
        <f t="shared" si="18"/>
        <v>395</v>
      </c>
      <c r="AB359" s="7">
        <f t="shared" si="19"/>
        <v>395</v>
      </c>
      <c r="AC359" s="7">
        <f t="shared" si="20"/>
        <v>395</v>
      </c>
      <c r="AD359" s="7">
        <f t="shared" si="21"/>
        <v>395</v>
      </c>
      <c r="AE359" s="8" t="str" cm="1">
        <f t="array" ref="AE359">IFERROR(_xlfn.XLOOKUP(H359,Sheet1!$G:$G,Sheet1!$F:$F),IFERROR(_xlfn.XLOOKUP(1,(--($X$2:$X$1074=X359))*(--ISNUMBER(MATCH($H$2:$H$1074,Sheet1!$G:$G,0))),_xlfn.XLOOKUP($H$2:$H$1074,Sheet1!$G:$G,Sheet1!$F:$F,"")),"NOT FOUND"))</f>
        <v>GETKRTSCUT5008</v>
      </c>
      <c r="AF359" s="9" t="str">
        <f t="shared" si="24"/>
        <v>BLACK</v>
      </c>
      <c r="AG359" s="10" t="str">
        <f t="shared" si="25"/>
        <v>JHAJJAR</v>
      </c>
      <c r="AH359" s="8" t="str" cm="1">
        <f t="array" ref="AH359">IF(OR(J359="",AE359="",AE359="NOT FOUND"),"",IF(Y359="RP",_xlfn.LET(_xlpm.desc,_xlfn.XLOOKUP(1,(--(Sheet1!$F$2:$F$754=AE359))*(--ISNUMBER(FIND("-",Sheet1!$W$2:$W$754,FIND("-",Sheet1!$W$2:$W$754)+1))),Sheet1!$W$2:$W$754,""),IF(_xlpm.desc="","NOT FOUND",LEFT(_xlpm.desc,FIND("-",_xlpm.desc,FIND("-",_xlpm.desc)+1))&amp;AE359)),LEFT(J359,FIND("-",J359,FIND("-",J359)+1))&amp;AE359))</f>
        <v>KRTS-APWN26-GETKRTSCUT5008</v>
      </c>
    </row>
    <row r="360" spans="1:34" ht="15.75" customHeight="1" x14ac:dyDescent="0.2">
      <c r="A360" t="s">
        <v>61</v>
      </c>
      <c r="B360" t="s">
        <v>1139</v>
      </c>
      <c r="C360" t="s">
        <v>371</v>
      </c>
      <c r="D360" t="s">
        <v>1156</v>
      </c>
      <c r="E360" t="s">
        <v>34</v>
      </c>
      <c r="F360" t="s">
        <v>35</v>
      </c>
      <c r="G360" t="s">
        <v>36</v>
      </c>
      <c r="H360" t="s">
        <v>1133</v>
      </c>
      <c r="I360" t="s">
        <v>1134</v>
      </c>
      <c r="J360" t="s">
        <v>1135</v>
      </c>
      <c r="K360" t="s">
        <v>474</v>
      </c>
      <c r="L360" t="s">
        <v>40</v>
      </c>
      <c r="M360">
        <v>1</v>
      </c>
      <c r="N360">
        <v>308</v>
      </c>
      <c r="O360">
        <v>308</v>
      </c>
      <c r="P360" t="s">
        <v>41</v>
      </c>
      <c r="Q360">
        <v>1248.5</v>
      </c>
      <c r="R360">
        <v>1248.5</v>
      </c>
      <c r="S360">
        <v>19226.900000000001</v>
      </c>
      <c r="T360">
        <v>384538</v>
      </c>
      <c r="U360">
        <v>5</v>
      </c>
      <c r="V360" t="s">
        <v>42</v>
      </c>
      <c r="W360" t="s">
        <v>474</v>
      </c>
      <c r="X360" s="6" t="str">
        <f t="shared" si="15"/>
        <v>441814702</v>
      </c>
      <c r="Y360" s="7" t="str">
        <f t="shared" si="16"/>
        <v>RP</v>
      </c>
      <c r="Z360" s="7">
        <f t="shared" si="17"/>
        <v>308</v>
      </c>
      <c r="AA360" s="7">
        <f t="shared" si="18"/>
        <v>308</v>
      </c>
      <c r="AB360" s="7">
        <f t="shared" si="19"/>
        <v>308</v>
      </c>
      <c r="AC360" s="7">
        <f t="shared" si="20"/>
        <v>308</v>
      </c>
      <c r="AD360" s="7">
        <f t="shared" si="21"/>
        <v>308</v>
      </c>
      <c r="AE360" s="8" t="str" cm="1">
        <f t="array" ref="AE360">IFERROR(_xlfn.XLOOKUP(H360,Sheet1!$G:$G,Sheet1!$F:$F),IFERROR(_xlfn.XLOOKUP(1,(--($X$2:$X$1074=X360))*(--ISNUMBER(MATCH($H$2:$H$1074,Sheet1!$G:$G,0))),_xlfn.XLOOKUP($H$2:$H$1074,Sheet1!$G:$G,Sheet1!$F:$F,"")),"NOT FOUND"))</f>
        <v>GETKRTSCUT5008B</v>
      </c>
      <c r="AF360" s="9" t="str">
        <f t="shared" si="24"/>
        <v>OLIVE</v>
      </c>
      <c r="AG360" s="10" t="str">
        <f t="shared" si="25"/>
        <v>HARIPAL</v>
      </c>
      <c r="AH360" s="8" t="str" cm="1">
        <f t="array" ref="AH360">IF(OR(J360="",AE360="",AE360="NOT FOUND"),"",IF(Y360="RP",_xlfn.LET(_xlpm.desc,_xlfn.XLOOKUP(1,(--(Sheet1!$F$2:$F$754=AE360))*(--ISNUMBER(FIND("-",Sheet1!$W$2:$W$754,FIND("-",Sheet1!$W$2:$W$754)+1))),Sheet1!$W$2:$W$754,""),IF(_xlpm.desc="","NOT FOUND",LEFT(_xlpm.desc,FIND("-",_xlpm.desc,FIND("-",_xlpm.desc)+1))&amp;AE360)),LEFT(J360,FIND("-",J360,FIND("-",J360)+1))&amp;AE360))</f>
        <v>KRTS-APWN26-GETKRTSCUT5008B</v>
      </c>
    </row>
    <row r="361" spans="1:34" ht="15.75" customHeight="1" x14ac:dyDescent="0.2">
      <c r="A361" t="s">
        <v>30</v>
      </c>
      <c r="B361" t="s">
        <v>1140</v>
      </c>
      <c r="C361" t="s">
        <v>371</v>
      </c>
      <c r="D361" t="s">
        <v>1156</v>
      </c>
      <c r="E361" t="s">
        <v>34</v>
      </c>
      <c r="F361" t="s">
        <v>35</v>
      </c>
      <c r="G361" t="s">
        <v>36</v>
      </c>
      <c r="H361" t="s">
        <v>1123</v>
      </c>
      <c r="I361" t="s">
        <v>1124</v>
      </c>
      <c r="J361" t="s">
        <v>1126</v>
      </c>
      <c r="K361" t="s">
        <v>474</v>
      </c>
      <c r="L361" t="s">
        <v>40</v>
      </c>
      <c r="M361">
        <v>1</v>
      </c>
      <c r="N361">
        <v>701</v>
      </c>
      <c r="O361">
        <v>701</v>
      </c>
      <c r="P361" t="s">
        <v>41</v>
      </c>
      <c r="Q361">
        <v>1248.5</v>
      </c>
      <c r="R361">
        <v>1248.5</v>
      </c>
      <c r="S361">
        <v>43759.93</v>
      </c>
      <c r="T361">
        <v>875198.5</v>
      </c>
      <c r="U361">
        <v>5</v>
      </c>
      <c r="V361" t="s">
        <v>42</v>
      </c>
      <c r="W361" t="s">
        <v>474</v>
      </c>
      <c r="X361" s="6" t="str">
        <f t="shared" si="15"/>
        <v>441814701</v>
      </c>
      <c r="Y361" s="7" t="str">
        <f t="shared" si="16"/>
        <v>RP</v>
      </c>
      <c r="Z361" s="7">
        <f t="shared" si="17"/>
        <v>701</v>
      </c>
      <c r="AA361" s="7">
        <f t="shared" si="18"/>
        <v>701</v>
      </c>
      <c r="AB361" s="7">
        <f t="shared" si="19"/>
        <v>701</v>
      </c>
      <c r="AC361" s="7">
        <f t="shared" si="20"/>
        <v>701</v>
      </c>
      <c r="AD361" s="7">
        <f t="shared" si="21"/>
        <v>701</v>
      </c>
      <c r="AE361" s="8" t="str" cm="1">
        <f t="array" ref="AE361">IFERROR(_xlfn.XLOOKUP(H361,Sheet1!$G:$G,Sheet1!$F:$F),IFERROR(_xlfn.XLOOKUP(1,(--($X$2:$X$1074=X361))*(--ISNUMBER(MATCH($H$2:$H$1074,Sheet1!$G:$G,0))),_xlfn.XLOOKUP($H$2:$H$1074,Sheet1!$G:$G,Sheet1!$F:$F,"")),"NOT FOUND"))</f>
        <v>GETKRTSCUT5008</v>
      </c>
      <c r="AF361" s="9" t="str">
        <f t="shared" si="24"/>
        <v>BLACK</v>
      </c>
      <c r="AG361" s="10" t="str">
        <f t="shared" si="25"/>
        <v>Bangalore</v>
      </c>
      <c r="AH361" s="8" t="str" cm="1">
        <f t="array" ref="AH361">IF(OR(J361="",AE361="",AE361="NOT FOUND"),"",IF(Y361="RP",_xlfn.LET(_xlpm.desc,_xlfn.XLOOKUP(1,(--(Sheet1!$F$2:$F$754=AE361))*(--ISNUMBER(FIND("-",Sheet1!$W$2:$W$754,FIND("-",Sheet1!$W$2:$W$754)+1))),Sheet1!$W$2:$W$754,""),IF(_xlpm.desc="","NOT FOUND",LEFT(_xlpm.desc,FIND("-",_xlpm.desc,FIND("-",_xlpm.desc)+1))&amp;AE361)),LEFT(J361,FIND("-",J361,FIND("-",J361)+1))&amp;AE361))</f>
        <v>KRTS-APWN26-GETKRTSCUT5008</v>
      </c>
    </row>
    <row r="362" spans="1:34" ht="15.75" customHeight="1" x14ac:dyDescent="0.2">
      <c r="A362" t="s">
        <v>30</v>
      </c>
      <c r="B362" t="s">
        <v>593</v>
      </c>
      <c r="C362" t="s">
        <v>594</v>
      </c>
      <c r="D362" t="s">
        <v>595</v>
      </c>
      <c r="E362" t="s">
        <v>34</v>
      </c>
      <c r="F362" t="s">
        <v>35</v>
      </c>
      <c r="G362" t="s">
        <v>36</v>
      </c>
      <c r="H362" t="s">
        <v>154</v>
      </c>
      <c r="I362" t="s">
        <v>155</v>
      </c>
      <c r="J362" t="s">
        <v>39</v>
      </c>
      <c r="K362" t="s">
        <v>474</v>
      </c>
      <c r="L362" t="s">
        <v>40</v>
      </c>
      <c r="M362">
        <v>1</v>
      </c>
      <c r="N362">
        <v>30</v>
      </c>
      <c r="O362">
        <v>30</v>
      </c>
      <c r="P362" t="s">
        <v>41</v>
      </c>
      <c r="Q362">
        <v>326.7</v>
      </c>
      <c r="R362">
        <v>326.7</v>
      </c>
      <c r="S362">
        <v>490.05</v>
      </c>
      <c r="T362">
        <v>9801</v>
      </c>
      <c r="U362">
        <v>5</v>
      </c>
      <c r="V362" t="s">
        <v>42</v>
      </c>
      <c r="W362" t="s">
        <v>474</v>
      </c>
      <c r="X362" s="6" t="str">
        <f t="shared" si="15"/>
        <v>441811103</v>
      </c>
      <c r="Y362" s="7" t="str">
        <f t="shared" si="16"/>
        <v>DC</v>
      </c>
      <c r="Z362" s="7">
        <f t="shared" si="17"/>
        <v>0</v>
      </c>
      <c r="AA362" s="7">
        <f t="shared" si="18"/>
        <v>0</v>
      </c>
      <c r="AB362" s="7">
        <f t="shared" si="19"/>
        <v>0</v>
      </c>
      <c r="AC362" s="7">
        <f t="shared" si="20"/>
        <v>0</v>
      </c>
      <c r="AD362" s="7">
        <f t="shared" si="21"/>
        <v>30</v>
      </c>
      <c r="AE362" s="8" t="str" cm="1">
        <f t="array" ref="AE362">IFERROR(_xlfn.XLOOKUP(H362,Sheet1!$G:$G,Sheet1!$F:$F),IFERROR(_xlfn.XLOOKUP(1,(--($X$2:$X$1074=X362))*(--ISNUMBER(MATCH($H$2:$H$1074,Sheet1!$G:$G,0))),_xlfn.XLOOKUP($H$2:$H$1074,Sheet1!$G:$G,Sheet1!$F:$F,"")),"NOT FOUND"))</f>
        <v>GETKRTSFUT6126</v>
      </c>
      <c r="AF362" s="9" t="str">
        <f t="shared" si="24"/>
        <v>OFF WHITE</v>
      </c>
      <c r="AG362" s="10" t="str">
        <f t="shared" si="25"/>
        <v>Bangalore</v>
      </c>
      <c r="AH362" s="8" t="str" cm="1">
        <f t="array" ref="AH362">IF(OR(J362="",AE362="",AE362="NOT FOUND"),"",IF(Y362="RP",_xlfn.LET(_xlpm.desc,_xlfn.XLOOKUP(1,(--(Sheet1!$F$2:$F$754=AE362))*(--ISNUMBER(FIND("-",Sheet1!$W$2:$W$754,FIND("-",Sheet1!$W$2:$W$754)+1))),Sheet1!$W$2:$W$754,""),IF(_xlpm.desc="","NOT FOUND",LEFT(_xlpm.desc,FIND("-",_xlpm.desc,FIND("-",_xlpm.desc)+1))&amp;AE362)),LEFT(J362,FIND("-",J362,FIND("-",J362)+1))&amp;AE362))</f>
        <v>KRTS-APWN26-GETKRTSFUT6126</v>
      </c>
    </row>
    <row r="363" spans="1:34" ht="15.75" customHeight="1" x14ac:dyDescent="0.2">
      <c r="A363" t="s">
        <v>30</v>
      </c>
      <c r="B363" t="s">
        <v>593</v>
      </c>
      <c r="C363" t="s">
        <v>594</v>
      </c>
      <c r="D363" t="s">
        <v>595</v>
      </c>
      <c r="E363" t="s">
        <v>34</v>
      </c>
      <c r="F363" t="s">
        <v>35</v>
      </c>
      <c r="G363" t="s">
        <v>43</v>
      </c>
      <c r="H363" t="s">
        <v>156</v>
      </c>
      <c r="I363" t="s">
        <v>157</v>
      </c>
      <c r="J363" t="s">
        <v>158</v>
      </c>
      <c r="K363" t="s">
        <v>474</v>
      </c>
      <c r="L363" t="s">
        <v>40</v>
      </c>
      <c r="M363">
        <v>1</v>
      </c>
      <c r="N363">
        <v>257</v>
      </c>
      <c r="O363">
        <v>257</v>
      </c>
      <c r="P363" t="s">
        <v>41</v>
      </c>
      <c r="Q363">
        <v>326.7</v>
      </c>
      <c r="R363">
        <v>326.7</v>
      </c>
      <c r="S363">
        <v>4198.1000000000004</v>
      </c>
      <c r="T363">
        <v>83961.9</v>
      </c>
      <c r="U363">
        <v>5</v>
      </c>
      <c r="V363" t="s">
        <v>42</v>
      </c>
      <c r="W363" t="s">
        <v>474</v>
      </c>
      <c r="X363" s="6" t="str">
        <f t="shared" si="15"/>
        <v>441811103</v>
      </c>
      <c r="Y363" s="7" t="str">
        <f t="shared" si="16"/>
        <v>DC</v>
      </c>
      <c r="Z363" s="7">
        <f t="shared" si="17"/>
        <v>0</v>
      </c>
      <c r="AA363" s="7">
        <f t="shared" si="18"/>
        <v>0</v>
      </c>
      <c r="AB363" s="7">
        <f t="shared" si="19"/>
        <v>257</v>
      </c>
      <c r="AC363" s="7">
        <f t="shared" si="20"/>
        <v>0</v>
      </c>
      <c r="AD363" s="7">
        <f t="shared" si="21"/>
        <v>0</v>
      </c>
      <c r="AE363" s="8" t="str" cm="1">
        <f t="array" ref="AE363">IFERROR(_xlfn.XLOOKUP(H363,Sheet1!$G:$G,Sheet1!$F:$F),IFERROR(_xlfn.XLOOKUP(1,(--($X$2:$X$1074=X363))*(--ISNUMBER(MATCH($H$2:$H$1074,Sheet1!$G:$G,0))),_xlfn.XLOOKUP($H$2:$H$1074,Sheet1!$G:$G,Sheet1!$F:$F,"")),"NOT FOUND"))</f>
        <v>GETKRTSFUT6126</v>
      </c>
      <c r="AF363" s="9" t="str">
        <f t="shared" si="24"/>
        <v>OFF WHITE</v>
      </c>
      <c r="AG363" s="10" t="str">
        <f t="shared" si="25"/>
        <v>Bangalore</v>
      </c>
      <c r="AH363" s="8" t="str" cm="1">
        <f t="array" ref="AH363">IF(OR(J363="",AE363="",AE363="NOT FOUND"),"",IF(Y363="RP",_xlfn.LET(_xlpm.desc,_xlfn.XLOOKUP(1,(--(Sheet1!$F$2:$F$754=AE363))*(--ISNUMBER(FIND("-",Sheet1!$W$2:$W$754,FIND("-",Sheet1!$W$2:$W$754)+1))),Sheet1!$W$2:$W$754,""),IF(_xlpm.desc="","NOT FOUND",LEFT(_xlpm.desc,FIND("-",_xlpm.desc,FIND("-",_xlpm.desc)+1))&amp;AE363)),LEFT(J363,FIND("-",J363,FIND("-",J363)+1))&amp;AE363))</f>
        <v>KRTS-APWN26-GETKRTSFUT6126</v>
      </c>
    </row>
    <row r="364" spans="1:34" ht="15.75" customHeight="1" x14ac:dyDescent="0.2">
      <c r="A364" t="s">
        <v>30</v>
      </c>
      <c r="B364" t="s">
        <v>593</v>
      </c>
      <c r="C364" t="s">
        <v>594</v>
      </c>
      <c r="D364" t="s">
        <v>595</v>
      </c>
      <c r="E364" t="s">
        <v>34</v>
      </c>
      <c r="F364" t="s">
        <v>35</v>
      </c>
      <c r="G364" t="s">
        <v>47</v>
      </c>
      <c r="H364" t="s">
        <v>159</v>
      </c>
      <c r="I364" t="s">
        <v>160</v>
      </c>
      <c r="J364" t="s">
        <v>161</v>
      </c>
      <c r="K364" t="s">
        <v>474</v>
      </c>
      <c r="L364" t="s">
        <v>40</v>
      </c>
      <c r="M364">
        <v>1</v>
      </c>
      <c r="N364">
        <v>257</v>
      </c>
      <c r="O364">
        <v>257</v>
      </c>
      <c r="P364" t="s">
        <v>41</v>
      </c>
      <c r="Q364">
        <v>326.7</v>
      </c>
      <c r="R364">
        <v>326.7</v>
      </c>
      <c r="S364">
        <v>4198.1000000000004</v>
      </c>
      <c r="T364">
        <v>83961.9</v>
      </c>
      <c r="U364">
        <v>5</v>
      </c>
      <c r="V364" t="s">
        <v>42</v>
      </c>
      <c r="W364" t="s">
        <v>474</v>
      </c>
      <c r="X364" s="6" t="str">
        <f t="shared" si="15"/>
        <v>441811103</v>
      </c>
      <c r="Y364" s="7" t="str">
        <f t="shared" si="16"/>
        <v>DC</v>
      </c>
      <c r="Z364" s="7">
        <f t="shared" si="17"/>
        <v>0</v>
      </c>
      <c r="AA364" s="7">
        <f t="shared" si="18"/>
        <v>257</v>
      </c>
      <c r="AB364" s="7">
        <f t="shared" si="19"/>
        <v>0</v>
      </c>
      <c r="AC364" s="7">
        <f t="shared" si="20"/>
        <v>0</v>
      </c>
      <c r="AD364" s="7">
        <f t="shared" si="21"/>
        <v>0</v>
      </c>
      <c r="AE364" s="8" t="str" cm="1">
        <f t="array" ref="AE364">IFERROR(_xlfn.XLOOKUP(H364,Sheet1!$G:$G,Sheet1!$F:$F),IFERROR(_xlfn.XLOOKUP(1,(--($X$2:$X$1074=X364))*(--ISNUMBER(MATCH($H$2:$H$1074,Sheet1!$G:$G,0))),_xlfn.XLOOKUP($H$2:$H$1074,Sheet1!$G:$G,Sheet1!$F:$F,"")),"NOT FOUND"))</f>
        <v>GETKRTSFUT6126</v>
      </c>
      <c r="AF364" s="9" t="str">
        <f t="shared" si="24"/>
        <v>OFF WHITE</v>
      </c>
      <c r="AG364" s="10" t="str">
        <f t="shared" si="25"/>
        <v>Bangalore</v>
      </c>
      <c r="AH364" s="8" t="str" cm="1">
        <f t="array" ref="AH364">IF(OR(J364="",AE364="",AE364="NOT FOUND"),"",IF(Y364="RP",_xlfn.LET(_xlpm.desc,_xlfn.XLOOKUP(1,(--(Sheet1!$F$2:$F$754=AE364))*(--ISNUMBER(FIND("-",Sheet1!$W$2:$W$754,FIND("-",Sheet1!$W$2:$W$754)+1))),Sheet1!$W$2:$W$754,""),IF(_xlpm.desc="","NOT FOUND",LEFT(_xlpm.desc,FIND("-",_xlpm.desc,FIND("-",_xlpm.desc)+1))&amp;AE364)),LEFT(J364,FIND("-",J364,FIND("-",J364)+1))&amp;AE364))</f>
        <v>KRTS-APWN26-GETKRTSFUT6126</v>
      </c>
    </row>
    <row r="365" spans="1:34" ht="15.75" customHeight="1" x14ac:dyDescent="0.2">
      <c r="A365" t="s">
        <v>30</v>
      </c>
      <c r="B365" t="s">
        <v>593</v>
      </c>
      <c r="C365" t="s">
        <v>594</v>
      </c>
      <c r="D365" t="s">
        <v>595</v>
      </c>
      <c r="E365" t="s">
        <v>34</v>
      </c>
      <c r="F365" t="s">
        <v>35</v>
      </c>
      <c r="G365" t="s">
        <v>51</v>
      </c>
      <c r="H365" t="s">
        <v>162</v>
      </c>
      <c r="I365" t="s">
        <v>163</v>
      </c>
      <c r="J365" t="s">
        <v>164</v>
      </c>
      <c r="K365" t="s">
        <v>474</v>
      </c>
      <c r="L365" t="s">
        <v>40</v>
      </c>
      <c r="M365">
        <v>1</v>
      </c>
      <c r="N365">
        <v>30</v>
      </c>
      <c r="O365">
        <v>30</v>
      </c>
      <c r="P365" t="s">
        <v>41</v>
      </c>
      <c r="Q365">
        <v>326.7</v>
      </c>
      <c r="R365">
        <v>326.7</v>
      </c>
      <c r="S365">
        <v>490.05</v>
      </c>
      <c r="T365">
        <v>9801</v>
      </c>
      <c r="U365">
        <v>5</v>
      </c>
      <c r="V365" t="s">
        <v>42</v>
      </c>
      <c r="W365" t="s">
        <v>474</v>
      </c>
      <c r="X365" s="6" t="str">
        <f t="shared" si="15"/>
        <v>441811103</v>
      </c>
      <c r="Y365" s="7" t="str">
        <f t="shared" si="16"/>
        <v>DC</v>
      </c>
      <c r="Z365" s="7">
        <f t="shared" si="17"/>
        <v>30</v>
      </c>
      <c r="AA365" s="7">
        <f t="shared" si="18"/>
        <v>0</v>
      </c>
      <c r="AB365" s="7">
        <f t="shared" si="19"/>
        <v>0</v>
      </c>
      <c r="AC365" s="7">
        <f t="shared" si="20"/>
        <v>0</v>
      </c>
      <c r="AD365" s="7">
        <f t="shared" si="21"/>
        <v>0</v>
      </c>
      <c r="AE365" s="8" t="str" cm="1">
        <f t="array" ref="AE365">IFERROR(_xlfn.XLOOKUP(H365,Sheet1!$G:$G,Sheet1!$F:$F),IFERROR(_xlfn.XLOOKUP(1,(--($X$2:$X$1074=X365))*(--ISNUMBER(MATCH($H$2:$H$1074,Sheet1!$G:$G,0))),_xlfn.XLOOKUP($H$2:$H$1074,Sheet1!$G:$G,Sheet1!$F:$F,"")),"NOT FOUND"))</f>
        <v>GETKRTSFUT6126</v>
      </c>
      <c r="AF365" s="9" t="str">
        <f t="shared" si="24"/>
        <v>OFF WHITE</v>
      </c>
      <c r="AG365" s="10" t="str">
        <f t="shared" si="25"/>
        <v>Bangalore</v>
      </c>
      <c r="AH365" s="8" t="str" cm="1">
        <f t="array" ref="AH365">IF(OR(J365="",AE365="",AE365="NOT FOUND"),"",IF(Y365="RP",_xlfn.LET(_xlpm.desc,_xlfn.XLOOKUP(1,(--(Sheet1!$F$2:$F$754=AE365))*(--ISNUMBER(FIND("-",Sheet1!$W$2:$W$754,FIND("-",Sheet1!$W$2:$W$754)+1))),Sheet1!$W$2:$W$754,""),IF(_xlpm.desc="","NOT FOUND",LEFT(_xlpm.desc,FIND("-",_xlpm.desc,FIND("-",_xlpm.desc)+1))&amp;AE365)),LEFT(J365,FIND("-",J365,FIND("-",J365)+1))&amp;AE365))</f>
        <v>KRTS-APWN26-GETKRTSFUT6126</v>
      </c>
    </row>
    <row r="366" spans="1:34" ht="15.75" customHeight="1" x14ac:dyDescent="0.2">
      <c r="A366" t="s">
        <v>30</v>
      </c>
      <c r="B366" t="s">
        <v>593</v>
      </c>
      <c r="C366" t="s">
        <v>594</v>
      </c>
      <c r="D366" t="s">
        <v>595</v>
      </c>
      <c r="E366" t="s">
        <v>34</v>
      </c>
      <c r="F366" t="s">
        <v>35</v>
      </c>
      <c r="G366" t="s">
        <v>55</v>
      </c>
      <c r="H366" t="s">
        <v>165</v>
      </c>
      <c r="I366" t="s">
        <v>166</v>
      </c>
      <c r="J366" t="s">
        <v>58</v>
      </c>
      <c r="K366" t="s">
        <v>474</v>
      </c>
      <c r="L366" t="s">
        <v>40</v>
      </c>
      <c r="M366">
        <v>1</v>
      </c>
      <c r="N366">
        <v>217</v>
      </c>
      <c r="O366">
        <v>217</v>
      </c>
      <c r="P366" t="s">
        <v>41</v>
      </c>
      <c r="Q366">
        <v>326.7</v>
      </c>
      <c r="R366">
        <v>326.7</v>
      </c>
      <c r="S366">
        <v>3544.7</v>
      </c>
      <c r="T366">
        <v>70893.899999999994</v>
      </c>
      <c r="U366">
        <v>5</v>
      </c>
      <c r="V366" t="s">
        <v>42</v>
      </c>
      <c r="W366" t="s">
        <v>474</v>
      </c>
      <c r="X366" s="6" t="str">
        <f t="shared" si="15"/>
        <v>441811103</v>
      </c>
      <c r="Y366" s="7" t="str">
        <f t="shared" si="16"/>
        <v>DC</v>
      </c>
      <c r="Z366" s="7">
        <f t="shared" si="17"/>
        <v>0</v>
      </c>
      <c r="AA366" s="7">
        <f t="shared" si="18"/>
        <v>0</v>
      </c>
      <c r="AB366" s="7">
        <f t="shared" si="19"/>
        <v>0</v>
      </c>
      <c r="AC366" s="7">
        <f t="shared" si="20"/>
        <v>217</v>
      </c>
      <c r="AD366" s="7">
        <f t="shared" si="21"/>
        <v>0</v>
      </c>
      <c r="AE366" s="8" t="str" cm="1">
        <f t="array" ref="AE366">IFERROR(_xlfn.XLOOKUP(H366,Sheet1!$G:$G,Sheet1!$F:$F),IFERROR(_xlfn.XLOOKUP(1,(--($X$2:$X$1074=X366))*(--ISNUMBER(MATCH($H$2:$H$1074,Sheet1!$G:$G,0))),_xlfn.XLOOKUP($H$2:$H$1074,Sheet1!$G:$G,Sheet1!$F:$F,"")),"NOT FOUND"))</f>
        <v>GETKRTSFUT6126</v>
      </c>
      <c r="AF366" s="9" t="str">
        <f t="shared" si="24"/>
        <v>OFF WHITE</v>
      </c>
      <c r="AG366" s="10" t="str">
        <f t="shared" si="25"/>
        <v>Bangalore</v>
      </c>
      <c r="AH366" s="8" t="str" cm="1">
        <f t="array" ref="AH366">IF(OR(J366="",AE366="",AE366="NOT FOUND"),"",IF(Y366="RP",_xlfn.LET(_xlpm.desc,_xlfn.XLOOKUP(1,(--(Sheet1!$F$2:$F$754=AE366))*(--ISNUMBER(FIND("-",Sheet1!$W$2:$W$754,FIND("-",Sheet1!$W$2:$W$754)+1))),Sheet1!$W$2:$W$754,""),IF(_xlpm.desc="","NOT FOUND",LEFT(_xlpm.desc,FIND("-",_xlpm.desc,FIND("-",_xlpm.desc)+1))&amp;AE366)),LEFT(J366,FIND("-",J366,FIND("-",J366)+1))&amp;AE366))</f>
        <v>KRTS-APWN26-GETKRTSFUT6126</v>
      </c>
    </row>
    <row r="367" spans="1:34" ht="15.75" customHeight="1" x14ac:dyDescent="0.2">
      <c r="A367" t="s">
        <v>30</v>
      </c>
      <c r="B367" t="s">
        <v>560</v>
      </c>
      <c r="C367" t="s">
        <v>558</v>
      </c>
      <c r="D367" t="s">
        <v>559</v>
      </c>
      <c r="E367" t="s">
        <v>34</v>
      </c>
      <c r="F367" t="s">
        <v>35</v>
      </c>
      <c r="G367" t="s">
        <v>36</v>
      </c>
      <c r="H367" t="s">
        <v>561</v>
      </c>
      <c r="I367" t="s">
        <v>562</v>
      </c>
      <c r="J367" t="s">
        <v>563</v>
      </c>
      <c r="K367" t="s">
        <v>474</v>
      </c>
      <c r="L367" t="s">
        <v>40</v>
      </c>
      <c r="M367">
        <v>1</v>
      </c>
      <c r="N367">
        <v>257</v>
      </c>
      <c r="O367">
        <v>257</v>
      </c>
      <c r="P367" t="s">
        <v>41</v>
      </c>
      <c r="Q367">
        <v>324.7</v>
      </c>
      <c r="R367">
        <v>324.7</v>
      </c>
      <c r="S367">
        <v>4172.3999999999996</v>
      </c>
      <c r="T367">
        <v>83447.899999999994</v>
      </c>
      <c r="U367">
        <v>5</v>
      </c>
      <c r="V367" t="s">
        <v>42</v>
      </c>
      <c r="W367" t="s">
        <v>474</v>
      </c>
      <c r="X367" s="6" t="str">
        <f t="shared" si="15"/>
        <v>441812262</v>
      </c>
      <c r="Y367" s="7" t="str">
        <f t="shared" si="16"/>
        <v>DC</v>
      </c>
      <c r="Z367" s="7">
        <f t="shared" si="17"/>
        <v>0</v>
      </c>
      <c r="AA367" s="7">
        <f t="shared" si="18"/>
        <v>0</v>
      </c>
      <c r="AB367" s="7">
        <f t="shared" si="19"/>
        <v>0</v>
      </c>
      <c r="AC367" s="7">
        <f t="shared" si="20"/>
        <v>0</v>
      </c>
      <c r="AD367" s="7">
        <f t="shared" si="21"/>
        <v>257</v>
      </c>
      <c r="AE367" s="8" t="str" cm="1">
        <f t="array" ref="AE367">IFERROR(_xlfn.XLOOKUP(H367,Sheet1!$G:$G,Sheet1!$F:$F),IFERROR(_xlfn.XLOOKUP(1,(--($X$2:$X$1074=X367))*(--ISNUMBER(MATCH($H$2:$H$1074,Sheet1!$G:$G,0))),_xlfn.XLOOKUP($H$2:$H$1074,Sheet1!$G:$G,Sheet1!$F:$F,"")),"NOT FOUND"))</f>
        <v>GETKRTSFUT6106</v>
      </c>
      <c r="AF367" s="9" t="str">
        <f t="shared" si="24"/>
        <v>BEIGE</v>
      </c>
      <c r="AG367" s="10" t="str">
        <f t="shared" si="25"/>
        <v>Bangalore</v>
      </c>
      <c r="AH367" s="8" t="str" cm="1">
        <f t="array" ref="AH367">IF(OR(J367="",AE367="",AE367="NOT FOUND"),"",IF(Y367="RP",_xlfn.LET(_xlpm.desc,_xlfn.XLOOKUP(1,(--(Sheet1!$F$2:$F$754=AE367))*(--ISNUMBER(FIND("-",Sheet1!$W$2:$W$754,FIND("-",Sheet1!$W$2:$W$754)+1))),Sheet1!$W$2:$W$754,""),IF(_xlpm.desc="","NOT FOUND",LEFT(_xlpm.desc,FIND("-",_xlpm.desc,FIND("-",_xlpm.desc)+1))&amp;AE367)),LEFT(J367,FIND("-",J367,FIND("-",J367)+1))&amp;AE367))</f>
        <v>KRTS-APWN26-GETKRTSFUT6106</v>
      </c>
    </row>
    <row r="368" spans="1:34" ht="15.75" customHeight="1" x14ac:dyDescent="0.2">
      <c r="A368" t="s">
        <v>30</v>
      </c>
      <c r="B368" t="s">
        <v>560</v>
      </c>
      <c r="C368" t="s">
        <v>558</v>
      </c>
      <c r="D368" t="s">
        <v>559</v>
      </c>
      <c r="E368" t="s">
        <v>34</v>
      </c>
      <c r="F368" t="s">
        <v>35</v>
      </c>
      <c r="G368" t="s">
        <v>51</v>
      </c>
      <c r="H368" t="s">
        <v>570</v>
      </c>
      <c r="I368" t="s">
        <v>571</v>
      </c>
      <c r="J368" t="s">
        <v>572</v>
      </c>
      <c r="K368" t="s">
        <v>474</v>
      </c>
      <c r="L368" t="s">
        <v>40</v>
      </c>
      <c r="M368">
        <v>1</v>
      </c>
      <c r="N368">
        <v>186</v>
      </c>
      <c r="O368">
        <v>186</v>
      </c>
      <c r="P368" t="s">
        <v>41</v>
      </c>
      <c r="Q368">
        <v>324.7</v>
      </c>
      <c r="R368">
        <v>324.7</v>
      </c>
      <c r="S368">
        <v>3019.71</v>
      </c>
      <c r="T368">
        <v>60394.2</v>
      </c>
      <c r="U368">
        <v>5</v>
      </c>
      <c r="V368" t="s">
        <v>42</v>
      </c>
      <c r="W368" t="s">
        <v>474</v>
      </c>
      <c r="X368" s="6" t="str">
        <f t="shared" si="15"/>
        <v>441812262</v>
      </c>
      <c r="Y368" s="7" t="str">
        <f t="shared" si="16"/>
        <v>DC</v>
      </c>
      <c r="Z368" s="7">
        <f t="shared" si="17"/>
        <v>186</v>
      </c>
      <c r="AA368" s="7">
        <f t="shared" si="18"/>
        <v>0</v>
      </c>
      <c r="AB368" s="7">
        <f t="shared" si="19"/>
        <v>0</v>
      </c>
      <c r="AC368" s="7">
        <f t="shared" si="20"/>
        <v>0</v>
      </c>
      <c r="AD368" s="7">
        <f t="shared" si="21"/>
        <v>0</v>
      </c>
      <c r="AE368" s="8" t="str" cm="1">
        <f t="array" ref="AE368">IFERROR(_xlfn.XLOOKUP(H368,Sheet1!$G:$G,Sheet1!$F:$F),IFERROR(_xlfn.XLOOKUP(1,(--($X$2:$X$1074=X368))*(--ISNUMBER(MATCH($H$2:$H$1074,Sheet1!$G:$G,0))),_xlfn.XLOOKUP($H$2:$H$1074,Sheet1!$G:$G,Sheet1!$F:$F,"")),"NOT FOUND"))</f>
        <v>GETKRTSFUT6106</v>
      </c>
      <c r="AF368" s="9" t="str">
        <f t="shared" si="24"/>
        <v>BEIGE</v>
      </c>
      <c r="AG368" s="10" t="str">
        <f t="shared" si="25"/>
        <v>Bangalore</v>
      </c>
      <c r="AH368" s="8" t="str" cm="1">
        <f t="array" ref="AH368">IF(OR(J368="",AE368="",AE368="NOT FOUND"),"",IF(Y368="RP",_xlfn.LET(_xlpm.desc,_xlfn.XLOOKUP(1,(--(Sheet1!$F$2:$F$754=AE368))*(--ISNUMBER(FIND("-",Sheet1!$W$2:$W$754,FIND("-",Sheet1!$W$2:$W$754)+1))),Sheet1!$W$2:$W$754,""),IF(_xlpm.desc="","NOT FOUND",LEFT(_xlpm.desc,FIND("-",_xlpm.desc,FIND("-",_xlpm.desc)+1))&amp;AE368)),LEFT(J368,FIND("-",J368,FIND("-",J368)+1))&amp;AE368))</f>
        <v>KRTS-APWN26-GETKRTSFUT6106</v>
      </c>
    </row>
    <row r="369" spans="1:34" ht="15.75" customHeight="1" x14ac:dyDescent="0.2">
      <c r="A369" t="s">
        <v>30</v>
      </c>
      <c r="B369" t="s">
        <v>560</v>
      </c>
      <c r="C369" t="s">
        <v>558</v>
      </c>
      <c r="D369" t="s">
        <v>559</v>
      </c>
      <c r="E369" t="s">
        <v>34</v>
      </c>
      <c r="F369" t="s">
        <v>35</v>
      </c>
      <c r="G369" t="s">
        <v>55</v>
      </c>
      <c r="H369" t="s">
        <v>573</v>
      </c>
      <c r="I369" t="s">
        <v>574</v>
      </c>
      <c r="J369" t="s">
        <v>575</v>
      </c>
      <c r="K369" t="s">
        <v>474</v>
      </c>
      <c r="L369" t="s">
        <v>40</v>
      </c>
      <c r="M369">
        <v>1</v>
      </c>
      <c r="N369">
        <v>157</v>
      </c>
      <c r="O369">
        <v>157</v>
      </c>
      <c r="P369" t="s">
        <v>41</v>
      </c>
      <c r="Q369">
        <v>324.7</v>
      </c>
      <c r="R369">
        <v>324.7</v>
      </c>
      <c r="S369">
        <v>2548.9</v>
      </c>
      <c r="T369">
        <v>50977.9</v>
      </c>
      <c r="U369">
        <v>5</v>
      </c>
      <c r="V369" t="s">
        <v>42</v>
      </c>
      <c r="W369" t="s">
        <v>474</v>
      </c>
      <c r="X369" s="6" t="str">
        <f t="shared" si="15"/>
        <v>441812262</v>
      </c>
      <c r="Y369" s="7" t="str">
        <f t="shared" si="16"/>
        <v>DC</v>
      </c>
      <c r="Z369" s="7">
        <f t="shared" si="17"/>
        <v>0</v>
      </c>
      <c r="AA369" s="7">
        <f t="shared" si="18"/>
        <v>0</v>
      </c>
      <c r="AB369" s="7">
        <f t="shared" si="19"/>
        <v>0</v>
      </c>
      <c r="AC369" s="7">
        <f t="shared" si="20"/>
        <v>157</v>
      </c>
      <c r="AD369" s="7">
        <f t="shared" si="21"/>
        <v>0</v>
      </c>
      <c r="AE369" s="8" t="str" cm="1">
        <f t="array" ref="AE369">IFERROR(_xlfn.XLOOKUP(H369,Sheet1!$G:$G,Sheet1!$F:$F),IFERROR(_xlfn.XLOOKUP(1,(--($X$2:$X$1074=X369))*(--ISNUMBER(MATCH($H$2:$H$1074,Sheet1!$G:$G,0))),_xlfn.XLOOKUP($H$2:$H$1074,Sheet1!$G:$G,Sheet1!$F:$F,"")),"NOT FOUND"))</f>
        <v>GETKRTSFUT6106</v>
      </c>
      <c r="AF369" s="9" t="str">
        <f t="shared" si="24"/>
        <v>BEIGE</v>
      </c>
      <c r="AG369" s="10" t="str">
        <f t="shared" si="25"/>
        <v>Bangalore</v>
      </c>
      <c r="AH369" s="8" t="str" cm="1">
        <f t="array" ref="AH369">IF(OR(J369="",AE369="",AE369="NOT FOUND"),"",IF(Y369="RP",_xlfn.LET(_xlpm.desc,_xlfn.XLOOKUP(1,(--(Sheet1!$F$2:$F$754=AE369))*(--ISNUMBER(FIND("-",Sheet1!$W$2:$W$754,FIND("-",Sheet1!$W$2:$W$754)+1))),Sheet1!$W$2:$W$754,""),IF(_xlpm.desc="","NOT FOUND",LEFT(_xlpm.desc,FIND("-",_xlpm.desc,FIND("-",_xlpm.desc)+1))&amp;AE369)),LEFT(J369,FIND("-",J369,FIND("-",J369)+1))&amp;AE369))</f>
        <v>KRTS-APWN26-GETKRTSFUT6106</v>
      </c>
    </row>
    <row r="370" spans="1:34" ht="15.75" customHeight="1" x14ac:dyDescent="0.2">
      <c r="A370" t="s">
        <v>59</v>
      </c>
      <c r="B370" t="s">
        <v>576</v>
      </c>
      <c r="C370" t="s">
        <v>558</v>
      </c>
      <c r="D370" t="s">
        <v>559</v>
      </c>
      <c r="E370" t="s">
        <v>34</v>
      </c>
      <c r="F370" t="s">
        <v>35</v>
      </c>
      <c r="G370" t="s">
        <v>36</v>
      </c>
      <c r="H370" t="s">
        <v>561</v>
      </c>
      <c r="I370" t="s">
        <v>562</v>
      </c>
      <c r="J370" t="s">
        <v>563</v>
      </c>
      <c r="K370" t="s">
        <v>474</v>
      </c>
      <c r="L370" t="s">
        <v>40</v>
      </c>
      <c r="M370">
        <v>1</v>
      </c>
      <c r="N370">
        <v>257</v>
      </c>
      <c r="O370">
        <v>257</v>
      </c>
      <c r="P370" t="s">
        <v>41</v>
      </c>
      <c r="Q370">
        <v>324.7</v>
      </c>
      <c r="R370">
        <v>324.7</v>
      </c>
      <c r="S370">
        <v>4172.3999999999996</v>
      </c>
      <c r="T370">
        <v>83447.899999999994</v>
      </c>
      <c r="U370">
        <v>5</v>
      </c>
      <c r="V370" t="s">
        <v>42</v>
      </c>
      <c r="W370" t="s">
        <v>474</v>
      </c>
      <c r="X370" s="6" t="str">
        <f t="shared" si="15"/>
        <v>441812262</v>
      </c>
      <c r="Y370" s="7" t="str">
        <f t="shared" si="16"/>
        <v>DC</v>
      </c>
      <c r="Z370" s="7">
        <f t="shared" si="17"/>
        <v>0</v>
      </c>
      <c r="AA370" s="7">
        <f t="shared" si="18"/>
        <v>0</v>
      </c>
      <c r="AB370" s="7">
        <f t="shared" si="19"/>
        <v>0</v>
      </c>
      <c r="AC370" s="7">
        <f t="shared" si="20"/>
        <v>0</v>
      </c>
      <c r="AD370" s="7">
        <f t="shared" si="21"/>
        <v>257</v>
      </c>
      <c r="AE370" s="8" t="str" cm="1">
        <f t="array" ref="AE370">IFERROR(_xlfn.XLOOKUP(H370,Sheet1!$G:$G,Sheet1!$F:$F),IFERROR(_xlfn.XLOOKUP(1,(--($X$2:$X$1074=X370))*(--ISNUMBER(MATCH($H$2:$H$1074,Sheet1!$G:$G,0))),_xlfn.XLOOKUP($H$2:$H$1074,Sheet1!$G:$G,Sheet1!$F:$F,"")),"NOT FOUND"))</f>
        <v>GETKRTSFUT6106</v>
      </c>
      <c r="AF370" s="9" t="str">
        <f t="shared" si="24"/>
        <v>BEIGE</v>
      </c>
      <c r="AG370" s="10" t="str">
        <f t="shared" si="25"/>
        <v>JHAJJAR</v>
      </c>
      <c r="AH370" s="8" t="str" cm="1">
        <f t="array" ref="AH370">IF(OR(J370="",AE370="",AE370="NOT FOUND"),"",IF(Y370="RP",_xlfn.LET(_xlpm.desc,_xlfn.XLOOKUP(1,(--(Sheet1!$F$2:$F$754=AE370))*(--ISNUMBER(FIND("-",Sheet1!$W$2:$W$754,FIND("-",Sheet1!$W$2:$W$754)+1))),Sheet1!$W$2:$W$754,""),IF(_xlpm.desc="","NOT FOUND",LEFT(_xlpm.desc,FIND("-",_xlpm.desc,FIND("-",_xlpm.desc)+1))&amp;AE370)),LEFT(J370,FIND("-",J370,FIND("-",J370)+1))&amp;AE370))</f>
        <v>KRTS-APWN26-GETKRTSFUT6106</v>
      </c>
    </row>
    <row r="371" spans="1:34" ht="15.75" customHeight="1" x14ac:dyDescent="0.2">
      <c r="A371" t="s">
        <v>59</v>
      </c>
      <c r="B371" t="s">
        <v>576</v>
      </c>
      <c r="C371" t="s">
        <v>558</v>
      </c>
      <c r="D371" t="s">
        <v>559</v>
      </c>
      <c r="E371" t="s">
        <v>34</v>
      </c>
      <c r="F371" t="s">
        <v>35</v>
      </c>
      <c r="G371" t="s">
        <v>43</v>
      </c>
      <c r="H371" t="s">
        <v>564</v>
      </c>
      <c r="I371" t="s">
        <v>565</v>
      </c>
      <c r="J371" t="s">
        <v>566</v>
      </c>
      <c r="K371" t="s">
        <v>474</v>
      </c>
      <c r="L371" t="s">
        <v>40</v>
      </c>
      <c r="M371">
        <v>1</v>
      </c>
      <c r="N371">
        <v>218</v>
      </c>
      <c r="O371">
        <v>218</v>
      </c>
      <c r="P371" t="s">
        <v>41</v>
      </c>
      <c r="Q371">
        <v>324.7</v>
      </c>
      <c r="R371">
        <v>324.7</v>
      </c>
      <c r="S371">
        <v>3539.23</v>
      </c>
      <c r="T371">
        <v>70784.600000000006</v>
      </c>
      <c r="U371">
        <v>5</v>
      </c>
      <c r="V371" t="s">
        <v>42</v>
      </c>
      <c r="W371" t="s">
        <v>474</v>
      </c>
      <c r="X371" s="6" t="str">
        <f t="shared" si="15"/>
        <v>441812262</v>
      </c>
      <c r="Y371" s="7" t="str">
        <f t="shared" si="16"/>
        <v>DC</v>
      </c>
      <c r="Z371" s="7">
        <f t="shared" si="17"/>
        <v>0</v>
      </c>
      <c r="AA371" s="7">
        <f t="shared" si="18"/>
        <v>0</v>
      </c>
      <c r="AB371" s="7">
        <f t="shared" si="19"/>
        <v>218</v>
      </c>
      <c r="AC371" s="7">
        <f t="shared" si="20"/>
        <v>0</v>
      </c>
      <c r="AD371" s="7">
        <f t="shared" si="21"/>
        <v>0</v>
      </c>
      <c r="AE371" s="8" t="str" cm="1">
        <f t="array" ref="AE371">IFERROR(_xlfn.XLOOKUP(H371,Sheet1!$G:$G,Sheet1!$F:$F),IFERROR(_xlfn.XLOOKUP(1,(--($X$2:$X$1074=X371))*(--ISNUMBER(MATCH($H$2:$H$1074,Sheet1!$G:$G,0))),_xlfn.XLOOKUP($H$2:$H$1074,Sheet1!$G:$G,Sheet1!$F:$F,"")),"NOT FOUND"))</f>
        <v>GETKRTSFUT6106</v>
      </c>
      <c r="AF371" s="9" t="str">
        <f t="shared" si="24"/>
        <v>BEIGE</v>
      </c>
      <c r="AG371" s="10" t="str">
        <f t="shared" si="25"/>
        <v>JHAJJAR</v>
      </c>
      <c r="AH371" s="8" t="str" cm="1">
        <f t="array" ref="AH371">IF(OR(J371="",AE371="",AE371="NOT FOUND"),"",IF(Y371="RP",_xlfn.LET(_xlpm.desc,_xlfn.XLOOKUP(1,(--(Sheet1!$F$2:$F$754=AE371))*(--ISNUMBER(FIND("-",Sheet1!$W$2:$W$754,FIND("-",Sheet1!$W$2:$W$754)+1))),Sheet1!$W$2:$W$754,""),IF(_xlpm.desc="","NOT FOUND",LEFT(_xlpm.desc,FIND("-",_xlpm.desc,FIND("-",_xlpm.desc)+1))&amp;AE371)),LEFT(J371,FIND("-",J371,FIND("-",J371)+1))&amp;AE371))</f>
        <v>KRTS-APWN26-GETKRTSFUT6106</v>
      </c>
    </row>
    <row r="372" spans="1:34" ht="15.75" customHeight="1" x14ac:dyDescent="0.2">
      <c r="A372" t="s">
        <v>59</v>
      </c>
      <c r="B372" t="s">
        <v>576</v>
      </c>
      <c r="C372" t="s">
        <v>558</v>
      </c>
      <c r="D372" t="s">
        <v>559</v>
      </c>
      <c r="E372" t="s">
        <v>34</v>
      </c>
      <c r="F372" t="s">
        <v>35</v>
      </c>
      <c r="G372" t="s">
        <v>47</v>
      </c>
      <c r="H372" t="s">
        <v>567</v>
      </c>
      <c r="I372" t="s">
        <v>568</v>
      </c>
      <c r="J372" t="s">
        <v>569</v>
      </c>
      <c r="K372" t="s">
        <v>474</v>
      </c>
      <c r="L372" t="s">
        <v>40</v>
      </c>
      <c r="M372">
        <v>1</v>
      </c>
      <c r="N372">
        <v>156</v>
      </c>
      <c r="O372">
        <v>156</v>
      </c>
      <c r="P372" t="s">
        <v>41</v>
      </c>
      <c r="Q372">
        <v>324.7</v>
      </c>
      <c r="R372">
        <v>324.7</v>
      </c>
      <c r="S372">
        <v>2532.66</v>
      </c>
      <c r="T372">
        <v>50653.2</v>
      </c>
      <c r="U372">
        <v>5</v>
      </c>
      <c r="V372" t="s">
        <v>42</v>
      </c>
      <c r="W372" t="s">
        <v>474</v>
      </c>
      <c r="X372" s="6" t="str">
        <f t="shared" si="15"/>
        <v>441812262</v>
      </c>
      <c r="Y372" s="7" t="str">
        <f t="shared" si="16"/>
        <v>DC</v>
      </c>
      <c r="Z372" s="7">
        <f t="shared" si="17"/>
        <v>0</v>
      </c>
      <c r="AA372" s="7">
        <f t="shared" si="18"/>
        <v>156</v>
      </c>
      <c r="AB372" s="7">
        <f t="shared" si="19"/>
        <v>0</v>
      </c>
      <c r="AC372" s="7">
        <f t="shared" si="20"/>
        <v>0</v>
      </c>
      <c r="AD372" s="7">
        <f t="shared" si="21"/>
        <v>0</v>
      </c>
      <c r="AE372" s="8" t="str" cm="1">
        <f t="array" ref="AE372">IFERROR(_xlfn.XLOOKUP(H372,Sheet1!$G:$G,Sheet1!$F:$F),IFERROR(_xlfn.XLOOKUP(1,(--($X$2:$X$1074=X372))*(--ISNUMBER(MATCH($H$2:$H$1074,Sheet1!$G:$G,0))),_xlfn.XLOOKUP($H$2:$H$1074,Sheet1!$G:$G,Sheet1!$F:$F,"")),"NOT FOUND"))</f>
        <v>GETKRTSFUT6106</v>
      </c>
      <c r="AF372" s="9" t="str">
        <f t="shared" si="24"/>
        <v>BEIGE</v>
      </c>
      <c r="AG372" s="10" t="str">
        <f t="shared" si="25"/>
        <v>JHAJJAR</v>
      </c>
      <c r="AH372" s="8" t="str" cm="1">
        <f t="array" ref="AH372">IF(OR(J372="",AE372="",AE372="NOT FOUND"),"",IF(Y372="RP",_xlfn.LET(_xlpm.desc,_xlfn.XLOOKUP(1,(--(Sheet1!$F$2:$F$754=AE372))*(--ISNUMBER(FIND("-",Sheet1!$W$2:$W$754,FIND("-",Sheet1!$W$2:$W$754)+1))),Sheet1!$W$2:$W$754,""),IF(_xlpm.desc="","NOT FOUND",LEFT(_xlpm.desc,FIND("-",_xlpm.desc,FIND("-",_xlpm.desc)+1))&amp;AE372)),LEFT(J372,FIND("-",J372,FIND("-",J372)+1))&amp;AE372))</f>
        <v>KRTS-APWN26-GETKRTSFUT6106</v>
      </c>
    </row>
    <row r="373" spans="1:34" ht="15.75" customHeight="1" x14ac:dyDescent="0.2">
      <c r="A373" t="s">
        <v>61</v>
      </c>
      <c r="B373" t="s">
        <v>577</v>
      </c>
      <c r="C373" t="s">
        <v>558</v>
      </c>
      <c r="D373" t="s">
        <v>559</v>
      </c>
      <c r="E373" t="s">
        <v>34</v>
      </c>
      <c r="F373" t="s">
        <v>35</v>
      </c>
      <c r="G373" t="s">
        <v>47</v>
      </c>
      <c r="H373" t="s">
        <v>567</v>
      </c>
      <c r="I373" t="s">
        <v>568</v>
      </c>
      <c r="J373" t="s">
        <v>569</v>
      </c>
      <c r="K373" t="s">
        <v>474</v>
      </c>
      <c r="L373" t="s">
        <v>40</v>
      </c>
      <c r="M373">
        <v>1</v>
      </c>
      <c r="N373">
        <v>156</v>
      </c>
      <c r="O373">
        <v>156</v>
      </c>
      <c r="P373" t="s">
        <v>41</v>
      </c>
      <c r="Q373">
        <v>324.7</v>
      </c>
      <c r="R373">
        <v>324.7</v>
      </c>
      <c r="S373">
        <v>2532.66</v>
      </c>
      <c r="T373">
        <v>50653.2</v>
      </c>
      <c r="U373">
        <v>5</v>
      </c>
      <c r="V373" t="s">
        <v>42</v>
      </c>
      <c r="W373" t="s">
        <v>474</v>
      </c>
      <c r="X373" s="6" t="str">
        <f t="shared" si="15"/>
        <v>441812262</v>
      </c>
      <c r="Y373" s="7" t="str">
        <f t="shared" si="16"/>
        <v>DC</v>
      </c>
      <c r="Z373" s="7">
        <f t="shared" si="17"/>
        <v>0</v>
      </c>
      <c r="AA373" s="7">
        <f t="shared" si="18"/>
        <v>156</v>
      </c>
      <c r="AB373" s="7">
        <f t="shared" si="19"/>
        <v>0</v>
      </c>
      <c r="AC373" s="7">
        <f t="shared" si="20"/>
        <v>0</v>
      </c>
      <c r="AD373" s="7">
        <f t="shared" si="21"/>
        <v>0</v>
      </c>
      <c r="AE373" s="8" t="str" cm="1">
        <f t="array" ref="AE373">IFERROR(_xlfn.XLOOKUP(H373,Sheet1!$G:$G,Sheet1!$F:$F),IFERROR(_xlfn.XLOOKUP(1,(--($X$2:$X$1074=X373))*(--ISNUMBER(MATCH($H$2:$H$1074,Sheet1!$G:$G,0))),_xlfn.XLOOKUP($H$2:$H$1074,Sheet1!$G:$G,Sheet1!$F:$F,"")),"NOT FOUND"))</f>
        <v>GETKRTSFUT6106</v>
      </c>
      <c r="AF373" s="9" t="str">
        <f t="shared" si="24"/>
        <v>BEIGE</v>
      </c>
      <c r="AG373" s="10" t="str">
        <f t="shared" si="25"/>
        <v>HARIPAL</v>
      </c>
      <c r="AH373" s="8" t="str" cm="1">
        <f t="array" ref="AH373">IF(OR(J373="",AE373="",AE373="NOT FOUND"),"",IF(Y373="RP",_xlfn.LET(_xlpm.desc,_xlfn.XLOOKUP(1,(--(Sheet1!$F$2:$F$754=AE373))*(--ISNUMBER(FIND("-",Sheet1!$W$2:$W$754,FIND("-",Sheet1!$W$2:$W$754)+1))),Sheet1!$W$2:$W$754,""),IF(_xlpm.desc="","NOT FOUND",LEFT(_xlpm.desc,FIND("-",_xlpm.desc,FIND("-",_xlpm.desc)+1))&amp;AE373)),LEFT(J373,FIND("-",J373,FIND("-",J373)+1))&amp;AE373))</f>
        <v>KRTS-APWN26-GETKRTSFUT6106</v>
      </c>
    </row>
    <row r="374" spans="1:34" ht="15.75" customHeight="1" x14ac:dyDescent="0.2">
      <c r="A374" t="s">
        <v>61</v>
      </c>
      <c r="B374" t="s">
        <v>577</v>
      </c>
      <c r="C374" t="s">
        <v>558</v>
      </c>
      <c r="D374" t="s">
        <v>559</v>
      </c>
      <c r="E374" t="s">
        <v>34</v>
      </c>
      <c r="F374" t="s">
        <v>35</v>
      </c>
      <c r="G374" t="s">
        <v>55</v>
      </c>
      <c r="H374" t="s">
        <v>573</v>
      </c>
      <c r="I374" t="s">
        <v>574</v>
      </c>
      <c r="J374" t="s">
        <v>575</v>
      </c>
      <c r="K374" t="s">
        <v>474</v>
      </c>
      <c r="L374" t="s">
        <v>40</v>
      </c>
      <c r="M374">
        <v>1</v>
      </c>
      <c r="N374">
        <v>186</v>
      </c>
      <c r="O374">
        <v>186</v>
      </c>
      <c r="P374" t="s">
        <v>41</v>
      </c>
      <c r="Q374">
        <v>324.7</v>
      </c>
      <c r="R374">
        <v>324.7</v>
      </c>
      <c r="S374">
        <v>3019.71</v>
      </c>
      <c r="T374">
        <v>60394.2</v>
      </c>
      <c r="U374">
        <v>5</v>
      </c>
      <c r="V374" t="s">
        <v>42</v>
      </c>
      <c r="W374" t="s">
        <v>474</v>
      </c>
      <c r="X374" s="6" t="str">
        <f t="shared" si="15"/>
        <v>441812262</v>
      </c>
      <c r="Y374" s="7" t="str">
        <f t="shared" si="16"/>
        <v>DC</v>
      </c>
      <c r="Z374" s="7">
        <f t="shared" si="17"/>
        <v>0</v>
      </c>
      <c r="AA374" s="7">
        <f t="shared" si="18"/>
        <v>0</v>
      </c>
      <c r="AB374" s="7">
        <f t="shared" si="19"/>
        <v>0</v>
      </c>
      <c r="AC374" s="7">
        <f t="shared" si="20"/>
        <v>186</v>
      </c>
      <c r="AD374" s="7">
        <f t="shared" si="21"/>
        <v>0</v>
      </c>
      <c r="AE374" s="8" t="str" cm="1">
        <f t="array" ref="AE374">IFERROR(_xlfn.XLOOKUP(H374,Sheet1!$G:$G,Sheet1!$F:$F),IFERROR(_xlfn.XLOOKUP(1,(--($X$2:$X$1074=X374))*(--ISNUMBER(MATCH($H$2:$H$1074,Sheet1!$G:$G,0))),_xlfn.XLOOKUP($H$2:$H$1074,Sheet1!$G:$G,Sheet1!$F:$F,"")),"NOT FOUND"))</f>
        <v>GETKRTSFUT6106</v>
      </c>
      <c r="AF374" s="9" t="str">
        <f t="shared" si="24"/>
        <v>BEIGE</v>
      </c>
      <c r="AG374" s="10" t="str">
        <f t="shared" si="25"/>
        <v>HARIPAL</v>
      </c>
      <c r="AH374" s="8" t="str" cm="1">
        <f t="array" ref="AH374">IF(OR(J374="",AE374="",AE374="NOT FOUND"),"",IF(Y374="RP",_xlfn.LET(_xlpm.desc,_xlfn.XLOOKUP(1,(--(Sheet1!$F$2:$F$754=AE374))*(--ISNUMBER(FIND("-",Sheet1!$W$2:$W$754,FIND("-",Sheet1!$W$2:$W$754)+1))),Sheet1!$W$2:$W$754,""),IF(_xlpm.desc="","NOT FOUND",LEFT(_xlpm.desc,FIND("-",_xlpm.desc,FIND("-",_xlpm.desc)+1))&amp;AE374)),LEFT(J374,FIND("-",J374,FIND("-",J374)+1))&amp;AE374))</f>
        <v>KRTS-APWN26-GETKRTSFUT6106</v>
      </c>
    </row>
    <row r="375" spans="1:34" ht="15.75" customHeight="1" x14ac:dyDescent="0.2">
      <c r="A375" t="s">
        <v>30</v>
      </c>
      <c r="B375" t="s">
        <v>31</v>
      </c>
      <c r="C375" t="s">
        <v>32</v>
      </c>
      <c r="D375" t="s">
        <v>33</v>
      </c>
      <c r="E375" t="s">
        <v>34</v>
      </c>
      <c r="F375" t="s">
        <v>35</v>
      </c>
      <c r="G375" t="s">
        <v>36</v>
      </c>
      <c r="H375" t="s">
        <v>37</v>
      </c>
      <c r="I375" t="s">
        <v>38</v>
      </c>
      <c r="J375" t="s">
        <v>39</v>
      </c>
      <c r="K375" t="s">
        <v>474</v>
      </c>
      <c r="L375" t="s">
        <v>40</v>
      </c>
      <c r="M375">
        <v>1</v>
      </c>
      <c r="N375">
        <v>30</v>
      </c>
      <c r="O375">
        <v>30</v>
      </c>
      <c r="P375" t="s">
        <v>41</v>
      </c>
      <c r="Q375">
        <v>314.7</v>
      </c>
      <c r="R375">
        <v>314.7</v>
      </c>
      <c r="S375">
        <v>472.05</v>
      </c>
      <c r="T375">
        <v>9441</v>
      </c>
      <c r="U375">
        <v>5</v>
      </c>
      <c r="V375" t="s">
        <v>42</v>
      </c>
      <c r="W375" t="s">
        <v>474</v>
      </c>
      <c r="X375" s="6" t="str">
        <f t="shared" si="15"/>
        <v>441811508</v>
      </c>
      <c r="Y375" s="7" t="str">
        <f t="shared" si="16"/>
        <v>DC</v>
      </c>
      <c r="Z375" s="7">
        <f t="shared" si="17"/>
        <v>0</v>
      </c>
      <c r="AA375" s="7">
        <f t="shared" si="18"/>
        <v>0</v>
      </c>
      <c r="AB375" s="7">
        <f t="shared" si="19"/>
        <v>0</v>
      </c>
      <c r="AC375" s="7">
        <f t="shared" si="20"/>
        <v>0</v>
      </c>
      <c r="AD375" s="7">
        <f t="shared" si="21"/>
        <v>30</v>
      </c>
      <c r="AE375" s="8" t="str" cm="1">
        <f t="array" ref="AE375">IFERROR(_xlfn.XLOOKUP(H375,Sheet1!$G:$G,Sheet1!$F:$F),IFERROR(_xlfn.XLOOKUP(1,(--($X$2:$X$1074=X375))*(--ISNUMBER(MATCH($H$2:$H$1074,Sheet1!$G:$G,0))),_xlfn.XLOOKUP($H$2:$H$1074,Sheet1!$G:$G,Sheet1!$F:$F,"")),"NOT FOUND"))</f>
        <v>GETKRTSFUT6125</v>
      </c>
      <c r="AF375" s="9" t="str">
        <f t="shared" si="24"/>
        <v>OFF WHITE</v>
      </c>
      <c r="AG375" s="10" t="str">
        <f t="shared" si="25"/>
        <v>Bangalore</v>
      </c>
      <c r="AH375" s="8" t="str" cm="1">
        <f t="array" ref="AH375">IF(OR(J375="",AE375="",AE375="NOT FOUND"),"",IF(Y375="RP",_xlfn.LET(_xlpm.desc,_xlfn.XLOOKUP(1,(--(Sheet1!$F$2:$F$754=AE375))*(--ISNUMBER(FIND("-",Sheet1!$W$2:$W$754,FIND("-",Sheet1!$W$2:$W$754)+1))),Sheet1!$W$2:$W$754,""),IF(_xlpm.desc="","NOT FOUND",LEFT(_xlpm.desc,FIND("-",_xlpm.desc,FIND("-",_xlpm.desc)+1))&amp;AE375)),LEFT(J375,FIND("-",J375,FIND("-",J375)+1))&amp;AE375))</f>
        <v>KRTS-APWN26-GETKRTSFUT6125</v>
      </c>
    </row>
    <row r="376" spans="1:34" ht="15.75" customHeight="1" x14ac:dyDescent="0.2">
      <c r="A376" t="s">
        <v>30</v>
      </c>
      <c r="B376" t="s">
        <v>31</v>
      </c>
      <c r="C376" t="s">
        <v>32</v>
      </c>
      <c r="D376" t="s">
        <v>33</v>
      </c>
      <c r="E376" t="s">
        <v>34</v>
      </c>
      <c r="F376" t="s">
        <v>35</v>
      </c>
      <c r="G376" t="s">
        <v>43</v>
      </c>
      <c r="H376" t="s">
        <v>44</v>
      </c>
      <c r="I376" t="s">
        <v>45</v>
      </c>
      <c r="J376" t="s">
        <v>46</v>
      </c>
      <c r="K376" t="s">
        <v>474</v>
      </c>
      <c r="L376" t="s">
        <v>40</v>
      </c>
      <c r="M376">
        <v>1</v>
      </c>
      <c r="N376">
        <v>257</v>
      </c>
      <c r="O376">
        <v>257</v>
      </c>
      <c r="P376" t="s">
        <v>41</v>
      </c>
      <c r="Q376">
        <v>314.7</v>
      </c>
      <c r="R376">
        <v>314.7</v>
      </c>
      <c r="S376">
        <v>4043.9</v>
      </c>
      <c r="T376">
        <v>80877.899999999994</v>
      </c>
      <c r="U376">
        <v>5</v>
      </c>
      <c r="V376" t="s">
        <v>42</v>
      </c>
      <c r="W376" t="s">
        <v>474</v>
      </c>
      <c r="X376" s="6" t="str">
        <f t="shared" si="15"/>
        <v>441811508</v>
      </c>
      <c r="Y376" s="7" t="str">
        <f t="shared" si="16"/>
        <v>DC</v>
      </c>
      <c r="Z376" s="7">
        <f t="shared" si="17"/>
        <v>0</v>
      </c>
      <c r="AA376" s="7">
        <f t="shared" si="18"/>
        <v>0</v>
      </c>
      <c r="AB376" s="7">
        <f t="shared" si="19"/>
        <v>257</v>
      </c>
      <c r="AC376" s="7">
        <f t="shared" si="20"/>
        <v>0</v>
      </c>
      <c r="AD376" s="7">
        <f t="shared" si="21"/>
        <v>0</v>
      </c>
      <c r="AE376" s="8" t="str" cm="1">
        <f t="array" ref="AE376">IFERROR(_xlfn.XLOOKUP(H376,Sheet1!$G:$G,Sheet1!$F:$F),IFERROR(_xlfn.XLOOKUP(1,(--($X$2:$X$1074=X376))*(--ISNUMBER(MATCH($H$2:$H$1074,Sheet1!$G:$G,0))),_xlfn.XLOOKUP($H$2:$H$1074,Sheet1!$G:$G,Sheet1!$F:$F,"")),"NOT FOUND"))</f>
        <v>GETKRTSFUT6125</v>
      </c>
      <c r="AF376" s="9" t="str">
        <f t="shared" si="24"/>
        <v>OFF WHITE</v>
      </c>
      <c r="AG376" s="10" t="str">
        <f t="shared" si="25"/>
        <v>Bangalore</v>
      </c>
      <c r="AH376" s="8" t="str" cm="1">
        <f t="array" ref="AH376">IF(OR(J376="",AE376="",AE376="NOT FOUND"),"",IF(Y376="RP",_xlfn.LET(_xlpm.desc,_xlfn.XLOOKUP(1,(--(Sheet1!$F$2:$F$754=AE376))*(--ISNUMBER(FIND("-",Sheet1!$W$2:$W$754,FIND("-",Sheet1!$W$2:$W$754)+1))),Sheet1!$W$2:$W$754,""),IF(_xlpm.desc="","NOT FOUND",LEFT(_xlpm.desc,FIND("-",_xlpm.desc,FIND("-",_xlpm.desc)+1))&amp;AE376)),LEFT(J376,FIND("-",J376,FIND("-",J376)+1))&amp;AE376))</f>
        <v>KRTS-APWN26-GETKRTSFUT6125</v>
      </c>
    </row>
    <row r="377" spans="1:34" ht="15.75" customHeight="1" x14ac:dyDescent="0.2">
      <c r="A377" t="s">
        <v>30</v>
      </c>
      <c r="B377" t="s">
        <v>31</v>
      </c>
      <c r="C377" t="s">
        <v>32</v>
      </c>
      <c r="D377" t="s">
        <v>33</v>
      </c>
      <c r="E377" t="s">
        <v>34</v>
      </c>
      <c r="F377" t="s">
        <v>35</v>
      </c>
      <c r="G377" t="s">
        <v>47</v>
      </c>
      <c r="H377" t="s">
        <v>48</v>
      </c>
      <c r="I377" t="s">
        <v>49</v>
      </c>
      <c r="J377" t="s">
        <v>50</v>
      </c>
      <c r="K377" t="s">
        <v>474</v>
      </c>
      <c r="L377" t="s">
        <v>40</v>
      </c>
      <c r="M377">
        <v>1</v>
      </c>
      <c r="N377">
        <v>257</v>
      </c>
      <c r="O377">
        <v>257</v>
      </c>
      <c r="P377" t="s">
        <v>41</v>
      </c>
      <c r="Q377">
        <v>314.7</v>
      </c>
      <c r="R377">
        <v>314.7</v>
      </c>
      <c r="S377">
        <v>4043.9</v>
      </c>
      <c r="T377">
        <v>80877.899999999994</v>
      </c>
      <c r="U377">
        <v>5</v>
      </c>
      <c r="V377" t="s">
        <v>42</v>
      </c>
      <c r="W377" t="s">
        <v>474</v>
      </c>
      <c r="X377" s="6" t="str">
        <f t="shared" si="15"/>
        <v>441811508</v>
      </c>
      <c r="Y377" s="7" t="str">
        <f t="shared" si="16"/>
        <v>DC</v>
      </c>
      <c r="Z377" s="7">
        <f t="shared" si="17"/>
        <v>0</v>
      </c>
      <c r="AA377" s="7">
        <f t="shared" si="18"/>
        <v>257</v>
      </c>
      <c r="AB377" s="7">
        <f t="shared" si="19"/>
        <v>0</v>
      </c>
      <c r="AC377" s="7">
        <f t="shared" si="20"/>
        <v>0</v>
      </c>
      <c r="AD377" s="7">
        <f t="shared" si="21"/>
        <v>0</v>
      </c>
      <c r="AE377" s="8" t="str" cm="1">
        <f t="array" ref="AE377">IFERROR(_xlfn.XLOOKUP(H377,Sheet1!$G:$G,Sheet1!$F:$F),IFERROR(_xlfn.XLOOKUP(1,(--($X$2:$X$1074=X377))*(--ISNUMBER(MATCH($H$2:$H$1074,Sheet1!$G:$G,0))),_xlfn.XLOOKUP($H$2:$H$1074,Sheet1!$G:$G,Sheet1!$F:$F,"")),"NOT FOUND"))</f>
        <v>GETKRTSFUT6125</v>
      </c>
      <c r="AF377" s="9" t="str">
        <f t="shared" si="24"/>
        <v>OFF WHITE</v>
      </c>
      <c r="AG377" s="10" t="str">
        <f t="shared" si="25"/>
        <v>Bangalore</v>
      </c>
      <c r="AH377" s="8" t="str" cm="1">
        <f t="array" ref="AH377">IF(OR(J377="",AE377="",AE377="NOT FOUND"),"",IF(Y377="RP",_xlfn.LET(_xlpm.desc,_xlfn.XLOOKUP(1,(--(Sheet1!$F$2:$F$754=AE377))*(--ISNUMBER(FIND("-",Sheet1!$W$2:$W$754,FIND("-",Sheet1!$W$2:$W$754)+1))),Sheet1!$W$2:$W$754,""),IF(_xlpm.desc="","NOT FOUND",LEFT(_xlpm.desc,FIND("-",_xlpm.desc,FIND("-",_xlpm.desc)+1))&amp;AE377)),LEFT(J377,FIND("-",J377,FIND("-",J377)+1))&amp;AE377))</f>
        <v>KRTS-APWN26-GETKRTSFUT6125</v>
      </c>
    </row>
    <row r="378" spans="1:34" ht="15.75" customHeight="1" x14ac:dyDescent="0.2">
      <c r="A378" t="s">
        <v>30</v>
      </c>
      <c r="B378" t="s">
        <v>31</v>
      </c>
      <c r="C378" t="s">
        <v>32</v>
      </c>
      <c r="D378" t="s">
        <v>33</v>
      </c>
      <c r="E378" t="s">
        <v>34</v>
      </c>
      <c r="F378" t="s">
        <v>35</v>
      </c>
      <c r="G378" t="s">
        <v>51</v>
      </c>
      <c r="H378" t="s">
        <v>52</v>
      </c>
      <c r="I378" t="s">
        <v>53</v>
      </c>
      <c r="J378" t="s">
        <v>54</v>
      </c>
      <c r="K378" t="s">
        <v>474</v>
      </c>
      <c r="L378" t="s">
        <v>40</v>
      </c>
      <c r="M378">
        <v>1</v>
      </c>
      <c r="N378">
        <v>30</v>
      </c>
      <c r="O378">
        <v>30</v>
      </c>
      <c r="P378" t="s">
        <v>41</v>
      </c>
      <c r="Q378">
        <v>314.7</v>
      </c>
      <c r="R378">
        <v>314.7</v>
      </c>
      <c r="S378">
        <v>472.05</v>
      </c>
      <c r="T378">
        <v>9441</v>
      </c>
      <c r="U378">
        <v>5</v>
      </c>
      <c r="V378" t="s">
        <v>42</v>
      </c>
      <c r="W378" t="s">
        <v>474</v>
      </c>
      <c r="X378" s="6" t="str">
        <f t="shared" si="15"/>
        <v>441811508</v>
      </c>
      <c r="Y378" s="7" t="str">
        <f t="shared" si="16"/>
        <v>DC</v>
      </c>
      <c r="Z378" s="7">
        <f t="shared" si="17"/>
        <v>30</v>
      </c>
      <c r="AA378" s="7">
        <f t="shared" si="18"/>
        <v>0</v>
      </c>
      <c r="AB378" s="7">
        <f t="shared" si="19"/>
        <v>0</v>
      </c>
      <c r="AC378" s="7">
        <f t="shared" si="20"/>
        <v>0</v>
      </c>
      <c r="AD378" s="7">
        <f t="shared" si="21"/>
        <v>0</v>
      </c>
      <c r="AE378" s="8" t="str" cm="1">
        <f t="array" ref="AE378">IFERROR(_xlfn.XLOOKUP(H378,Sheet1!$G:$G,Sheet1!$F:$F),IFERROR(_xlfn.XLOOKUP(1,(--($X$2:$X$1074=X378))*(--ISNUMBER(MATCH($H$2:$H$1074,Sheet1!$G:$G,0))),_xlfn.XLOOKUP($H$2:$H$1074,Sheet1!$G:$G,Sheet1!$F:$F,"")),"NOT FOUND"))</f>
        <v>GETKRTSFUT6125</v>
      </c>
      <c r="AF378" s="9" t="str">
        <f t="shared" si="24"/>
        <v>OFF WHITE</v>
      </c>
      <c r="AG378" s="10" t="str">
        <f t="shared" si="25"/>
        <v>Bangalore</v>
      </c>
      <c r="AH378" s="8" t="str" cm="1">
        <f t="array" ref="AH378">IF(OR(J378="",AE378="",AE378="NOT FOUND"),"",IF(Y378="RP",_xlfn.LET(_xlpm.desc,_xlfn.XLOOKUP(1,(--(Sheet1!$F$2:$F$754=AE378))*(--ISNUMBER(FIND("-",Sheet1!$W$2:$W$754,FIND("-",Sheet1!$W$2:$W$754)+1))),Sheet1!$W$2:$W$754,""),IF(_xlpm.desc="","NOT FOUND",LEFT(_xlpm.desc,FIND("-",_xlpm.desc,FIND("-",_xlpm.desc)+1))&amp;AE378)),LEFT(J378,FIND("-",J378,FIND("-",J378)+1))&amp;AE378))</f>
        <v>KRTS-APWN26-GETKRTSFUT6125</v>
      </c>
    </row>
    <row r="379" spans="1:34" ht="15.75" customHeight="1" x14ac:dyDescent="0.2">
      <c r="A379" t="s">
        <v>30</v>
      </c>
      <c r="B379" t="s">
        <v>31</v>
      </c>
      <c r="C379" t="s">
        <v>32</v>
      </c>
      <c r="D379" t="s">
        <v>33</v>
      </c>
      <c r="E379" t="s">
        <v>34</v>
      </c>
      <c r="F379" t="s">
        <v>35</v>
      </c>
      <c r="G379" t="s">
        <v>55</v>
      </c>
      <c r="H379" t="s">
        <v>56</v>
      </c>
      <c r="I379" t="s">
        <v>57</v>
      </c>
      <c r="J379" t="s">
        <v>58</v>
      </c>
      <c r="K379" t="s">
        <v>474</v>
      </c>
      <c r="L379" t="s">
        <v>40</v>
      </c>
      <c r="M379">
        <v>1</v>
      </c>
      <c r="N379">
        <v>217</v>
      </c>
      <c r="O379">
        <v>217</v>
      </c>
      <c r="P379" t="s">
        <v>41</v>
      </c>
      <c r="Q379">
        <v>314.7</v>
      </c>
      <c r="R379">
        <v>314.7</v>
      </c>
      <c r="S379">
        <v>3414.5</v>
      </c>
      <c r="T379">
        <v>68289.899999999994</v>
      </c>
      <c r="U379">
        <v>5</v>
      </c>
      <c r="V379" t="s">
        <v>42</v>
      </c>
      <c r="W379" t="s">
        <v>474</v>
      </c>
      <c r="X379" s="6" t="str">
        <f t="shared" si="15"/>
        <v>441811508</v>
      </c>
      <c r="Y379" s="7" t="str">
        <f t="shared" si="16"/>
        <v>DC</v>
      </c>
      <c r="Z379" s="7">
        <f t="shared" si="17"/>
        <v>0</v>
      </c>
      <c r="AA379" s="7">
        <f t="shared" si="18"/>
        <v>0</v>
      </c>
      <c r="AB379" s="7">
        <f t="shared" si="19"/>
        <v>0</v>
      </c>
      <c r="AC379" s="7">
        <f t="shared" si="20"/>
        <v>217</v>
      </c>
      <c r="AD379" s="7">
        <f t="shared" si="21"/>
        <v>0</v>
      </c>
      <c r="AE379" s="8" t="str" cm="1">
        <f t="array" ref="AE379">IFERROR(_xlfn.XLOOKUP(H379,Sheet1!$G:$G,Sheet1!$F:$F),IFERROR(_xlfn.XLOOKUP(1,(--($X$2:$X$1074=X379))*(--ISNUMBER(MATCH($H$2:$H$1074,Sheet1!$G:$G,0))),_xlfn.XLOOKUP($H$2:$H$1074,Sheet1!$G:$G,Sheet1!$F:$F,"")),"NOT FOUND"))</f>
        <v>GETKRTSFUT6125</v>
      </c>
      <c r="AF379" s="9" t="str">
        <f t="shared" si="24"/>
        <v>OFF WHITE</v>
      </c>
      <c r="AG379" s="10" t="str">
        <f t="shared" si="25"/>
        <v>Bangalore</v>
      </c>
      <c r="AH379" s="8" t="str" cm="1">
        <f t="array" ref="AH379">IF(OR(J379="",AE379="",AE379="NOT FOUND"),"",IF(Y379="RP",_xlfn.LET(_xlpm.desc,_xlfn.XLOOKUP(1,(--(Sheet1!$F$2:$F$754=AE379))*(--ISNUMBER(FIND("-",Sheet1!$W$2:$W$754,FIND("-",Sheet1!$W$2:$W$754)+1))),Sheet1!$W$2:$W$754,""),IF(_xlpm.desc="","NOT FOUND",LEFT(_xlpm.desc,FIND("-",_xlpm.desc,FIND("-",_xlpm.desc)+1))&amp;AE379)),LEFT(J379,FIND("-",J379,FIND("-",J379)+1))&amp;AE379))</f>
        <v>KRTS-APWN26-GETKRTSFUT6125</v>
      </c>
    </row>
    <row r="380" spans="1:34" ht="15.75" customHeight="1" x14ac:dyDescent="0.2">
      <c r="A380" t="s">
        <v>59</v>
      </c>
      <c r="B380" t="s">
        <v>60</v>
      </c>
      <c r="C380" t="s">
        <v>32</v>
      </c>
      <c r="D380" t="s">
        <v>33</v>
      </c>
      <c r="E380" t="s">
        <v>34</v>
      </c>
      <c r="F380" t="s">
        <v>35</v>
      </c>
      <c r="G380" t="s">
        <v>36</v>
      </c>
      <c r="H380" t="s">
        <v>37</v>
      </c>
      <c r="I380" t="s">
        <v>38</v>
      </c>
      <c r="J380" t="s">
        <v>39</v>
      </c>
      <c r="K380" t="s">
        <v>474</v>
      </c>
      <c r="L380" t="s">
        <v>40</v>
      </c>
      <c r="M380">
        <v>1</v>
      </c>
      <c r="N380">
        <v>30</v>
      </c>
      <c r="O380">
        <v>30</v>
      </c>
      <c r="P380" t="s">
        <v>41</v>
      </c>
      <c r="Q380">
        <v>314.7</v>
      </c>
      <c r="R380">
        <v>314.7</v>
      </c>
      <c r="S380">
        <v>472.05</v>
      </c>
      <c r="T380">
        <v>9441</v>
      </c>
      <c r="U380">
        <v>5</v>
      </c>
      <c r="V380" t="s">
        <v>42</v>
      </c>
      <c r="W380" t="s">
        <v>474</v>
      </c>
      <c r="X380" s="6" t="str">
        <f t="shared" si="15"/>
        <v>441811508</v>
      </c>
      <c r="Y380" s="7" t="str">
        <f t="shared" si="16"/>
        <v>DC</v>
      </c>
      <c r="Z380" s="7">
        <f t="shared" si="17"/>
        <v>0</v>
      </c>
      <c r="AA380" s="7">
        <f t="shared" si="18"/>
        <v>0</v>
      </c>
      <c r="AB380" s="7">
        <f t="shared" si="19"/>
        <v>0</v>
      </c>
      <c r="AC380" s="7">
        <f t="shared" si="20"/>
        <v>0</v>
      </c>
      <c r="AD380" s="7">
        <f t="shared" si="21"/>
        <v>30</v>
      </c>
      <c r="AE380" s="8" t="str" cm="1">
        <f t="array" ref="AE380">IFERROR(_xlfn.XLOOKUP(H380,Sheet1!$G:$G,Sheet1!$F:$F),IFERROR(_xlfn.XLOOKUP(1,(--($X$2:$X$1074=X380))*(--ISNUMBER(MATCH($H$2:$H$1074,Sheet1!$G:$G,0))),_xlfn.XLOOKUP($H$2:$H$1074,Sheet1!$G:$G,Sheet1!$F:$F,"")),"NOT FOUND"))</f>
        <v>GETKRTSFUT6125</v>
      </c>
      <c r="AF380" s="9" t="str">
        <f t="shared" si="24"/>
        <v>OFF WHITE</v>
      </c>
      <c r="AG380" s="10" t="str">
        <f t="shared" si="25"/>
        <v>JHAJJAR</v>
      </c>
      <c r="AH380" s="8" t="str" cm="1">
        <f t="array" ref="AH380">IF(OR(J380="",AE380="",AE380="NOT FOUND"),"",IF(Y380="RP",_xlfn.LET(_xlpm.desc,_xlfn.XLOOKUP(1,(--(Sheet1!$F$2:$F$754=AE380))*(--ISNUMBER(FIND("-",Sheet1!$W$2:$W$754,FIND("-",Sheet1!$W$2:$W$754)+1))),Sheet1!$W$2:$W$754,""),IF(_xlpm.desc="","NOT FOUND",LEFT(_xlpm.desc,FIND("-",_xlpm.desc,FIND("-",_xlpm.desc)+1))&amp;AE380)),LEFT(J380,FIND("-",J380,FIND("-",J380)+1))&amp;AE380))</f>
        <v>KRTS-APWN26-GETKRTSFUT6125</v>
      </c>
    </row>
    <row r="381" spans="1:34" ht="15.75" customHeight="1" x14ac:dyDescent="0.2">
      <c r="A381" t="s">
        <v>59</v>
      </c>
      <c r="B381" t="s">
        <v>60</v>
      </c>
      <c r="C381" t="s">
        <v>32</v>
      </c>
      <c r="D381" t="s">
        <v>33</v>
      </c>
      <c r="E381" t="s">
        <v>34</v>
      </c>
      <c r="F381" t="s">
        <v>35</v>
      </c>
      <c r="G381" t="s">
        <v>43</v>
      </c>
      <c r="H381" t="s">
        <v>44</v>
      </c>
      <c r="I381" t="s">
        <v>45</v>
      </c>
      <c r="J381" t="s">
        <v>46</v>
      </c>
      <c r="K381" t="s">
        <v>474</v>
      </c>
      <c r="L381" t="s">
        <v>40</v>
      </c>
      <c r="M381">
        <v>1</v>
      </c>
      <c r="N381">
        <v>156</v>
      </c>
      <c r="O381">
        <v>156</v>
      </c>
      <c r="P381" t="s">
        <v>41</v>
      </c>
      <c r="Q381">
        <v>314.7</v>
      </c>
      <c r="R381">
        <v>314.7</v>
      </c>
      <c r="S381">
        <v>2454.66</v>
      </c>
      <c r="T381">
        <v>49093.2</v>
      </c>
      <c r="U381">
        <v>5</v>
      </c>
      <c r="V381" t="s">
        <v>42</v>
      </c>
      <c r="W381" t="s">
        <v>474</v>
      </c>
      <c r="X381" s="6" t="str">
        <f t="shared" si="15"/>
        <v>441811508</v>
      </c>
      <c r="Y381" s="7" t="str">
        <f t="shared" si="16"/>
        <v>DC</v>
      </c>
      <c r="Z381" s="7">
        <f t="shared" si="17"/>
        <v>0</v>
      </c>
      <c r="AA381" s="7">
        <f t="shared" si="18"/>
        <v>0</v>
      </c>
      <c r="AB381" s="7">
        <f t="shared" si="19"/>
        <v>156</v>
      </c>
      <c r="AC381" s="7">
        <f t="shared" si="20"/>
        <v>0</v>
      </c>
      <c r="AD381" s="7">
        <f t="shared" si="21"/>
        <v>0</v>
      </c>
      <c r="AE381" s="8" t="str" cm="1">
        <f t="array" ref="AE381">IFERROR(_xlfn.XLOOKUP(H381,Sheet1!$G:$G,Sheet1!$F:$F),IFERROR(_xlfn.XLOOKUP(1,(--($X$2:$X$1074=X381))*(--ISNUMBER(MATCH($H$2:$H$1074,Sheet1!$G:$G,0))),_xlfn.XLOOKUP($H$2:$H$1074,Sheet1!$G:$G,Sheet1!$F:$F,"")),"NOT FOUND"))</f>
        <v>GETKRTSFUT6125</v>
      </c>
      <c r="AF381" s="9" t="str">
        <f t="shared" si="24"/>
        <v>OFF WHITE</v>
      </c>
      <c r="AG381" s="10" t="str">
        <f t="shared" si="25"/>
        <v>JHAJJAR</v>
      </c>
      <c r="AH381" s="8" t="str" cm="1">
        <f t="array" ref="AH381">IF(OR(J381="",AE381="",AE381="NOT FOUND"),"",IF(Y381="RP",_xlfn.LET(_xlpm.desc,_xlfn.XLOOKUP(1,(--(Sheet1!$F$2:$F$754=AE381))*(--ISNUMBER(FIND("-",Sheet1!$W$2:$W$754,FIND("-",Sheet1!$W$2:$W$754)+1))),Sheet1!$W$2:$W$754,""),IF(_xlpm.desc="","NOT FOUND",LEFT(_xlpm.desc,FIND("-",_xlpm.desc,FIND("-",_xlpm.desc)+1))&amp;AE381)),LEFT(J381,FIND("-",J381,FIND("-",J381)+1))&amp;AE381))</f>
        <v>KRTS-APWN26-GETKRTSFUT6125</v>
      </c>
    </row>
    <row r="382" spans="1:34" ht="15.75" customHeight="1" x14ac:dyDescent="0.2">
      <c r="A382" t="s">
        <v>59</v>
      </c>
      <c r="B382" t="s">
        <v>60</v>
      </c>
      <c r="C382" t="s">
        <v>32</v>
      </c>
      <c r="D382" t="s">
        <v>33</v>
      </c>
      <c r="E382" t="s">
        <v>34</v>
      </c>
      <c r="F382" t="s">
        <v>35</v>
      </c>
      <c r="G382" t="s">
        <v>47</v>
      </c>
      <c r="H382" t="s">
        <v>48</v>
      </c>
      <c r="I382" t="s">
        <v>49</v>
      </c>
      <c r="J382" t="s">
        <v>50</v>
      </c>
      <c r="K382" t="s">
        <v>474</v>
      </c>
      <c r="L382" t="s">
        <v>40</v>
      </c>
      <c r="M382">
        <v>1</v>
      </c>
      <c r="N382">
        <v>156</v>
      </c>
      <c r="O382">
        <v>156</v>
      </c>
      <c r="P382" t="s">
        <v>41</v>
      </c>
      <c r="Q382">
        <v>314.7</v>
      </c>
      <c r="R382">
        <v>314.7</v>
      </c>
      <c r="S382">
        <v>2454.66</v>
      </c>
      <c r="T382">
        <v>49093.2</v>
      </c>
      <c r="U382">
        <v>5</v>
      </c>
      <c r="V382" t="s">
        <v>42</v>
      </c>
      <c r="W382" t="s">
        <v>474</v>
      </c>
      <c r="X382" s="6" t="str">
        <f t="shared" si="15"/>
        <v>441811508</v>
      </c>
      <c r="Y382" s="7" t="str">
        <f t="shared" si="16"/>
        <v>DC</v>
      </c>
      <c r="Z382" s="7">
        <f t="shared" si="17"/>
        <v>0</v>
      </c>
      <c r="AA382" s="7">
        <f t="shared" si="18"/>
        <v>156</v>
      </c>
      <c r="AB382" s="7">
        <f t="shared" si="19"/>
        <v>0</v>
      </c>
      <c r="AC382" s="7">
        <f t="shared" si="20"/>
        <v>0</v>
      </c>
      <c r="AD382" s="7">
        <f t="shared" si="21"/>
        <v>0</v>
      </c>
      <c r="AE382" s="8" t="str" cm="1">
        <f t="array" ref="AE382">IFERROR(_xlfn.XLOOKUP(H382,Sheet1!$G:$G,Sheet1!$F:$F),IFERROR(_xlfn.XLOOKUP(1,(--($X$2:$X$1074=X382))*(--ISNUMBER(MATCH($H$2:$H$1074,Sheet1!$G:$G,0))),_xlfn.XLOOKUP($H$2:$H$1074,Sheet1!$G:$G,Sheet1!$F:$F,"")),"NOT FOUND"))</f>
        <v>GETKRTSFUT6125</v>
      </c>
      <c r="AF382" s="9" t="str">
        <f t="shared" si="24"/>
        <v>OFF WHITE</v>
      </c>
      <c r="AG382" s="10" t="str">
        <f t="shared" si="25"/>
        <v>JHAJJAR</v>
      </c>
      <c r="AH382" s="8" t="str" cm="1">
        <f t="array" ref="AH382">IF(OR(J382="",AE382="",AE382="NOT FOUND"),"",IF(Y382="RP",_xlfn.LET(_xlpm.desc,_xlfn.XLOOKUP(1,(--(Sheet1!$F$2:$F$754=AE382))*(--ISNUMBER(FIND("-",Sheet1!$W$2:$W$754,FIND("-",Sheet1!$W$2:$W$754)+1))),Sheet1!$W$2:$W$754,""),IF(_xlpm.desc="","NOT FOUND",LEFT(_xlpm.desc,FIND("-",_xlpm.desc,FIND("-",_xlpm.desc)+1))&amp;AE382)),LEFT(J382,FIND("-",J382,FIND("-",J382)+1))&amp;AE382))</f>
        <v>KRTS-APWN26-GETKRTSFUT6125</v>
      </c>
    </row>
    <row r="383" spans="1:34" ht="15.75" customHeight="1" x14ac:dyDescent="0.2">
      <c r="A383" t="s">
        <v>59</v>
      </c>
      <c r="B383" t="s">
        <v>60</v>
      </c>
      <c r="C383" t="s">
        <v>32</v>
      </c>
      <c r="D383" t="s">
        <v>33</v>
      </c>
      <c r="E383" t="s">
        <v>34</v>
      </c>
      <c r="F383" t="s">
        <v>35</v>
      </c>
      <c r="G383" t="s">
        <v>51</v>
      </c>
      <c r="H383" t="s">
        <v>52</v>
      </c>
      <c r="I383" t="s">
        <v>53</v>
      </c>
      <c r="J383" t="s">
        <v>54</v>
      </c>
      <c r="K383" t="s">
        <v>474</v>
      </c>
      <c r="L383" t="s">
        <v>40</v>
      </c>
      <c r="M383">
        <v>1</v>
      </c>
      <c r="N383">
        <v>30</v>
      </c>
      <c r="O383">
        <v>30</v>
      </c>
      <c r="P383" t="s">
        <v>41</v>
      </c>
      <c r="Q383">
        <v>314.7</v>
      </c>
      <c r="R383">
        <v>314.7</v>
      </c>
      <c r="S383">
        <v>472.05</v>
      </c>
      <c r="T383">
        <v>9441</v>
      </c>
      <c r="U383">
        <v>5</v>
      </c>
      <c r="V383" t="s">
        <v>42</v>
      </c>
      <c r="W383" t="s">
        <v>474</v>
      </c>
      <c r="X383" s="6" t="str">
        <f t="shared" si="15"/>
        <v>441811508</v>
      </c>
      <c r="Y383" s="7" t="str">
        <f t="shared" si="16"/>
        <v>DC</v>
      </c>
      <c r="Z383" s="7">
        <f t="shared" si="17"/>
        <v>30</v>
      </c>
      <c r="AA383" s="7">
        <f t="shared" si="18"/>
        <v>0</v>
      </c>
      <c r="AB383" s="7">
        <f t="shared" si="19"/>
        <v>0</v>
      </c>
      <c r="AC383" s="7">
        <f t="shared" si="20"/>
        <v>0</v>
      </c>
      <c r="AD383" s="7">
        <f t="shared" si="21"/>
        <v>0</v>
      </c>
      <c r="AE383" s="8" t="str" cm="1">
        <f t="array" ref="AE383">IFERROR(_xlfn.XLOOKUP(H383,Sheet1!$G:$G,Sheet1!$F:$F),IFERROR(_xlfn.XLOOKUP(1,(--($X$2:$X$1074=X383))*(--ISNUMBER(MATCH($H$2:$H$1074,Sheet1!$G:$G,0))),_xlfn.XLOOKUP($H$2:$H$1074,Sheet1!$G:$G,Sheet1!$F:$F,"")),"NOT FOUND"))</f>
        <v>GETKRTSFUT6125</v>
      </c>
      <c r="AF383" s="9" t="str">
        <f t="shared" si="24"/>
        <v>OFF WHITE</v>
      </c>
      <c r="AG383" s="10" t="str">
        <f t="shared" si="25"/>
        <v>JHAJJAR</v>
      </c>
      <c r="AH383" s="8" t="str" cm="1">
        <f t="array" ref="AH383">IF(OR(J383="",AE383="",AE383="NOT FOUND"),"",IF(Y383="RP",_xlfn.LET(_xlpm.desc,_xlfn.XLOOKUP(1,(--(Sheet1!$F$2:$F$754=AE383))*(--ISNUMBER(FIND("-",Sheet1!$W$2:$W$754,FIND("-",Sheet1!$W$2:$W$754)+1))),Sheet1!$W$2:$W$754,""),IF(_xlpm.desc="","NOT FOUND",LEFT(_xlpm.desc,FIND("-",_xlpm.desc,FIND("-",_xlpm.desc)+1))&amp;AE383)),LEFT(J383,FIND("-",J383,FIND("-",J383)+1))&amp;AE383))</f>
        <v>KRTS-APWN26-GETKRTSFUT6125</v>
      </c>
    </row>
    <row r="384" spans="1:34" ht="15.75" customHeight="1" x14ac:dyDescent="0.2">
      <c r="A384" t="s">
        <v>59</v>
      </c>
      <c r="B384" t="s">
        <v>60</v>
      </c>
      <c r="C384" t="s">
        <v>32</v>
      </c>
      <c r="D384" t="s">
        <v>33</v>
      </c>
      <c r="E384" t="s">
        <v>34</v>
      </c>
      <c r="F384" t="s">
        <v>35</v>
      </c>
      <c r="G384" t="s">
        <v>55</v>
      </c>
      <c r="H384" t="s">
        <v>56</v>
      </c>
      <c r="I384" t="s">
        <v>57</v>
      </c>
      <c r="J384" t="s">
        <v>58</v>
      </c>
      <c r="K384" t="s">
        <v>474</v>
      </c>
      <c r="L384" t="s">
        <v>40</v>
      </c>
      <c r="M384">
        <v>1</v>
      </c>
      <c r="N384">
        <v>132</v>
      </c>
      <c r="O384">
        <v>132</v>
      </c>
      <c r="P384" t="s">
        <v>41</v>
      </c>
      <c r="Q384">
        <v>314.7</v>
      </c>
      <c r="R384">
        <v>314.7</v>
      </c>
      <c r="S384">
        <v>2077.02</v>
      </c>
      <c r="T384">
        <v>41540.400000000001</v>
      </c>
      <c r="U384">
        <v>5</v>
      </c>
      <c r="V384" t="s">
        <v>42</v>
      </c>
      <c r="W384" t="s">
        <v>474</v>
      </c>
      <c r="X384" s="6" t="str">
        <f t="shared" si="15"/>
        <v>441811508</v>
      </c>
      <c r="Y384" s="7" t="str">
        <f t="shared" si="16"/>
        <v>DC</v>
      </c>
      <c r="Z384" s="7">
        <f t="shared" si="17"/>
        <v>0</v>
      </c>
      <c r="AA384" s="7">
        <f t="shared" si="18"/>
        <v>0</v>
      </c>
      <c r="AB384" s="7">
        <f t="shared" si="19"/>
        <v>0</v>
      </c>
      <c r="AC384" s="7">
        <f t="shared" si="20"/>
        <v>132</v>
      </c>
      <c r="AD384" s="7">
        <f t="shared" si="21"/>
        <v>0</v>
      </c>
      <c r="AE384" s="8" t="str" cm="1">
        <f t="array" ref="AE384">IFERROR(_xlfn.XLOOKUP(H384,Sheet1!$G:$G,Sheet1!$F:$F),IFERROR(_xlfn.XLOOKUP(1,(--($X$2:$X$1074=X384))*(--ISNUMBER(MATCH($H$2:$H$1074,Sheet1!$G:$G,0))),_xlfn.XLOOKUP($H$2:$H$1074,Sheet1!$G:$G,Sheet1!$F:$F,"")),"NOT FOUND"))</f>
        <v>GETKRTSFUT6125</v>
      </c>
      <c r="AF384" s="9" t="str">
        <f t="shared" si="24"/>
        <v>OFF WHITE</v>
      </c>
      <c r="AG384" s="10" t="str">
        <f t="shared" si="25"/>
        <v>JHAJJAR</v>
      </c>
      <c r="AH384" s="8" t="str" cm="1">
        <f t="array" ref="AH384">IF(OR(J384="",AE384="",AE384="NOT FOUND"),"",IF(Y384="RP",_xlfn.LET(_xlpm.desc,_xlfn.XLOOKUP(1,(--(Sheet1!$F$2:$F$754=AE384))*(--ISNUMBER(FIND("-",Sheet1!$W$2:$W$754,FIND("-",Sheet1!$W$2:$W$754)+1))),Sheet1!$W$2:$W$754,""),IF(_xlpm.desc="","NOT FOUND",LEFT(_xlpm.desc,FIND("-",_xlpm.desc,FIND("-",_xlpm.desc)+1))&amp;AE384)),LEFT(J384,FIND("-",J384,FIND("-",J384)+1))&amp;AE384))</f>
        <v>KRTS-APWN26-GETKRTSFUT6125</v>
      </c>
    </row>
    <row r="385" spans="1:34" ht="15.75" customHeight="1" x14ac:dyDescent="0.2">
      <c r="A385" t="s">
        <v>61</v>
      </c>
      <c r="B385" t="s">
        <v>62</v>
      </c>
      <c r="C385" t="s">
        <v>32</v>
      </c>
      <c r="D385" t="s">
        <v>33</v>
      </c>
      <c r="E385" t="s">
        <v>34</v>
      </c>
      <c r="F385" t="s">
        <v>35</v>
      </c>
      <c r="G385" t="s">
        <v>36</v>
      </c>
      <c r="H385" t="s">
        <v>37</v>
      </c>
      <c r="I385" t="s">
        <v>38</v>
      </c>
      <c r="J385" t="s">
        <v>39</v>
      </c>
      <c r="K385" t="s">
        <v>474</v>
      </c>
      <c r="L385" t="s">
        <v>40</v>
      </c>
      <c r="M385">
        <v>1</v>
      </c>
      <c r="N385">
        <v>30</v>
      </c>
      <c r="O385">
        <v>30</v>
      </c>
      <c r="P385" t="s">
        <v>41</v>
      </c>
      <c r="Q385">
        <v>314.7</v>
      </c>
      <c r="R385">
        <v>314.7</v>
      </c>
      <c r="S385">
        <v>472.05</v>
      </c>
      <c r="T385">
        <v>9441</v>
      </c>
      <c r="U385">
        <v>5</v>
      </c>
      <c r="V385" t="s">
        <v>42</v>
      </c>
      <c r="W385" t="s">
        <v>474</v>
      </c>
      <c r="X385" s="6" t="str">
        <f t="shared" si="15"/>
        <v>441811508</v>
      </c>
      <c r="Y385" s="7" t="str">
        <f t="shared" si="16"/>
        <v>DC</v>
      </c>
      <c r="Z385" s="7">
        <f t="shared" si="17"/>
        <v>0</v>
      </c>
      <c r="AA385" s="7">
        <f t="shared" si="18"/>
        <v>0</v>
      </c>
      <c r="AB385" s="7">
        <f t="shared" si="19"/>
        <v>0</v>
      </c>
      <c r="AC385" s="7">
        <f t="shared" si="20"/>
        <v>0</v>
      </c>
      <c r="AD385" s="7">
        <f t="shared" si="21"/>
        <v>30</v>
      </c>
      <c r="AE385" s="8" t="str" cm="1">
        <f t="array" ref="AE385">IFERROR(_xlfn.XLOOKUP(H385,Sheet1!$G:$G,Sheet1!$F:$F),IFERROR(_xlfn.XLOOKUP(1,(--($X$2:$X$1074=X385))*(--ISNUMBER(MATCH($H$2:$H$1074,Sheet1!$G:$G,0))),_xlfn.XLOOKUP($H$2:$H$1074,Sheet1!$G:$G,Sheet1!$F:$F,"")),"NOT FOUND"))</f>
        <v>GETKRTSFUT6125</v>
      </c>
      <c r="AF385" s="9" t="str">
        <f t="shared" si="24"/>
        <v>OFF WHITE</v>
      </c>
      <c r="AG385" s="10" t="str">
        <f t="shared" si="25"/>
        <v>HARIPAL</v>
      </c>
      <c r="AH385" s="8" t="str" cm="1">
        <f t="array" ref="AH385">IF(OR(J385="",AE385="",AE385="NOT FOUND"),"",IF(Y385="RP",_xlfn.LET(_xlpm.desc,_xlfn.XLOOKUP(1,(--(Sheet1!$F$2:$F$754=AE385))*(--ISNUMBER(FIND("-",Sheet1!$W$2:$W$754,FIND("-",Sheet1!$W$2:$W$754)+1))),Sheet1!$W$2:$W$754,""),IF(_xlpm.desc="","NOT FOUND",LEFT(_xlpm.desc,FIND("-",_xlpm.desc,FIND("-",_xlpm.desc)+1))&amp;AE385)),LEFT(J385,FIND("-",J385,FIND("-",J385)+1))&amp;AE385))</f>
        <v>KRTS-APWN26-GETKRTSFUT6125</v>
      </c>
    </row>
    <row r="386" spans="1:34" ht="15.75" customHeight="1" x14ac:dyDescent="0.2">
      <c r="A386" t="s">
        <v>61</v>
      </c>
      <c r="B386" t="s">
        <v>62</v>
      </c>
      <c r="C386" t="s">
        <v>32</v>
      </c>
      <c r="D386" t="s">
        <v>33</v>
      </c>
      <c r="E386" t="s">
        <v>34</v>
      </c>
      <c r="F386" t="s">
        <v>35</v>
      </c>
      <c r="G386" t="s">
        <v>43</v>
      </c>
      <c r="H386" t="s">
        <v>44</v>
      </c>
      <c r="I386" t="s">
        <v>45</v>
      </c>
      <c r="J386" t="s">
        <v>46</v>
      </c>
      <c r="K386" t="s">
        <v>474</v>
      </c>
      <c r="L386" t="s">
        <v>40</v>
      </c>
      <c r="M386">
        <v>1</v>
      </c>
      <c r="N386">
        <v>186</v>
      </c>
      <c r="O386">
        <v>186</v>
      </c>
      <c r="P386" t="s">
        <v>41</v>
      </c>
      <c r="Q386">
        <v>314.7</v>
      </c>
      <c r="R386">
        <v>314.7</v>
      </c>
      <c r="S386">
        <v>2926.71</v>
      </c>
      <c r="T386">
        <v>58534.2</v>
      </c>
      <c r="U386">
        <v>5</v>
      </c>
      <c r="V386" t="s">
        <v>42</v>
      </c>
      <c r="W386" t="s">
        <v>474</v>
      </c>
      <c r="X386" s="6" t="str">
        <f t="shared" si="15"/>
        <v>441811508</v>
      </c>
      <c r="Y386" s="7" t="str">
        <f t="shared" si="16"/>
        <v>DC</v>
      </c>
      <c r="Z386" s="7">
        <f t="shared" si="17"/>
        <v>0</v>
      </c>
      <c r="AA386" s="7">
        <f t="shared" si="18"/>
        <v>0</v>
      </c>
      <c r="AB386" s="7">
        <f t="shared" si="19"/>
        <v>186</v>
      </c>
      <c r="AC386" s="7">
        <f t="shared" si="20"/>
        <v>0</v>
      </c>
      <c r="AD386" s="7">
        <f t="shared" si="21"/>
        <v>0</v>
      </c>
      <c r="AE386" s="8" t="str" cm="1">
        <f t="array" ref="AE386">IFERROR(_xlfn.XLOOKUP(H386,Sheet1!$G:$G,Sheet1!$F:$F),IFERROR(_xlfn.XLOOKUP(1,(--($X$2:$X$1074=X386))*(--ISNUMBER(MATCH($H$2:$H$1074,Sheet1!$G:$G,0))),_xlfn.XLOOKUP($H$2:$H$1074,Sheet1!$G:$G,Sheet1!$F:$F,"")),"NOT FOUND"))</f>
        <v>GETKRTSFUT6125</v>
      </c>
      <c r="AF386" s="9" t="str">
        <f t="shared" si="24"/>
        <v>OFF WHITE</v>
      </c>
      <c r="AG386" s="10" t="str">
        <f t="shared" si="25"/>
        <v>HARIPAL</v>
      </c>
      <c r="AH386" s="8" t="str" cm="1">
        <f t="array" ref="AH386">IF(OR(J386="",AE386="",AE386="NOT FOUND"),"",IF(Y386="RP",_xlfn.LET(_xlpm.desc,_xlfn.XLOOKUP(1,(--(Sheet1!$F$2:$F$754=AE386))*(--ISNUMBER(FIND("-",Sheet1!$W$2:$W$754,FIND("-",Sheet1!$W$2:$W$754)+1))),Sheet1!$W$2:$W$754,""),IF(_xlpm.desc="","NOT FOUND",LEFT(_xlpm.desc,FIND("-",_xlpm.desc,FIND("-",_xlpm.desc)+1))&amp;AE386)),LEFT(J386,FIND("-",J386,FIND("-",J386)+1))&amp;AE386))</f>
        <v>KRTS-APWN26-GETKRTSFUT6125</v>
      </c>
    </row>
    <row r="387" spans="1:34" ht="15.75" customHeight="1" x14ac:dyDescent="0.2">
      <c r="A387" t="s">
        <v>61</v>
      </c>
      <c r="B387" t="s">
        <v>62</v>
      </c>
      <c r="C387" t="s">
        <v>32</v>
      </c>
      <c r="D387" t="s">
        <v>33</v>
      </c>
      <c r="E387" t="s">
        <v>34</v>
      </c>
      <c r="F387" t="s">
        <v>35</v>
      </c>
      <c r="G387" t="s">
        <v>47</v>
      </c>
      <c r="H387" t="s">
        <v>48</v>
      </c>
      <c r="I387" t="s">
        <v>49</v>
      </c>
      <c r="J387" t="s">
        <v>50</v>
      </c>
      <c r="K387" t="s">
        <v>474</v>
      </c>
      <c r="L387" t="s">
        <v>40</v>
      </c>
      <c r="M387">
        <v>1</v>
      </c>
      <c r="N387">
        <v>186</v>
      </c>
      <c r="O387">
        <v>186</v>
      </c>
      <c r="P387" t="s">
        <v>41</v>
      </c>
      <c r="Q387">
        <v>314.7</v>
      </c>
      <c r="R387">
        <v>314.7</v>
      </c>
      <c r="S387">
        <v>2926.71</v>
      </c>
      <c r="T387">
        <v>58534.2</v>
      </c>
      <c r="U387">
        <v>5</v>
      </c>
      <c r="V387" t="s">
        <v>42</v>
      </c>
      <c r="W387" t="s">
        <v>474</v>
      </c>
      <c r="X387" s="6" t="str">
        <f t="shared" si="15"/>
        <v>441811508</v>
      </c>
      <c r="Y387" s="7" t="str">
        <f t="shared" si="16"/>
        <v>DC</v>
      </c>
      <c r="Z387" s="7">
        <f t="shared" si="17"/>
        <v>0</v>
      </c>
      <c r="AA387" s="7">
        <f t="shared" si="18"/>
        <v>186</v>
      </c>
      <c r="AB387" s="7">
        <f t="shared" si="19"/>
        <v>0</v>
      </c>
      <c r="AC387" s="7">
        <f t="shared" si="20"/>
        <v>0</v>
      </c>
      <c r="AD387" s="7">
        <f t="shared" si="21"/>
        <v>0</v>
      </c>
      <c r="AE387" s="8" t="str" cm="1">
        <f t="array" ref="AE387">IFERROR(_xlfn.XLOOKUP(H387,Sheet1!$G:$G,Sheet1!$F:$F),IFERROR(_xlfn.XLOOKUP(1,(--($X$2:$X$1074=X387))*(--ISNUMBER(MATCH($H$2:$H$1074,Sheet1!$G:$G,0))),_xlfn.XLOOKUP($H$2:$H$1074,Sheet1!$G:$G,Sheet1!$F:$F,"")),"NOT FOUND"))</f>
        <v>GETKRTSFUT6125</v>
      </c>
      <c r="AF387" s="9" t="str">
        <f t="shared" ref="AF387:AF450" si="26">IFERROR(IF(ISNUMBER(SEARCH("(RP)",J387)),TRIM(SUBSTITUTE(MID(J387,10,LEN(J387)),"(RP)","")),TRIM(MID(J387,FIND(",",J387)+1,FIND(",",J387,FIND(",",J387)+1)-FIND(",",J387)-1))),"")</f>
        <v>OFF WHITE</v>
      </c>
      <c r="AG387" s="10" t="str">
        <f t="shared" ref="AG387:AG450" si="27">IF(A387="SZAF","Bangalore",IF(A387="SAEX","JHAJJAR",IF(A387="S0EU","HARIPAL","")))</f>
        <v>HARIPAL</v>
      </c>
      <c r="AH387" s="8" t="str" cm="1">
        <f t="array" ref="AH387">IF(OR(J387="",AE387="",AE387="NOT FOUND"),"",IF(Y387="RP",_xlfn.LET(_xlpm.desc,_xlfn.XLOOKUP(1,(--(Sheet1!$F$2:$F$754=AE387))*(--ISNUMBER(FIND("-",Sheet1!$W$2:$W$754,FIND("-",Sheet1!$W$2:$W$754)+1))),Sheet1!$W$2:$W$754,""),IF(_xlpm.desc="","NOT FOUND",LEFT(_xlpm.desc,FIND("-",_xlpm.desc,FIND("-",_xlpm.desc)+1))&amp;AE387)),LEFT(J387,FIND("-",J387,FIND("-",J387)+1))&amp;AE387))</f>
        <v>KRTS-APWN26-GETKRTSFUT6125</v>
      </c>
    </row>
    <row r="388" spans="1:34" ht="15.75" customHeight="1" x14ac:dyDescent="0.2">
      <c r="A388" t="s">
        <v>61</v>
      </c>
      <c r="B388" t="s">
        <v>62</v>
      </c>
      <c r="C388" t="s">
        <v>32</v>
      </c>
      <c r="D388" t="s">
        <v>33</v>
      </c>
      <c r="E388" t="s">
        <v>34</v>
      </c>
      <c r="F388" t="s">
        <v>35</v>
      </c>
      <c r="G388" t="s">
        <v>51</v>
      </c>
      <c r="H388" t="s">
        <v>52</v>
      </c>
      <c r="I388" t="s">
        <v>53</v>
      </c>
      <c r="J388" t="s">
        <v>54</v>
      </c>
      <c r="K388" t="s">
        <v>474</v>
      </c>
      <c r="L388" t="s">
        <v>40</v>
      </c>
      <c r="M388">
        <v>1</v>
      </c>
      <c r="N388">
        <v>30</v>
      </c>
      <c r="O388">
        <v>30</v>
      </c>
      <c r="P388" t="s">
        <v>41</v>
      </c>
      <c r="Q388">
        <v>314.7</v>
      </c>
      <c r="R388">
        <v>314.7</v>
      </c>
      <c r="S388">
        <v>472.05</v>
      </c>
      <c r="T388">
        <v>9441</v>
      </c>
      <c r="U388">
        <v>5</v>
      </c>
      <c r="V388" t="s">
        <v>42</v>
      </c>
      <c r="W388" t="s">
        <v>474</v>
      </c>
      <c r="X388" s="6" t="str">
        <f t="shared" si="15"/>
        <v>441811508</v>
      </c>
      <c r="Y388" s="7" t="str">
        <f t="shared" si="16"/>
        <v>DC</v>
      </c>
      <c r="Z388" s="7">
        <f t="shared" si="17"/>
        <v>30</v>
      </c>
      <c r="AA388" s="7">
        <f t="shared" si="18"/>
        <v>0</v>
      </c>
      <c r="AB388" s="7">
        <f t="shared" si="19"/>
        <v>0</v>
      </c>
      <c r="AC388" s="7">
        <f t="shared" si="20"/>
        <v>0</v>
      </c>
      <c r="AD388" s="7">
        <f t="shared" si="21"/>
        <v>0</v>
      </c>
      <c r="AE388" s="8" t="str" cm="1">
        <f t="array" ref="AE388">IFERROR(_xlfn.XLOOKUP(H388,Sheet1!$G:$G,Sheet1!$F:$F),IFERROR(_xlfn.XLOOKUP(1,(--($X$2:$X$1074=X388))*(--ISNUMBER(MATCH($H$2:$H$1074,Sheet1!$G:$G,0))),_xlfn.XLOOKUP($H$2:$H$1074,Sheet1!$G:$G,Sheet1!$F:$F,"")),"NOT FOUND"))</f>
        <v>GETKRTSFUT6125</v>
      </c>
      <c r="AF388" s="9" t="str">
        <f t="shared" si="26"/>
        <v>OFF WHITE</v>
      </c>
      <c r="AG388" s="10" t="str">
        <f t="shared" si="27"/>
        <v>HARIPAL</v>
      </c>
      <c r="AH388" s="8" t="str" cm="1">
        <f t="array" ref="AH388">IF(OR(J388="",AE388="",AE388="NOT FOUND"),"",IF(Y388="RP",_xlfn.LET(_xlpm.desc,_xlfn.XLOOKUP(1,(--(Sheet1!$F$2:$F$754=AE388))*(--ISNUMBER(FIND("-",Sheet1!$W$2:$W$754,FIND("-",Sheet1!$W$2:$W$754)+1))),Sheet1!$W$2:$W$754,""),IF(_xlpm.desc="","NOT FOUND",LEFT(_xlpm.desc,FIND("-",_xlpm.desc,FIND("-",_xlpm.desc)+1))&amp;AE388)),LEFT(J388,FIND("-",J388,FIND("-",J388)+1))&amp;AE388))</f>
        <v>KRTS-APWN26-GETKRTSFUT6125</v>
      </c>
    </row>
    <row r="389" spans="1:34" ht="15.75" customHeight="1" x14ac:dyDescent="0.2">
      <c r="A389" t="s">
        <v>61</v>
      </c>
      <c r="B389" t="s">
        <v>62</v>
      </c>
      <c r="C389" t="s">
        <v>32</v>
      </c>
      <c r="D389" t="s">
        <v>33</v>
      </c>
      <c r="E389" t="s">
        <v>34</v>
      </c>
      <c r="F389" t="s">
        <v>35</v>
      </c>
      <c r="G389" t="s">
        <v>55</v>
      </c>
      <c r="H389" t="s">
        <v>56</v>
      </c>
      <c r="I389" t="s">
        <v>57</v>
      </c>
      <c r="J389" t="s">
        <v>58</v>
      </c>
      <c r="K389" t="s">
        <v>474</v>
      </c>
      <c r="L389" t="s">
        <v>40</v>
      </c>
      <c r="M389">
        <v>1</v>
      </c>
      <c r="N389">
        <v>157</v>
      </c>
      <c r="O389">
        <v>157</v>
      </c>
      <c r="P389" t="s">
        <v>41</v>
      </c>
      <c r="Q389">
        <v>314.7</v>
      </c>
      <c r="R389">
        <v>314.7</v>
      </c>
      <c r="S389">
        <v>2470.4</v>
      </c>
      <c r="T389">
        <v>49407.9</v>
      </c>
      <c r="U389">
        <v>5</v>
      </c>
      <c r="V389" t="s">
        <v>42</v>
      </c>
      <c r="W389" t="s">
        <v>474</v>
      </c>
      <c r="X389" s="6" t="str">
        <f t="shared" si="15"/>
        <v>441811508</v>
      </c>
      <c r="Y389" s="7" t="str">
        <f t="shared" si="16"/>
        <v>DC</v>
      </c>
      <c r="Z389" s="7">
        <f t="shared" si="17"/>
        <v>0</v>
      </c>
      <c r="AA389" s="7">
        <f t="shared" si="18"/>
        <v>0</v>
      </c>
      <c r="AB389" s="7">
        <f t="shared" si="19"/>
        <v>0</v>
      </c>
      <c r="AC389" s="7">
        <f t="shared" si="20"/>
        <v>157</v>
      </c>
      <c r="AD389" s="7">
        <f t="shared" si="21"/>
        <v>0</v>
      </c>
      <c r="AE389" s="8" t="str" cm="1">
        <f t="array" ref="AE389">IFERROR(_xlfn.XLOOKUP(H389,Sheet1!$G:$G,Sheet1!$F:$F),IFERROR(_xlfn.XLOOKUP(1,(--($X$2:$X$1074=X389))*(--ISNUMBER(MATCH($H$2:$H$1074,Sheet1!$G:$G,0))),_xlfn.XLOOKUP($H$2:$H$1074,Sheet1!$G:$G,Sheet1!$F:$F,"")),"NOT FOUND"))</f>
        <v>GETKRTSFUT6125</v>
      </c>
      <c r="AF389" s="9" t="str">
        <f t="shared" si="26"/>
        <v>OFF WHITE</v>
      </c>
      <c r="AG389" s="10" t="str">
        <f t="shared" si="27"/>
        <v>HARIPAL</v>
      </c>
      <c r="AH389" s="8" t="str" cm="1">
        <f t="array" ref="AH389">IF(OR(J389="",AE389="",AE389="NOT FOUND"),"",IF(Y389="RP",_xlfn.LET(_xlpm.desc,_xlfn.XLOOKUP(1,(--(Sheet1!$F$2:$F$754=AE389))*(--ISNUMBER(FIND("-",Sheet1!$W$2:$W$754,FIND("-",Sheet1!$W$2:$W$754)+1))),Sheet1!$W$2:$W$754,""),IF(_xlpm.desc="","NOT FOUND",LEFT(_xlpm.desc,FIND("-",_xlpm.desc,FIND("-",_xlpm.desc)+1))&amp;AE389)),LEFT(J389,FIND("-",J389,FIND("-",J389)+1))&amp;AE389))</f>
        <v>KRTS-APWN26-GETKRTSFUT6125</v>
      </c>
    </row>
    <row r="390" spans="1:34" ht="15.75" customHeight="1" x14ac:dyDescent="0.2">
      <c r="A390" t="s">
        <v>30</v>
      </c>
      <c r="B390" t="s">
        <v>63</v>
      </c>
      <c r="C390" t="s">
        <v>64</v>
      </c>
      <c r="D390" t="s">
        <v>33</v>
      </c>
      <c r="E390" t="s">
        <v>34</v>
      </c>
      <c r="F390" t="s">
        <v>35</v>
      </c>
      <c r="G390" t="s">
        <v>36</v>
      </c>
      <c r="H390" t="s">
        <v>65</v>
      </c>
      <c r="I390" t="s">
        <v>66</v>
      </c>
      <c r="J390" t="s">
        <v>67</v>
      </c>
      <c r="K390" t="s">
        <v>474</v>
      </c>
      <c r="L390" t="s">
        <v>40</v>
      </c>
      <c r="M390">
        <v>1</v>
      </c>
      <c r="N390">
        <v>30</v>
      </c>
      <c r="O390">
        <v>30</v>
      </c>
      <c r="P390" t="s">
        <v>41</v>
      </c>
      <c r="Q390">
        <v>312.7</v>
      </c>
      <c r="R390">
        <v>312.7</v>
      </c>
      <c r="S390">
        <v>469.05</v>
      </c>
      <c r="T390">
        <v>9381</v>
      </c>
      <c r="U390">
        <v>5</v>
      </c>
      <c r="V390" t="s">
        <v>42</v>
      </c>
      <c r="W390" t="s">
        <v>474</v>
      </c>
      <c r="X390" s="6" t="str">
        <f t="shared" si="15"/>
        <v>441811108</v>
      </c>
      <c r="Y390" s="7" t="str">
        <f t="shared" si="16"/>
        <v>DC</v>
      </c>
      <c r="Z390" s="7">
        <f t="shared" si="17"/>
        <v>0</v>
      </c>
      <c r="AA390" s="7">
        <f t="shared" si="18"/>
        <v>0</v>
      </c>
      <c r="AB390" s="7">
        <f t="shared" si="19"/>
        <v>0</v>
      </c>
      <c r="AC390" s="7">
        <f t="shared" si="20"/>
        <v>0</v>
      </c>
      <c r="AD390" s="7">
        <f t="shared" si="21"/>
        <v>30</v>
      </c>
      <c r="AE390" s="8" t="str" cm="1">
        <f t="array" ref="AE390">IFERROR(_xlfn.XLOOKUP(H390,Sheet1!$G:$G,Sheet1!$F:$F),IFERROR(_xlfn.XLOOKUP(1,(--($X$2:$X$1074=X390))*(--ISNUMBER(MATCH($H$2:$H$1074,Sheet1!$G:$G,0))),_xlfn.XLOOKUP($H$2:$H$1074,Sheet1!$G:$G,Sheet1!$F:$F,"")),"NOT FOUND"))</f>
        <v>GETKRTSFUT6210</v>
      </c>
      <c r="AF390" s="9" t="str">
        <f t="shared" si="26"/>
        <v>GOLD</v>
      </c>
      <c r="AG390" s="10" t="str">
        <f t="shared" si="27"/>
        <v>Bangalore</v>
      </c>
      <c r="AH390" s="8" t="str" cm="1">
        <f t="array" ref="AH390">IF(OR(J390="",AE390="",AE390="NOT FOUND"),"",IF(Y390="RP",_xlfn.LET(_xlpm.desc,_xlfn.XLOOKUP(1,(--(Sheet1!$F$2:$F$754=AE390))*(--ISNUMBER(FIND("-",Sheet1!$W$2:$W$754,FIND("-",Sheet1!$W$2:$W$754)+1))),Sheet1!$W$2:$W$754,""),IF(_xlpm.desc="","NOT FOUND",LEFT(_xlpm.desc,FIND("-",_xlpm.desc,FIND("-",_xlpm.desc)+1))&amp;AE390)),LEFT(J390,FIND("-",J390,FIND("-",J390)+1))&amp;AE390))</f>
        <v>KRTS-APWN26-GETKRTSFUT6210</v>
      </c>
    </row>
    <row r="391" spans="1:34" ht="15.75" customHeight="1" x14ac:dyDescent="0.2">
      <c r="A391" t="s">
        <v>30</v>
      </c>
      <c r="B391" t="s">
        <v>63</v>
      </c>
      <c r="C391" t="s">
        <v>64</v>
      </c>
      <c r="D391" t="s">
        <v>33</v>
      </c>
      <c r="E391" t="s">
        <v>34</v>
      </c>
      <c r="F391" t="s">
        <v>35</v>
      </c>
      <c r="G391" t="s">
        <v>43</v>
      </c>
      <c r="H391" t="s">
        <v>68</v>
      </c>
      <c r="I391" t="s">
        <v>69</v>
      </c>
      <c r="J391" t="s">
        <v>70</v>
      </c>
      <c r="K391" t="s">
        <v>474</v>
      </c>
      <c r="L391" t="s">
        <v>40</v>
      </c>
      <c r="M391">
        <v>1</v>
      </c>
      <c r="N391">
        <v>257</v>
      </c>
      <c r="O391">
        <v>257</v>
      </c>
      <c r="P391" t="s">
        <v>41</v>
      </c>
      <c r="Q391">
        <v>312.7</v>
      </c>
      <c r="R391">
        <v>312.7</v>
      </c>
      <c r="S391">
        <v>4018.2</v>
      </c>
      <c r="T391">
        <v>80363.899999999994</v>
      </c>
      <c r="U391">
        <v>5</v>
      </c>
      <c r="V391" t="s">
        <v>42</v>
      </c>
      <c r="W391" t="s">
        <v>474</v>
      </c>
      <c r="X391" s="6" t="str">
        <f t="shared" si="15"/>
        <v>441811108</v>
      </c>
      <c r="Y391" s="7" t="str">
        <f t="shared" si="16"/>
        <v>DC</v>
      </c>
      <c r="Z391" s="7">
        <f t="shared" si="17"/>
        <v>0</v>
      </c>
      <c r="AA391" s="7">
        <f t="shared" si="18"/>
        <v>0</v>
      </c>
      <c r="AB391" s="7">
        <f t="shared" si="19"/>
        <v>257</v>
      </c>
      <c r="AC391" s="7">
        <f t="shared" si="20"/>
        <v>0</v>
      </c>
      <c r="AD391" s="7">
        <f t="shared" si="21"/>
        <v>0</v>
      </c>
      <c r="AE391" s="8" t="str" cm="1">
        <f t="array" ref="AE391">IFERROR(_xlfn.XLOOKUP(H391,Sheet1!$G:$G,Sheet1!$F:$F),IFERROR(_xlfn.XLOOKUP(1,(--($X$2:$X$1074=X391))*(--ISNUMBER(MATCH($H$2:$H$1074,Sheet1!$G:$G,0))),_xlfn.XLOOKUP($H$2:$H$1074,Sheet1!$G:$G,Sheet1!$F:$F,"")),"NOT FOUND"))</f>
        <v>GETKRTSFUT6210</v>
      </c>
      <c r="AF391" s="9" t="str">
        <f t="shared" si="26"/>
        <v>GOLD</v>
      </c>
      <c r="AG391" s="10" t="str">
        <f t="shared" si="27"/>
        <v>Bangalore</v>
      </c>
      <c r="AH391" s="8" t="str" cm="1">
        <f t="array" ref="AH391">IF(OR(J391="",AE391="",AE391="NOT FOUND"),"",IF(Y391="RP",_xlfn.LET(_xlpm.desc,_xlfn.XLOOKUP(1,(--(Sheet1!$F$2:$F$754=AE391))*(--ISNUMBER(FIND("-",Sheet1!$W$2:$W$754,FIND("-",Sheet1!$W$2:$W$754)+1))),Sheet1!$W$2:$W$754,""),IF(_xlpm.desc="","NOT FOUND",LEFT(_xlpm.desc,FIND("-",_xlpm.desc,FIND("-",_xlpm.desc)+1))&amp;AE391)),LEFT(J391,FIND("-",J391,FIND("-",J391)+1))&amp;AE391))</f>
        <v>KRTS-APWN26-GETKRTSFUT6210</v>
      </c>
    </row>
    <row r="392" spans="1:34" ht="15.75" customHeight="1" x14ac:dyDescent="0.2">
      <c r="A392" t="s">
        <v>30</v>
      </c>
      <c r="B392" t="s">
        <v>63</v>
      </c>
      <c r="C392" t="s">
        <v>64</v>
      </c>
      <c r="D392" t="s">
        <v>33</v>
      </c>
      <c r="E392" t="s">
        <v>34</v>
      </c>
      <c r="F392" t="s">
        <v>35</v>
      </c>
      <c r="G392" t="s">
        <v>47</v>
      </c>
      <c r="H392" t="s">
        <v>71</v>
      </c>
      <c r="I392" t="s">
        <v>72</v>
      </c>
      <c r="J392" t="s">
        <v>73</v>
      </c>
      <c r="K392" t="s">
        <v>474</v>
      </c>
      <c r="L392" t="s">
        <v>40</v>
      </c>
      <c r="M392">
        <v>1</v>
      </c>
      <c r="N392">
        <v>257</v>
      </c>
      <c r="O392">
        <v>257</v>
      </c>
      <c r="P392" t="s">
        <v>41</v>
      </c>
      <c r="Q392">
        <v>312.7</v>
      </c>
      <c r="R392">
        <v>312.7</v>
      </c>
      <c r="S392">
        <v>4018.2</v>
      </c>
      <c r="T392">
        <v>80363.899999999994</v>
      </c>
      <c r="U392">
        <v>5</v>
      </c>
      <c r="V392" t="s">
        <v>42</v>
      </c>
      <c r="W392" t="s">
        <v>474</v>
      </c>
      <c r="X392" s="6" t="str">
        <f t="shared" si="15"/>
        <v>441811108</v>
      </c>
      <c r="Y392" s="7" t="str">
        <f t="shared" si="16"/>
        <v>DC</v>
      </c>
      <c r="Z392" s="7">
        <f t="shared" si="17"/>
        <v>0</v>
      </c>
      <c r="AA392" s="7">
        <f t="shared" si="18"/>
        <v>257</v>
      </c>
      <c r="AB392" s="7">
        <f t="shared" si="19"/>
        <v>0</v>
      </c>
      <c r="AC392" s="7">
        <f t="shared" si="20"/>
        <v>0</v>
      </c>
      <c r="AD392" s="7">
        <f t="shared" si="21"/>
        <v>0</v>
      </c>
      <c r="AE392" s="8" t="str" cm="1">
        <f t="array" ref="AE392">IFERROR(_xlfn.XLOOKUP(H392,Sheet1!$G:$G,Sheet1!$F:$F),IFERROR(_xlfn.XLOOKUP(1,(--($X$2:$X$1074=X392))*(--ISNUMBER(MATCH($H$2:$H$1074,Sheet1!$G:$G,0))),_xlfn.XLOOKUP($H$2:$H$1074,Sheet1!$G:$G,Sheet1!$F:$F,"")),"NOT FOUND"))</f>
        <v>GETKRTSFUT6210</v>
      </c>
      <c r="AF392" s="9" t="str">
        <f t="shared" si="26"/>
        <v>GOLD</v>
      </c>
      <c r="AG392" s="10" t="str">
        <f t="shared" si="27"/>
        <v>Bangalore</v>
      </c>
      <c r="AH392" s="8" t="str" cm="1">
        <f t="array" ref="AH392">IF(OR(J392="",AE392="",AE392="NOT FOUND"),"",IF(Y392="RP",_xlfn.LET(_xlpm.desc,_xlfn.XLOOKUP(1,(--(Sheet1!$F$2:$F$754=AE392))*(--ISNUMBER(FIND("-",Sheet1!$W$2:$W$754,FIND("-",Sheet1!$W$2:$W$754)+1))),Sheet1!$W$2:$W$754,""),IF(_xlpm.desc="","NOT FOUND",LEFT(_xlpm.desc,FIND("-",_xlpm.desc,FIND("-",_xlpm.desc)+1))&amp;AE392)),LEFT(J392,FIND("-",J392,FIND("-",J392)+1))&amp;AE392))</f>
        <v>KRTS-APWN26-GETKRTSFUT6210</v>
      </c>
    </row>
    <row r="393" spans="1:34" ht="15.75" customHeight="1" x14ac:dyDescent="0.2">
      <c r="A393" t="s">
        <v>30</v>
      </c>
      <c r="B393" t="s">
        <v>63</v>
      </c>
      <c r="C393" t="s">
        <v>64</v>
      </c>
      <c r="D393" t="s">
        <v>33</v>
      </c>
      <c r="E393" t="s">
        <v>34</v>
      </c>
      <c r="F393" t="s">
        <v>35</v>
      </c>
      <c r="G393" t="s">
        <v>51</v>
      </c>
      <c r="H393" t="s">
        <v>74</v>
      </c>
      <c r="I393" t="s">
        <v>75</v>
      </c>
      <c r="J393" t="s">
        <v>76</v>
      </c>
      <c r="K393" t="s">
        <v>474</v>
      </c>
      <c r="L393" t="s">
        <v>40</v>
      </c>
      <c r="M393">
        <v>1</v>
      </c>
      <c r="N393">
        <v>30</v>
      </c>
      <c r="O393">
        <v>30</v>
      </c>
      <c r="P393" t="s">
        <v>41</v>
      </c>
      <c r="Q393">
        <v>312.7</v>
      </c>
      <c r="R393">
        <v>312.7</v>
      </c>
      <c r="S393">
        <v>469.05</v>
      </c>
      <c r="T393">
        <v>9381</v>
      </c>
      <c r="U393">
        <v>5</v>
      </c>
      <c r="V393" t="s">
        <v>42</v>
      </c>
      <c r="W393" t="s">
        <v>474</v>
      </c>
      <c r="X393" s="6" t="str">
        <f t="shared" si="15"/>
        <v>441811108</v>
      </c>
      <c r="Y393" s="7" t="str">
        <f t="shared" si="16"/>
        <v>DC</v>
      </c>
      <c r="Z393" s="7">
        <f t="shared" si="17"/>
        <v>30</v>
      </c>
      <c r="AA393" s="7">
        <f t="shared" si="18"/>
        <v>0</v>
      </c>
      <c r="AB393" s="7">
        <f t="shared" si="19"/>
        <v>0</v>
      </c>
      <c r="AC393" s="7">
        <f t="shared" si="20"/>
        <v>0</v>
      </c>
      <c r="AD393" s="7">
        <f t="shared" si="21"/>
        <v>0</v>
      </c>
      <c r="AE393" s="8" t="str" cm="1">
        <f t="array" ref="AE393">IFERROR(_xlfn.XLOOKUP(H393,Sheet1!$G:$G,Sheet1!$F:$F),IFERROR(_xlfn.XLOOKUP(1,(--($X$2:$X$1074=X393))*(--ISNUMBER(MATCH($H$2:$H$1074,Sheet1!$G:$G,0))),_xlfn.XLOOKUP($H$2:$H$1074,Sheet1!$G:$G,Sheet1!$F:$F,"")),"NOT FOUND"))</f>
        <v>GETKRTSFUT6210</v>
      </c>
      <c r="AF393" s="9" t="str">
        <f t="shared" si="26"/>
        <v>GOLD</v>
      </c>
      <c r="AG393" s="10" t="str">
        <f t="shared" si="27"/>
        <v>Bangalore</v>
      </c>
      <c r="AH393" s="8" t="str" cm="1">
        <f t="array" ref="AH393">IF(OR(J393="",AE393="",AE393="NOT FOUND"),"",IF(Y393="RP",_xlfn.LET(_xlpm.desc,_xlfn.XLOOKUP(1,(--(Sheet1!$F$2:$F$754=AE393))*(--ISNUMBER(FIND("-",Sheet1!$W$2:$W$754,FIND("-",Sheet1!$W$2:$W$754)+1))),Sheet1!$W$2:$W$754,""),IF(_xlpm.desc="","NOT FOUND",LEFT(_xlpm.desc,FIND("-",_xlpm.desc,FIND("-",_xlpm.desc)+1))&amp;AE393)),LEFT(J393,FIND("-",J393,FIND("-",J393)+1))&amp;AE393))</f>
        <v>KRTS-APWN26-GETKRTSFUT6210</v>
      </c>
    </row>
    <row r="394" spans="1:34" ht="15.75" customHeight="1" x14ac:dyDescent="0.2">
      <c r="A394" t="s">
        <v>30</v>
      </c>
      <c r="B394" t="s">
        <v>63</v>
      </c>
      <c r="C394" t="s">
        <v>64</v>
      </c>
      <c r="D394" t="s">
        <v>33</v>
      </c>
      <c r="E394" t="s">
        <v>34</v>
      </c>
      <c r="F394" t="s">
        <v>35</v>
      </c>
      <c r="G394" t="s">
        <v>55</v>
      </c>
      <c r="H394" t="s">
        <v>77</v>
      </c>
      <c r="I394" t="s">
        <v>78</v>
      </c>
      <c r="J394" t="s">
        <v>79</v>
      </c>
      <c r="K394" t="s">
        <v>474</v>
      </c>
      <c r="L394" t="s">
        <v>40</v>
      </c>
      <c r="M394">
        <v>1</v>
      </c>
      <c r="N394">
        <v>217</v>
      </c>
      <c r="O394">
        <v>217</v>
      </c>
      <c r="P394" t="s">
        <v>41</v>
      </c>
      <c r="Q394">
        <v>312.7</v>
      </c>
      <c r="R394">
        <v>312.7</v>
      </c>
      <c r="S394">
        <v>3392.8</v>
      </c>
      <c r="T394">
        <v>67855.899999999994</v>
      </c>
      <c r="U394">
        <v>5</v>
      </c>
      <c r="V394" t="s">
        <v>42</v>
      </c>
      <c r="W394" t="s">
        <v>474</v>
      </c>
      <c r="X394" s="6" t="str">
        <f t="shared" si="15"/>
        <v>441811108</v>
      </c>
      <c r="Y394" s="7" t="str">
        <f t="shared" si="16"/>
        <v>DC</v>
      </c>
      <c r="Z394" s="7">
        <f t="shared" si="17"/>
        <v>0</v>
      </c>
      <c r="AA394" s="7">
        <f t="shared" si="18"/>
        <v>0</v>
      </c>
      <c r="AB394" s="7">
        <f t="shared" si="19"/>
        <v>0</v>
      </c>
      <c r="AC394" s="7">
        <f t="shared" si="20"/>
        <v>217</v>
      </c>
      <c r="AD394" s="7">
        <f t="shared" si="21"/>
        <v>0</v>
      </c>
      <c r="AE394" s="8" t="str" cm="1">
        <f t="array" ref="AE394">IFERROR(_xlfn.XLOOKUP(H394,Sheet1!$G:$G,Sheet1!$F:$F),IFERROR(_xlfn.XLOOKUP(1,(--($X$2:$X$1074=X394))*(--ISNUMBER(MATCH($H$2:$H$1074,Sheet1!$G:$G,0))),_xlfn.XLOOKUP($H$2:$H$1074,Sheet1!$G:$G,Sheet1!$F:$F,"")),"NOT FOUND"))</f>
        <v>GETKRTSFUT6210</v>
      </c>
      <c r="AF394" s="9" t="str">
        <f t="shared" si="26"/>
        <v>GOLD</v>
      </c>
      <c r="AG394" s="10" t="str">
        <f t="shared" si="27"/>
        <v>Bangalore</v>
      </c>
      <c r="AH394" s="8" t="str" cm="1">
        <f t="array" ref="AH394">IF(OR(J394="",AE394="",AE394="NOT FOUND"),"",IF(Y394="RP",_xlfn.LET(_xlpm.desc,_xlfn.XLOOKUP(1,(--(Sheet1!$F$2:$F$754=AE394))*(--ISNUMBER(FIND("-",Sheet1!$W$2:$W$754,FIND("-",Sheet1!$W$2:$W$754)+1))),Sheet1!$W$2:$W$754,""),IF(_xlpm.desc="","NOT FOUND",LEFT(_xlpm.desc,FIND("-",_xlpm.desc,FIND("-",_xlpm.desc)+1))&amp;AE394)),LEFT(J394,FIND("-",J394,FIND("-",J394)+1))&amp;AE394))</f>
        <v>KRTS-APWN26-GETKRTSFUT6210</v>
      </c>
    </row>
    <row r="395" spans="1:34" ht="15.75" customHeight="1" x14ac:dyDescent="0.2">
      <c r="A395" t="s">
        <v>30</v>
      </c>
      <c r="B395" t="s">
        <v>80</v>
      </c>
      <c r="C395" t="s">
        <v>64</v>
      </c>
      <c r="D395" t="s">
        <v>81</v>
      </c>
      <c r="E395" t="s">
        <v>34</v>
      </c>
      <c r="F395" t="s">
        <v>35</v>
      </c>
      <c r="G395" t="s">
        <v>36</v>
      </c>
      <c r="H395" t="s">
        <v>82</v>
      </c>
      <c r="I395" t="s">
        <v>83</v>
      </c>
      <c r="J395" t="s">
        <v>84</v>
      </c>
      <c r="K395" t="s">
        <v>474</v>
      </c>
      <c r="L395" t="s">
        <v>40</v>
      </c>
      <c r="M395">
        <v>1</v>
      </c>
      <c r="N395">
        <v>30</v>
      </c>
      <c r="O395">
        <v>30</v>
      </c>
      <c r="P395" t="s">
        <v>41</v>
      </c>
      <c r="Q395">
        <v>419.7</v>
      </c>
      <c r="R395">
        <v>419.7</v>
      </c>
      <c r="S395">
        <v>629.54999999999995</v>
      </c>
      <c r="T395">
        <v>12591</v>
      </c>
      <c r="U395">
        <v>5</v>
      </c>
      <c r="V395" t="s">
        <v>42</v>
      </c>
      <c r="W395" t="s">
        <v>474</v>
      </c>
      <c r="X395" s="6" t="str">
        <f t="shared" si="15"/>
        <v>441811107</v>
      </c>
      <c r="Y395" s="7" t="str">
        <f t="shared" si="16"/>
        <v>DC</v>
      </c>
      <c r="Z395" s="7">
        <f t="shared" si="17"/>
        <v>0</v>
      </c>
      <c r="AA395" s="7">
        <f t="shared" si="18"/>
        <v>0</v>
      </c>
      <c r="AB395" s="7">
        <f t="shared" si="19"/>
        <v>0</v>
      </c>
      <c r="AC395" s="7">
        <f t="shared" si="20"/>
        <v>0</v>
      </c>
      <c r="AD395" s="7">
        <f t="shared" si="21"/>
        <v>30</v>
      </c>
      <c r="AE395" s="8" t="str" cm="1">
        <f t="array" ref="AE395">IFERROR(_xlfn.XLOOKUP(H395,Sheet1!$G:$G,Sheet1!$F:$F),IFERROR(_xlfn.XLOOKUP(1,(--($X$2:$X$1074=X395))*(--ISNUMBER(MATCH($H$2:$H$1074,Sheet1!$G:$G,0))),_xlfn.XLOOKUP($H$2:$H$1074,Sheet1!$G:$G,Sheet1!$F:$F,"")),"NOT FOUND"))</f>
        <v>GETKRTSFUT6205</v>
      </c>
      <c r="AF395" s="9" t="str">
        <f t="shared" si="26"/>
        <v>GREEN</v>
      </c>
      <c r="AG395" s="10" t="str">
        <f t="shared" si="27"/>
        <v>Bangalore</v>
      </c>
      <c r="AH395" s="8" t="str" cm="1">
        <f t="array" ref="AH395">IF(OR(J395="",AE395="",AE395="NOT FOUND"),"",IF(Y395="RP",_xlfn.LET(_xlpm.desc,_xlfn.XLOOKUP(1,(--(Sheet1!$F$2:$F$754=AE395))*(--ISNUMBER(FIND("-",Sheet1!$W$2:$W$754,FIND("-",Sheet1!$W$2:$W$754)+1))),Sheet1!$W$2:$W$754,""),IF(_xlpm.desc="","NOT FOUND",LEFT(_xlpm.desc,FIND("-",_xlpm.desc,FIND("-",_xlpm.desc)+1))&amp;AE395)),LEFT(J395,FIND("-",J395,FIND("-",J395)+1))&amp;AE395))</f>
        <v>KRTS-APWN26-GETKRTSFUT6205</v>
      </c>
    </row>
    <row r="396" spans="1:34" ht="15.75" customHeight="1" x14ac:dyDescent="0.2">
      <c r="A396" t="s">
        <v>30</v>
      </c>
      <c r="B396" t="s">
        <v>80</v>
      </c>
      <c r="C396" t="s">
        <v>64</v>
      </c>
      <c r="D396" t="s">
        <v>81</v>
      </c>
      <c r="E396" t="s">
        <v>34</v>
      </c>
      <c r="F396" t="s">
        <v>35</v>
      </c>
      <c r="G396" t="s">
        <v>43</v>
      </c>
      <c r="H396" t="s">
        <v>85</v>
      </c>
      <c r="I396" t="s">
        <v>86</v>
      </c>
      <c r="J396" t="s">
        <v>87</v>
      </c>
      <c r="K396" t="s">
        <v>474</v>
      </c>
      <c r="L396" t="s">
        <v>40</v>
      </c>
      <c r="M396">
        <v>1</v>
      </c>
      <c r="N396">
        <v>187</v>
      </c>
      <c r="O396">
        <v>187</v>
      </c>
      <c r="P396" t="s">
        <v>41</v>
      </c>
      <c r="Q396">
        <v>419.7</v>
      </c>
      <c r="R396">
        <v>419.7</v>
      </c>
      <c r="S396">
        <v>3924.2</v>
      </c>
      <c r="T396">
        <v>78483.899999999994</v>
      </c>
      <c r="U396">
        <v>5</v>
      </c>
      <c r="V396" t="s">
        <v>42</v>
      </c>
      <c r="W396" t="s">
        <v>474</v>
      </c>
      <c r="X396" s="6" t="str">
        <f t="shared" si="15"/>
        <v>441811107</v>
      </c>
      <c r="Y396" s="7" t="str">
        <f t="shared" si="16"/>
        <v>DC</v>
      </c>
      <c r="Z396" s="7">
        <f t="shared" si="17"/>
        <v>0</v>
      </c>
      <c r="AA396" s="7">
        <f t="shared" si="18"/>
        <v>0</v>
      </c>
      <c r="AB396" s="7">
        <f t="shared" si="19"/>
        <v>187</v>
      </c>
      <c r="AC396" s="7">
        <f t="shared" si="20"/>
        <v>0</v>
      </c>
      <c r="AD396" s="7">
        <f t="shared" si="21"/>
        <v>0</v>
      </c>
      <c r="AE396" s="8" t="str" cm="1">
        <f t="array" ref="AE396">IFERROR(_xlfn.XLOOKUP(H396,Sheet1!$G:$G,Sheet1!$F:$F),IFERROR(_xlfn.XLOOKUP(1,(--($X$2:$X$1074=X396))*(--ISNUMBER(MATCH($H$2:$H$1074,Sheet1!$G:$G,0))),_xlfn.XLOOKUP($H$2:$H$1074,Sheet1!$G:$G,Sheet1!$F:$F,"")),"NOT FOUND"))</f>
        <v>GETKRTSFUT6205</v>
      </c>
      <c r="AF396" s="9" t="str">
        <f t="shared" si="26"/>
        <v>GREEN</v>
      </c>
      <c r="AG396" s="10" t="str">
        <f t="shared" si="27"/>
        <v>Bangalore</v>
      </c>
      <c r="AH396" s="8" t="str" cm="1">
        <f t="array" ref="AH396">IF(OR(J396="",AE396="",AE396="NOT FOUND"),"",IF(Y396="RP",_xlfn.LET(_xlpm.desc,_xlfn.XLOOKUP(1,(--(Sheet1!$F$2:$F$754=AE396))*(--ISNUMBER(FIND("-",Sheet1!$W$2:$W$754,FIND("-",Sheet1!$W$2:$W$754)+1))),Sheet1!$W$2:$W$754,""),IF(_xlpm.desc="","NOT FOUND",LEFT(_xlpm.desc,FIND("-",_xlpm.desc,FIND("-",_xlpm.desc)+1))&amp;AE396)),LEFT(J396,FIND("-",J396,FIND("-",J396)+1))&amp;AE396))</f>
        <v>KRTS-APWN26-GETKRTSFUT6205</v>
      </c>
    </row>
    <row r="397" spans="1:34" ht="15.75" customHeight="1" x14ac:dyDescent="0.2">
      <c r="A397" t="s">
        <v>30</v>
      </c>
      <c r="B397" t="s">
        <v>80</v>
      </c>
      <c r="C397" t="s">
        <v>64</v>
      </c>
      <c r="D397" t="s">
        <v>81</v>
      </c>
      <c r="E397" t="s">
        <v>34</v>
      </c>
      <c r="F397" t="s">
        <v>35</v>
      </c>
      <c r="G397" t="s">
        <v>47</v>
      </c>
      <c r="H397" t="s">
        <v>88</v>
      </c>
      <c r="I397" t="s">
        <v>89</v>
      </c>
      <c r="J397" t="s">
        <v>90</v>
      </c>
      <c r="K397" t="s">
        <v>474</v>
      </c>
      <c r="L397" t="s">
        <v>40</v>
      </c>
      <c r="M397">
        <v>1</v>
      </c>
      <c r="N397">
        <v>187</v>
      </c>
      <c r="O397">
        <v>187</v>
      </c>
      <c r="P397" t="s">
        <v>41</v>
      </c>
      <c r="Q397">
        <v>419.7</v>
      </c>
      <c r="R397">
        <v>419.7</v>
      </c>
      <c r="S397">
        <v>3924.2</v>
      </c>
      <c r="T397">
        <v>78483.899999999994</v>
      </c>
      <c r="U397">
        <v>5</v>
      </c>
      <c r="V397" t="s">
        <v>42</v>
      </c>
      <c r="W397" t="s">
        <v>474</v>
      </c>
      <c r="X397" s="6" t="str">
        <f t="shared" si="15"/>
        <v>441811107</v>
      </c>
      <c r="Y397" s="7" t="str">
        <f t="shared" si="16"/>
        <v>DC</v>
      </c>
      <c r="Z397" s="7">
        <f t="shared" si="17"/>
        <v>0</v>
      </c>
      <c r="AA397" s="7">
        <f t="shared" si="18"/>
        <v>187</v>
      </c>
      <c r="AB397" s="7">
        <f t="shared" si="19"/>
        <v>0</v>
      </c>
      <c r="AC397" s="7">
        <f t="shared" si="20"/>
        <v>0</v>
      </c>
      <c r="AD397" s="7">
        <f t="shared" si="21"/>
        <v>0</v>
      </c>
      <c r="AE397" s="8" t="str" cm="1">
        <f t="array" ref="AE397">IFERROR(_xlfn.XLOOKUP(H397,Sheet1!$G:$G,Sheet1!$F:$F),IFERROR(_xlfn.XLOOKUP(1,(--($X$2:$X$1074=X397))*(--ISNUMBER(MATCH($H$2:$H$1074,Sheet1!$G:$G,0))),_xlfn.XLOOKUP($H$2:$H$1074,Sheet1!$G:$G,Sheet1!$F:$F,"")),"NOT FOUND"))</f>
        <v>GETKRTSFUT6205</v>
      </c>
      <c r="AF397" s="9" t="str">
        <f t="shared" si="26"/>
        <v>GREEN</v>
      </c>
      <c r="AG397" s="10" t="str">
        <f t="shared" si="27"/>
        <v>Bangalore</v>
      </c>
      <c r="AH397" s="8" t="str" cm="1">
        <f t="array" ref="AH397">IF(OR(J397="",AE397="",AE397="NOT FOUND"),"",IF(Y397="RP",_xlfn.LET(_xlpm.desc,_xlfn.XLOOKUP(1,(--(Sheet1!$F$2:$F$754=AE397))*(--ISNUMBER(FIND("-",Sheet1!$W$2:$W$754,FIND("-",Sheet1!$W$2:$W$754)+1))),Sheet1!$W$2:$W$754,""),IF(_xlpm.desc="","NOT FOUND",LEFT(_xlpm.desc,FIND("-",_xlpm.desc,FIND("-",_xlpm.desc)+1))&amp;AE397)),LEFT(J397,FIND("-",J397,FIND("-",J397)+1))&amp;AE397))</f>
        <v>KRTS-APWN26-GETKRTSFUT6205</v>
      </c>
    </row>
    <row r="398" spans="1:34" ht="15.75" customHeight="1" x14ac:dyDescent="0.2">
      <c r="A398" t="s">
        <v>30</v>
      </c>
      <c r="B398" t="s">
        <v>80</v>
      </c>
      <c r="C398" t="s">
        <v>64</v>
      </c>
      <c r="D398" t="s">
        <v>81</v>
      </c>
      <c r="E398" t="s">
        <v>34</v>
      </c>
      <c r="F398" t="s">
        <v>35</v>
      </c>
      <c r="G398" t="s">
        <v>51</v>
      </c>
      <c r="H398" t="s">
        <v>91</v>
      </c>
      <c r="I398" t="s">
        <v>92</v>
      </c>
      <c r="J398" t="s">
        <v>93</v>
      </c>
      <c r="K398" t="s">
        <v>474</v>
      </c>
      <c r="L398" t="s">
        <v>40</v>
      </c>
      <c r="M398">
        <v>1</v>
      </c>
      <c r="N398">
        <v>30</v>
      </c>
      <c r="O398">
        <v>30</v>
      </c>
      <c r="P398" t="s">
        <v>41</v>
      </c>
      <c r="Q398">
        <v>419.7</v>
      </c>
      <c r="R398">
        <v>419.7</v>
      </c>
      <c r="S398">
        <v>629.54999999999995</v>
      </c>
      <c r="T398">
        <v>12591</v>
      </c>
      <c r="U398">
        <v>5</v>
      </c>
      <c r="V398" t="s">
        <v>42</v>
      </c>
      <c r="W398" t="s">
        <v>474</v>
      </c>
      <c r="X398" s="6" t="str">
        <f t="shared" si="15"/>
        <v>441811107</v>
      </c>
      <c r="Y398" s="7" t="str">
        <f t="shared" si="16"/>
        <v>DC</v>
      </c>
      <c r="Z398" s="7">
        <f t="shared" si="17"/>
        <v>30</v>
      </c>
      <c r="AA398" s="7">
        <f t="shared" si="18"/>
        <v>0</v>
      </c>
      <c r="AB398" s="7">
        <f t="shared" si="19"/>
        <v>0</v>
      </c>
      <c r="AC398" s="7">
        <f t="shared" si="20"/>
        <v>0</v>
      </c>
      <c r="AD398" s="7">
        <f t="shared" si="21"/>
        <v>0</v>
      </c>
      <c r="AE398" s="8" t="str" cm="1">
        <f t="array" ref="AE398">IFERROR(_xlfn.XLOOKUP(H398,Sheet1!$G:$G,Sheet1!$F:$F),IFERROR(_xlfn.XLOOKUP(1,(--($X$2:$X$1074=X398))*(--ISNUMBER(MATCH($H$2:$H$1074,Sheet1!$G:$G,0))),_xlfn.XLOOKUP($H$2:$H$1074,Sheet1!$G:$G,Sheet1!$F:$F,"")),"NOT FOUND"))</f>
        <v>GETKRTSFUT6205</v>
      </c>
      <c r="AF398" s="9" t="str">
        <f t="shared" si="26"/>
        <v>GREEN</v>
      </c>
      <c r="AG398" s="10" t="str">
        <f t="shared" si="27"/>
        <v>Bangalore</v>
      </c>
      <c r="AH398" s="8" t="str" cm="1">
        <f t="array" ref="AH398">IF(OR(J398="",AE398="",AE398="NOT FOUND"),"",IF(Y398="RP",_xlfn.LET(_xlpm.desc,_xlfn.XLOOKUP(1,(--(Sheet1!$F$2:$F$754=AE398))*(--ISNUMBER(FIND("-",Sheet1!$W$2:$W$754,FIND("-",Sheet1!$W$2:$W$754)+1))),Sheet1!$W$2:$W$754,""),IF(_xlpm.desc="","NOT FOUND",LEFT(_xlpm.desc,FIND("-",_xlpm.desc,FIND("-",_xlpm.desc)+1))&amp;AE398)),LEFT(J398,FIND("-",J398,FIND("-",J398)+1))&amp;AE398))</f>
        <v>KRTS-APWN26-GETKRTSFUT6205</v>
      </c>
    </row>
    <row r="399" spans="1:34" ht="15.75" customHeight="1" x14ac:dyDescent="0.2">
      <c r="A399" t="s">
        <v>30</v>
      </c>
      <c r="B399" t="s">
        <v>80</v>
      </c>
      <c r="C399" t="s">
        <v>64</v>
      </c>
      <c r="D399" t="s">
        <v>81</v>
      </c>
      <c r="E399" t="s">
        <v>34</v>
      </c>
      <c r="F399" t="s">
        <v>35</v>
      </c>
      <c r="G399" t="s">
        <v>55</v>
      </c>
      <c r="H399" t="s">
        <v>94</v>
      </c>
      <c r="I399" t="s">
        <v>95</v>
      </c>
      <c r="J399" t="s">
        <v>96</v>
      </c>
      <c r="K399" t="s">
        <v>474</v>
      </c>
      <c r="L399" t="s">
        <v>40</v>
      </c>
      <c r="M399">
        <v>1</v>
      </c>
      <c r="N399">
        <v>158</v>
      </c>
      <c r="O399">
        <v>158</v>
      </c>
      <c r="P399" t="s">
        <v>41</v>
      </c>
      <c r="Q399">
        <v>419.7</v>
      </c>
      <c r="R399">
        <v>419.7</v>
      </c>
      <c r="S399">
        <v>3315.63</v>
      </c>
      <c r="T399">
        <v>66312.600000000006</v>
      </c>
      <c r="U399">
        <v>5</v>
      </c>
      <c r="V399" t="s">
        <v>42</v>
      </c>
      <c r="W399" t="s">
        <v>474</v>
      </c>
      <c r="X399" s="6" t="str">
        <f t="shared" si="15"/>
        <v>441811107</v>
      </c>
      <c r="Y399" s="7" t="str">
        <f t="shared" si="16"/>
        <v>DC</v>
      </c>
      <c r="Z399" s="7">
        <f t="shared" si="17"/>
        <v>0</v>
      </c>
      <c r="AA399" s="7">
        <f t="shared" si="18"/>
        <v>0</v>
      </c>
      <c r="AB399" s="7">
        <f t="shared" si="19"/>
        <v>0</v>
      </c>
      <c r="AC399" s="7">
        <f t="shared" si="20"/>
        <v>158</v>
      </c>
      <c r="AD399" s="7">
        <f t="shared" si="21"/>
        <v>0</v>
      </c>
      <c r="AE399" s="8" t="str" cm="1">
        <f t="array" ref="AE399">IFERROR(_xlfn.XLOOKUP(H399,Sheet1!$G:$G,Sheet1!$F:$F),IFERROR(_xlfn.XLOOKUP(1,(--($X$2:$X$1074=X399))*(--ISNUMBER(MATCH($H$2:$H$1074,Sheet1!$G:$G,0))),_xlfn.XLOOKUP($H$2:$H$1074,Sheet1!$G:$G,Sheet1!$F:$F,"")),"NOT FOUND"))</f>
        <v>GETKRTSFUT6205</v>
      </c>
      <c r="AF399" s="9" t="str">
        <f t="shared" si="26"/>
        <v>GREEN</v>
      </c>
      <c r="AG399" s="10" t="str">
        <f t="shared" si="27"/>
        <v>Bangalore</v>
      </c>
      <c r="AH399" s="8" t="str" cm="1">
        <f t="array" ref="AH399">IF(OR(J399="",AE399="",AE399="NOT FOUND"),"",IF(Y399="RP",_xlfn.LET(_xlpm.desc,_xlfn.XLOOKUP(1,(--(Sheet1!$F$2:$F$754=AE399))*(--ISNUMBER(FIND("-",Sheet1!$W$2:$W$754,FIND("-",Sheet1!$W$2:$W$754)+1))),Sheet1!$W$2:$W$754,""),IF(_xlpm.desc="","NOT FOUND",LEFT(_xlpm.desc,FIND("-",_xlpm.desc,FIND("-",_xlpm.desc)+1))&amp;AE399)),LEFT(J399,FIND("-",J399,FIND("-",J399)+1))&amp;AE399))</f>
        <v>KRTS-APWN26-GETKRTSFUT6205</v>
      </c>
    </row>
    <row r="400" spans="1:34" ht="15.75" customHeight="1" x14ac:dyDescent="0.2">
      <c r="A400" t="s">
        <v>30</v>
      </c>
      <c r="B400" t="s">
        <v>97</v>
      </c>
      <c r="C400" t="s">
        <v>64</v>
      </c>
      <c r="D400" t="s">
        <v>98</v>
      </c>
      <c r="E400" t="s">
        <v>34</v>
      </c>
      <c r="F400" t="s">
        <v>35</v>
      </c>
      <c r="G400" t="s">
        <v>36</v>
      </c>
      <c r="H400" t="s">
        <v>99</v>
      </c>
      <c r="I400" t="s">
        <v>100</v>
      </c>
      <c r="J400" t="s">
        <v>101</v>
      </c>
      <c r="K400" t="s">
        <v>474</v>
      </c>
      <c r="L400" t="s">
        <v>40</v>
      </c>
      <c r="M400">
        <v>1</v>
      </c>
      <c r="N400">
        <v>30</v>
      </c>
      <c r="O400">
        <v>30</v>
      </c>
      <c r="P400" t="s">
        <v>41</v>
      </c>
      <c r="Q400">
        <v>314.7</v>
      </c>
      <c r="R400">
        <v>314.7</v>
      </c>
      <c r="S400">
        <v>472.05</v>
      </c>
      <c r="T400">
        <v>9441</v>
      </c>
      <c r="U400">
        <v>5</v>
      </c>
      <c r="V400" t="s">
        <v>42</v>
      </c>
      <c r="W400" t="s">
        <v>474</v>
      </c>
      <c r="X400" s="6" t="str">
        <f t="shared" si="15"/>
        <v>441811106</v>
      </c>
      <c r="Y400" s="7" t="str">
        <f t="shared" si="16"/>
        <v>DC</v>
      </c>
      <c r="Z400" s="7">
        <f t="shared" si="17"/>
        <v>0</v>
      </c>
      <c r="AA400" s="7">
        <f t="shared" si="18"/>
        <v>0</v>
      </c>
      <c r="AB400" s="7">
        <f t="shared" si="19"/>
        <v>0</v>
      </c>
      <c r="AC400" s="7">
        <f t="shared" si="20"/>
        <v>0</v>
      </c>
      <c r="AD400" s="7">
        <f t="shared" si="21"/>
        <v>30</v>
      </c>
      <c r="AE400" s="8" t="str" cm="1">
        <f t="array" ref="AE400">IFERROR(_xlfn.XLOOKUP(H400,Sheet1!$G:$G,Sheet1!$F:$F),IFERROR(_xlfn.XLOOKUP(1,(--($X$2:$X$1074=X400))*(--ISNUMBER(MATCH($H$2:$H$1074,Sheet1!$G:$G,0))),_xlfn.XLOOKUP($H$2:$H$1074,Sheet1!$G:$G,Sheet1!$F:$F,"")),"NOT FOUND"))</f>
        <v>GETKRTSFUT6204</v>
      </c>
      <c r="AF400" s="9" t="str">
        <f t="shared" si="26"/>
        <v>GREEN</v>
      </c>
      <c r="AG400" s="10" t="str">
        <f t="shared" si="27"/>
        <v>Bangalore</v>
      </c>
      <c r="AH400" s="8" t="str" cm="1">
        <f t="array" ref="AH400">IF(OR(J400="",AE400="",AE400="NOT FOUND"),"",IF(Y400="RP",_xlfn.LET(_xlpm.desc,_xlfn.XLOOKUP(1,(--(Sheet1!$F$2:$F$754=AE400))*(--ISNUMBER(FIND("-",Sheet1!$W$2:$W$754,FIND("-",Sheet1!$W$2:$W$754)+1))),Sheet1!$W$2:$W$754,""),IF(_xlpm.desc="","NOT FOUND",LEFT(_xlpm.desc,FIND("-",_xlpm.desc,FIND("-",_xlpm.desc)+1))&amp;AE400)),LEFT(J400,FIND("-",J400,FIND("-",J400)+1))&amp;AE400))</f>
        <v>KRTS-APWN26-GETKRTSFUT6204</v>
      </c>
    </row>
    <row r="401" spans="1:34" ht="15.75" customHeight="1" x14ac:dyDescent="0.2">
      <c r="A401" t="s">
        <v>30</v>
      </c>
      <c r="B401" t="s">
        <v>97</v>
      </c>
      <c r="C401" t="s">
        <v>64</v>
      </c>
      <c r="D401" t="s">
        <v>98</v>
      </c>
      <c r="E401" t="s">
        <v>34</v>
      </c>
      <c r="F401" t="s">
        <v>35</v>
      </c>
      <c r="G401" t="s">
        <v>43</v>
      </c>
      <c r="H401" t="s">
        <v>102</v>
      </c>
      <c r="I401" t="s">
        <v>103</v>
      </c>
      <c r="J401" t="s">
        <v>104</v>
      </c>
      <c r="K401" t="s">
        <v>474</v>
      </c>
      <c r="L401" t="s">
        <v>40</v>
      </c>
      <c r="M401">
        <v>1</v>
      </c>
      <c r="N401">
        <v>257</v>
      </c>
      <c r="O401">
        <v>257</v>
      </c>
      <c r="P401" t="s">
        <v>41</v>
      </c>
      <c r="Q401">
        <v>314.7</v>
      </c>
      <c r="R401">
        <v>314.7</v>
      </c>
      <c r="S401">
        <v>4043.9</v>
      </c>
      <c r="T401">
        <v>80877.899999999994</v>
      </c>
      <c r="U401">
        <v>5</v>
      </c>
      <c r="V401" t="s">
        <v>42</v>
      </c>
      <c r="W401" t="s">
        <v>474</v>
      </c>
      <c r="X401" s="6" t="str">
        <f t="shared" si="15"/>
        <v>441811106</v>
      </c>
      <c r="Y401" s="7" t="str">
        <f t="shared" si="16"/>
        <v>DC</v>
      </c>
      <c r="Z401" s="7">
        <f t="shared" si="17"/>
        <v>0</v>
      </c>
      <c r="AA401" s="7">
        <f t="shared" si="18"/>
        <v>0</v>
      </c>
      <c r="AB401" s="7">
        <f t="shared" si="19"/>
        <v>257</v>
      </c>
      <c r="AC401" s="7">
        <f t="shared" si="20"/>
        <v>0</v>
      </c>
      <c r="AD401" s="7">
        <f t="shared" si="21"/>
        <v>0</v>
      </c>
      <c r="AE401" s="8" t="str" cm="1">
        <f t="array" ref="AE401">IFERROR(_xlfn.XLOOKUP(H401,Sheet1!$G:$G,Sheet1!$F:$F),IFERROR(_xlfn.XLOOKUP(1,(--($X$2:$X$1074=X401))*(--ISNUMBER(MATCH($H$2:$H$1074,Sheet1!$G:$G,0))),_xlfn.XLOOKUP($H$2:$H$1074,Sheet1!$G:$G,Sheet1!$F:$F,"")),"NOT FOUND"))</f>
        <v>GETKRTSFUT6204</v>
      </c>
      <c r="AF401" s="9" t="str">
        <f t="shared" si="26"/>
        <v>GREEN</v>
      </c>
      <c r="AG401" s="10" t="str">
        <f t="shared" si="27"/>
        <v>Bangalore</v>
      </c>
      <c r="AH401" s="8" t="str" cm="1">
        <f t="array" ref="AH401">IF(OR(J401="",AE401="",AE401="NOT FOUND"),"",IF(Y401="RP",_xlfn.LET(_xlpm.desc,_xlfn.XLOOKUP(1,(--(Sheet1!$F$2:$F$754=AE401))*(--ISNUMBER(FIND("-",Sheet1!$W$2:$W$754,FIND("-",Sheet1!$W$2:$W$754)+1))),Sheet1!$W$2:$W$754,""),IF(_xlpm.desc="","NOT FOUND",LEFT(_xlpm.desc,FIND("-",_xlpm.desc,FIND("-",_xlpm.desc)+1))&amp;AE401)),LEFT(J401,FIND("-",J401,FIND("-",J401)+1))&amp;AE401))</f>
        <v>KRTS-APWN26-GETKRTSFUT6204</v>
      </c>
    </row>
    <row r="402" spans="1:34" ht="15.75" customHeight="1" x14ac:dyDescent="0.2">
      <c r="A402" t="s">
        <v>30</v>
      </c>
      <c r="B402" t="s">
        <v>97</v>
      </c>
      <c r="C402" t="s">
        <v>64</v>
      </c>
      <c r="D402" t="s">
        <v>98</v>
      </c>
      <c r="E402" t="s">
        <v>34</v>
      </c>
      <c r="F402" t="s">
        <v>35</v>
      </c>
      <c r="G402" t="s">
        <v>47</v>
      </c>
      <c r="H402" t="s">
        <v>105</v>
      </c>
      <c r="I402" t="s">
        <v>106</v>
      </c>
      <c r="J402" t="s">
        <v>107</v>
      </c>
      <c r="K402" t="s">
        <v>474</v>
      </c>
      <c r="L402" t="s">
        <v>40</v>
      </c>
      <c r="M402">
        <v>1</v>
      </c>
      <c r="N402">
        <v>257</v>
      </c>
      <c r="O402">
        <v>257</v>
      </c>
      <c r="P402" t="s">
        <v>41</v>
      </c>
      <c r="Q402">
        <v>314.7</v>
      </c>
      <c r="R402">
        <v>314.7</v>
      </c>
      <c r="S402">
        <v>4043.9</v>
      </c>
      <c r="T402">
        <v>80877.899999999994</v>
      </c>
      <c r="U402">
        <v>5</v>
      </c>
      <c r="V402" t="s">
        <v>42</v>
      </c>
      <c r="W402" t="s">
        <v>474</v>
      </c>
      <c r="X402" s="6" t="str">
        <f t="shared" si="15"/>
        <v>441811106</v>
      </c>
      <c r="Y402" s="7" t="str">
        <f t="shared" si="16"/>
        <v>DC</v>
      </c>
      <c r="Z402" s="7">
        <f t="shared" si="17"/>
        <v>0</v>
      </c>
      <c r="AA402" s="7">
        <f t="shared" si="18"/>
        <v>257</v>
      </c>
      <c r="AB402" s="7">
        <f t="shared" si="19"/>
        <v>0</v>
      </c>
      <c r="AC402" s="7">
        <f t="shared" si="20"/>
        <v>0</v>
      </c>
      <c r="AD402" s="7">
        <f t="shared" si="21"/>
        <v>0</v>
      </c>
      <c r="AE402" s="8" t="str" cm="1">
        <f t="array" ref="AE402">IFERROR(_xlfn.XLOOKUP(H402,Sheet1!$G:$G,Sheet1!$F:$F),IFERROR(_xlfn.XLOOKUP(1,(--($X$2:$X$1074=X402))*(--ISNUMBER(MATCH($H$2:$H$1074,Sheet1!$G:$G,0))),_xlfn.XLOOKUP($H$2:$H$1074,Sheet1!$G:$G,Sheet1!$F:$F,"")),"NOT FOUND"))</f>
        <v>GETKRTSFUT6204</v>
      </c>
      <c r="AF402" s="9" t="str">
        <f t="shared" si="26"/>
        <v>GREEN</v>
      </c>
      <c r="AG402" s="10" t="str">
        <f t="shared" si="27"/>
        <v>Bangalore</v>
      </c>
      <c r="AH402" s="8" t="str" cm="1">
        <f t="array" ref="AH402">IF(OR(J402="",AE402="",AE402="NOT FOUND"),"",IF(Y402="RP",_xlfn.LET(_xlpm.desc,_xlfn.XLOOKUP(1,(--(Sheet1!$F$2:$F$754=AE402))*(--ISNUMBER(FIND("-",Sheet1!$W$2:$W$754,FIND("-",Sheet1!$W$2:$W$754)+1))),Sheet1!$W$2:$W$754,""),IF(_xlpm.desc="","NOT FOUND",LEFT(_xlpm.desc,FIND("-",_xlpm.desc,FIND("-",_xlpm.desc)+1))&amp;AE402)),LEFT(J402,FIND("-",J402,FIND("-",J402)+1))&amp;AE402))</f>
        <v>KRTS-APWN26-GETKRTSFUT6204</v>
      </c>
    </row>
    <row r="403" spans="1:34" ht="15.75" customHeight="1" x14ac:dyDescent="0.2">
      <c r="A403" t="s">
        <v>30</v>
      </c>
      <c r="B403" t="s">
        <v>97</v>
      </c>
      <c r="C403" t="s">
        <v>64</v>
      </c>
      <c r="D403" t="s">
        <v>98</v>
      </c>
      <c r="E403" t="s">
        <v>34</v>
      </c>
      <c r="F403" t="s">
        <v>35</v>
      </c>
      <c r="G403" t="s">
        <v>51</v>
      </c>
      <c r="H403" t="s">
        <v>108</v>
      </c>
      <c r="I403" t="s">
        <v>109</v>
      </c>
      <c r="J403" t="s">
        <v>110</v>
      </c>
      <c r="K403" t="s">
        <v>474</v>
      </c>
      <c r="L403" t="s">
        <v>40</v>
      </c>
      <c r="M403">
        <v>1</v>
      </c>
      <c r="N403">
        <v>30</v>
      </c>
      <c r="O403">
        <v>30</v>
      </c>
      <c r="P403" t="s">
        <v>41</v>
      </c>
      <c r="Q403">
        <v>314.7</v>
      </c>
      <c r="R403">
        <v>314.7</v>
      </c>
      <c r="S403">
        <v>472.05</v>
      </c>
      <c r="T403">
        <v>9441</v>
      </c>
      <c r="U403">
        <v>5</v>
      </c>
      <c r="V403" t="s">
        <v>42</v>
      </c>
      <c r="W403" t="s">
        <v>474</v>
      </c>
      <c r="X403" s="6" t="str">
        <f t="shared" si="15"/>
        <v>441811106</v>
      </c>
      <c r="Y403" s="7" t="str">
        <f t="shared" si="16"/>
        <v>DC</v>
      </c>
      <c r="Z403" s="7">
        <f t="shared" si="17"/>
        <v>30</v>
      </c>
      <c r="AA403" s="7">
        <f t="shared" si="18"/>
        <v>0</v>
      </c>
      <c r="AB403" s="7">
        <f t="shared" si="19"/>
        <v>0</v>
      </c>
      <c r="AC403" s="7">
        <f t="shared" si="20"/>
        <v>0</v>
      </c>
      <c r="AD403" s="7">
        <f t="shared" si="21"/>
        <v>0</v>
      </c>
      <c r="AE403" s="8" t="str" cm="1">
        <f t="array" ref="AE403">IFERROR(_xlfn.XLOOKUP(H403,Sheet1!$G:$G,Sheet1!$F:$F),IFERROR(_xlfn.XLOOKUP(1,(--($X$2:$X$1074=X403))*(--ISNUMBER(MATCH($H$2:$H$1074,Sheet1!$G:$G,0))),_xlfn.XLOOKUP($H$2:$H$1074,Sheet1!$G:$G,Sheet1!$F:$F,"")),"NOT FOUND"))</f>
        <v>GETKRTSFUT6204</v>
      </c>
      <c r="AF403" s="9" t="str">
        <f t="shared" si="26"/>
        <v>GREEN</v>
      </c>
      <c r="AG403" s="10" t="str">
        <f t="shared" si="27"/>
        <v>Bangalore</v>
      </c>
      <c r="AH403" s="8" t="str" cm="1">
        <f t="array" ref="AH403">IF(OR(J403="",AE403="",AE403="NOT FOUND"),"",IF(Y403="RP",_xlfn.LET(_xlpm.desc,_xlfn.XLOOKUP(1,(--(Sheet1!$F$2:$F$754=AE403))*(--ISNUMBER(FIND("-",Sheet1!$W$2:$W$754,FIND("-",Sheet1!$W$2:$W$754)+1))),Sheet1!$W$2:$W$754,""),IF(_xlpm.desc="","NOT FOUND",LEFT(_xlpm.desc,FIND("-",_xlpm.desc,FIND("-",_xlpm.desc)+1))&amp;AE403)),LEFT(J403,FIND("-",J403,FIND("-",J403)+1))&amp;AE403))</f>
        <v>KRTS-APWN26-GETKRTSFUT6204</v>
      </c>
    </row>
    <row r="404" spans="1:34" ht="15.75" customHeight="1" x14ac:dyDescent="0.2">
      <c r="A404" t="s">
        <v>30</v>
      </c>
      <c r="B404" t="s">
        <v>97</v>
      </c>
      <c r="C404" t="s">
        <v>64</v>
      </c>
      <c r="D404" t="s">
        <v>98</v>
      </c>
      <c r="E404" t="s">
        <v>34</v>
      </c>
      <c r="F404" t="s">
        <v>35</v>
      </c>
      <c r="G404" t="s">
        <v>55</v>
      </c>
      <c r="H404" t="s">
        <v>111</v>
      </c>
      <c r="I404" t="s">
        <v>112</v>
      </c>
      <c r="J404" t="s">
        <v>113</v>
      </c>
      <c r="K404" t="s">
        <v>474</v>
      </c>
      <c r="L404" t="s">
        <v>40</v>
      </c>
      <c r="M404">
        <v>1</v>
      </c>
      <c r="N404">
        <v>217</v>
      </c>
      <c r="O404">
        <v>217</v>
      </c>
      <c r="P404" t="s">
        <v>41</v>
      </c>
      <c r="Q404">
        <v>314.7</v>
      </c>
      <c r="R404">
        <v>314.7</v>
      </c>
      <c r="S404">
        <v>3414.5</v>
      </c>
      <c r="T404">
        <v>68289.899999999994</v>
      </c>
      <c r="U404">
        <v>5</v>
      </c>
      <c r="V404" t="s">
        <v>42</v>
      </c>
      <c r="W404" t="s">
        <v>474</v>
      </c>
      <c r="X404" s="6" t="str">
        <f t="shared" si="15"/>
        <v>441811106</v>
      </c>
      <c r="Y404" s="7" t="str">
        <f t="shared" si="16"/>
        <v>DC</v>
      </c>
      <c r="Z404" s="7">
        <f t="shared" si="17"/>
        <v>0</v>
      </c>
      <c r="AA404" s="7">
        <f t="shared" si="18"/>
        <v>0</v>
      </c>
      <c r="AB404" s="7">
        <f t="shared" si="19"/>
        <v>0</v>
      </c>
      <c r="AC404" s="7">
        <f t="shared" si="20"/>
        <v>217</v>
      </c>
      <c r="AD404" s="7">
        <f t="shared" si="21"/>
        <v>0</v>
      </c>
      <c r="AE404" s="8" t="str" cm="1">
        <f t="array" ref="AE404">IFERROR(_xlfn.XLOOKUP(H404,Sheet1!$G:$G,Sheet1!$F:$F),IFERROR(_xlfn.XLOOKUP(1,(--($X$2:$X$1074=X404))*(--ISNUMBER(MATCH($H$2:$H$1074,Sheet1!$G:$G,0))),_xlfn.XLOOKUP($H$2:$H$1074,Sheet1!$G:$G,Sheet1!$F:$F,"")),"NOT FOUND"))</f>
        <v>GETKRTSFUT6204</v>
      </c>
      <c r="AF404" s="9" t="str">
        <f t="shared" si="26"/>
        <v>GREEN</v>
      </c>
      <c r="AG404" s="10" t="str">
        <f t="shared" si="27"/>
        <v>Bangalore</v>
      </c>
      <c r="AH404" s="8" t="str" cm="1">
        <f t="array" ref="AH404">IF(OR(J404="",AE404="",AE404="NOT FOUND"),"",IF(Y404="RP",_xlfn.LET(_xlpm.desc,_xlfn.XLOOKUP(1,(--(Sheet1!$F$2:$F$754=AE404))*(--ISNUMBER(FIND("-",Sheet1!$W$2:$W$754,FIND("-",Sheet1!$W$2:$W$754)+1))),Sheet1!$W$2:$W$754,""),IF(_xlpm.desc="","NOT FOUND",LEFT(_xlpm.desc,FIND("-",_xlpm.desc,FIND("-",_xlpm.desc)+1))&amp;AE404)),LEFT(J404,FIND("-",J404,FIND("-",J404)+1))&amp;AE404))</f>
        <v>KRTS-APWN26-GETKRTSFUT6204</v>
      </c>
    </row>
    <row r="405" spans="1:34" ht="15.75" customHeight="1" x14ac:dyDescent="0.2">
      <c r="A405" t="s">
        <v>30</v>
      </c>
      <c r="B405" t="s">
        <v>114</v>
      </c>
      <c r="C405" t="s">
        <v>64</v>
      </c>
      <c r="D405" t="s">
        <v>115</v>
      </c>
      <c r="E405" t="s">
        <v>34</v>
      </c>
      <c r="F405" t="s">
        <v>35</v>
      </c>
      <c r="G405" t="s">
        <v>36</v>
      </c>
      <c r="H405" t="s">
        <v>116</v>
      </c>
      <c r="I405" t="s">
        <v>117</v>
      </c>
      <c r="J405" t="s">
        <v>118</v>
      </c>
      <c r="K405" t="s">
        <v>474</v>
      </c>
      <c r="L405" t="s">
        <v>40</v>
      </c>
      <c r="M405">
        <v>1</v>
      </c>
      <c r="N405">
        <v>30</v>
      </c>
      <c r="O405">
        <v>30</v>
      </c>
      <c r="P405" t="s">
        <v>41</v>
      </c>
      <c r="Q405">
        <v>319.7</v>
      </c>
      <c r="R405">
        <v>319.7</v>
      </c>
      <c r="S405">
        <v>479.55</v>
      </c>
      <c r="T405">
        <v>9591</v>
      </c>
      <c r="U405">
        <v>5</v>
      </c>
      <c r="V405" t="s">
        <v>42</v>
      </c>
      <c r="W405" t="s">
        <v>474</v>
      </c>
      <c r="X405" s="6" t="str">
        <f t="shared" si="15"/>
        <v>441811105</v>
      </c>
      <c r="Y405" s="7" t="str">
        <f t="shared" si="16"/>
        <v>DC</v>
      </c>
      <c r="Z405" s="7">
        <f t="shared" si="17"/>
        <v>0</v>
      </c>
      <c r="AA405" s="7">
        <f t="shared" si="18"/>
        <v>0</v>
      </c>
      <c r="AB405" s="7">
        <f t="shared" si="19"/>
        <v>0</v>
      </c>
      <c r="AC405" s="7">
        <f t="shared" si="20"/>
        <v>0</v>
      </c>
      <c r="AD405" s="7">
        <f t="shared" si="21"/>
        <v>30</v>
      </c>
      <c r="AE405" s="8" t="str" cm="1">
        <f t="array" ref="AE405">IFERROR(_xlfn.XLOOKUP(H405,Sheet1!$G:$G,Sheet1!$F:$F),IFERROR(_xlfn.XLOOKUP(1,(--($X$2:$X$1074=X405))*(--ISNUMBER(MATCH($H$2:$H$1074,Sheet1!$G:$G,0))),_xlfn.XLOOKUP($H$2:$H$1074,Sheet1!$G:$G,Sheet1!$F:$F,"")),"NOT FOUND"))</f>
        <v>GETKRTSFUT6203</v>
      </c>
      <c r="AF405" s="9" t="str">
        <f t="shared" si="26"/>
        <v>BLACK</v>
      </c>
      <c r="AG405" s="10" t="str">
        <f t="shared" si="27"/>
        <v>Bangalore</v>
      </c>
      <c r="AH405" s="8" t="str" cm="1">
        <f t="array" ref="AH405">IF(OR(J405="",AE405="",AE405="NOT FOUND"),"",IF(Y405="RP",_xlfn.LET(_xlpm.desc,_xlfn.XLOOKUP(1,(--(Sheet1!$F$2:$F$754=AE405))*(--ISNUMBER(FIND("-",Sheet1!$W$2:$W$754,FIND("-",Sheet1!$W$2:$W$754)+1))),Sheet1!$W$2:$W$754,""),IF(_xlpm.desc="","NOT FOUND",LEFT(_xlpm.desc,FIND("-",_xlpm.desc,FIND("-",_xlpm.desc)+1))&amp;AE405)),LEFT(J405,FIND("-",J405,FIND("-",J405)+1))&amp;AE405))</f>
        <v>KRTS-APWN26-GETKRTSFUT6203</v>
      </c>
    </row>
    <row r="406" spans="1:34" ht="15.75" customHeight="1" x14ac:dyDescent="0.2">
      <c r="A406" t="s">
        <v>30</v>
      </c>
      <c r="B406" t="s">
        <v>114</v>
      </c>
      <c r="C406" t="s">
        <v>64</v>
      </c>
      <c r="D406" t="s">
        <v>115</v>
      </c>
      <c r="E406" t="s">
        <v>34</v>
      </c>
      <c r="F406" t="s">
        <v>35</v>
      </c>
      <c r="G406" t="s">
        <v>43</v>
      </c>
      <c r="H406" t="s">
        <v>119</v>
      </c>
      <c r="I406" t="s">
        <v>120</v>
      </c>
      <c r="J406" t="s">
        <v>121</v>
      </c>
      <c r="K406" t="s">
        <v>474</v>
      </c>
      <c r="L406" t="s">
        <v>40</v>
      </c>
      <c r="M406">
        <v>1</v>
      </c>
      <c r="N406">
        <v>257</v>
      </c>
      <c r="O406">
        <v>257</v>
      </c>
      <c r="P406" t="s">
        <v>41</v>
      </c>
      <c r="Q406">
        <v>319.7</v>
      </c>
      <c r="R406">
        <v>319.7</v>
      </c>
      <c r="S406">
        <v>4108.1499999999996</v>
      </c>
      <c r="T406">
        <v>82162.899999999994</v>
      </c>
      <c r="U406">
        <v>5</v>
      </c>
      <c r="V406" t="s">
        <v>42</v>
      </c>
      <c r="W406" t="s">
        <v>474</v>
      </c>
      <c r="X406" s="6" t="str">
        <f t="shared" si="15"/>
        <v>441811105</v>
      </c>
      <c r="Y406" s="7" t="str">
        <f t="shared" si="16"/>
        <v>DC</v>
      </c>
      <c r="Z406" s="7">
        <f t="shared" si="17"/>
        <v>0</v>
      </c>
      <c r="AA406" s="7">
        <f t="shared" si="18"/>
        <v>0</v>
      </c>
      <c r="AB406" s="7">
        <f t="shared" si="19"/>
        <v>257</v>
      </c>
      <c r="AC406" s="7">
        <f t="shared" si="20"/>
        <v>0</v>
      </c>
      <c r="AD406" s="7">
        <f t="shared" si="21"/>
        <v>0</v>
      </c>
      <c r="AE406" s="8" t="str" cm="1">
        <f t="array" ref="AE406">IFERROR(_xlfn.XLOOKUP(H406,Sheet1!$G:$G,Sheet1!$F:$F),IFERROR(_xlfn.XLOOKUP(1,(--($X$2:$X$1074=X406))*(--ISNUMBER(MATCH($H$2:$H$1074,Sheet1!$G:$G,0))),_xlfn.XLOOKUP($H$2:$H$1074,Sheet1!$G:$G,Sheet1!$F:$F,"")),"NOT FOUND"))</f>
        <v>GETKRTSFUT6203</v>
      </c>
      <c r="AF406" s="9" t="str">
        <f t="shared" si="26"/>
        <v>BLACK</v>
      </c>
      <c r="AG406" s="10" t="str">
        <f t="shared" si="27"/>
        <v>Bangalore</v>
      </c>
      <c r="AH406" s="8" t="str" cm="1">
        <f t="array" ref="AH406">IF(OR(J406="",AE406="",AE406="NOT FOUND"),"",IF(Y406="RP",_xlfn.LET(_xlpm.desc,_xlfn.XLOOKUP(1,(--(Sheet1!$F$2:$F$754=AE406))*(--ISNUMBER(FIND("-",Sheet1!$W$2:$W$754,FIND("-",Sheet1!$W$2:$W$754)+1))),Sheet1!$W$2:$W$754,""),IF(_xlpm.desc="","NOT FOUND",LEFT(_xlpm.desc,FIND("-",_xlpm.desc,FIND("-",_xlpm.desc)+1))&amp;AE406)),LEFT(J406,FIND("-",J406,FIND("-",J406)+1))&amp;AE406))</f>
        <v>KRTS-APWN26-GETKRTSFUT6203</v>
      </c>
    </row>
    <row r="407" spans="1:34" ht="15.75" customHeight="1" x14ac:dyDescent="0.2">
      <c r="A407" t="s">
        <v>30</v>
      </c>
      <c r="B407" t="s">
        <v>114</v>
      </c>
      <c r="C407" t="s">
        <v>64</v>
      </c>
      <c r="D407" t="s">
        <v>115</v>
      </c>
      <c r="E407" t="s">
        <v>34</v>
      </c>
      <c r="F407" t="s">
        <v>35</v>
      </c>
      <c r="G407" t="s">
        <v>47</v>
      </c>
      <c r="H407" t="s">
        <v>122</v>
      </c>
      <c r="I407" t="s">
        <v>123</v>
      </c>
      <c r="J407" t="s">
        <v>124</v>
      </c>
      <c r="K407" t="s">
        <v>474</v>
      </c>
      <c r="L407" t="s">
        <v>40</v>
      </c>
      <c r="M407">
        <v>1</v>
      </c>
      <c r="N407">
        <v>257</v>
      </c>
      <c r="O407">
        <v>257</v>
      </c>
      <c r="P407" t="s">
        <v>41</v>
      </c>
      <c r="Q407">
        <v>319.7</v>
      </c>
      <c r="R407">
        <v>319.7</v>
      </c>
      <c r="S407">
        <v>4108.1499999999996</v>
      </c>
      <c r="T407">
        <v>82162.899999999994</v>
      </c>
      <c r="U407">
        <v>5</v>
      </c>
      <c r="V407" t="s">
        <v>42</v>
      </c>
      <c r="W407" t="s">
        <v>474</v>
      </c>
      <c r="X407" s="6" t="str">
        <f t="shared" si="15"/>
        <v>441811105</v>
      </c>
      <c r="Y407" s="7" t="str">
        <f t="shared" si="16"/>
        <v>DC</v>
      </c>
      <c r="Z407" s="7">
        <f t="shared" si="17"/>
        <v>0</v>
      </c>
      <c r="AA407" s="7">
        <f t="shared" si="18"/>
        <v>257</v>
      </c>
      <c r="AB407" s="7">
        <f t="shared" si="19"/>
        <v>0</v>
      </c>
      <c r="AC407" s="7">
        <f t="shared" si="20"/>
        <v>0</v>
      </c>
      <c r="AD407" s="7">
        <f t="shared" si="21"/>
        <v>0</v>
      </c>
      <c r="AE407" s="8" t="str" cm="1">
        <f t="array" ref="AE407">IFERROR(_xlfn.XLOOKUP(H407,Sheet1!$G:$G,Sheet1!$F:$F),IFERROR(_xlfn.XLOOKUP(1,(--($X$2:$X$1074=X407))*(--ISNUMBER(MATCH($H$2:$H$1074,Sheet1!$G:$G,0))),_xlfn.XLOOKUP($H$2:$H$1074,Sheet1!$G:$G,Sheet1!$F:$F,"")),"NOT FOUND"))</f>
        <v>GETKRTSFUT6203</v>
      </c>
      <c r="AF407" s="9" t="str">
        <f t="shared" si="26"/>
        <v>BLACK</v>
      </c>
      <c r="AG407" s="10" t="str">
        <f t="shared" si="27"/>
        <v>Bangalore</v>
      </c>
      <c r="AH407" s="8" t="str" cm="1">
        <f t="array" ref="AH407">IF(OR(J407="",AE407="",AE407="NOT FOUND"),"",IF(Y407="RP",_xlfn.LET(_xlpm.desc,_xlfn.XLOOKUP(1,(--(Sheet1!$F$2:$F$754=AE407))*(--ISNUMBER(FIND("-",Sheet1!$W$2:$W$754,FIND("-",Sheet1!$W$2:$W$754)+1))),Sheet1!$W$2:$W$754,""),IF(_xlpm.desc="","NOT FOUND",LEFT(_xlpm.desc,FIND("-",_xlpm.desc,FIND("-",_xlpm.desc)+1))&amp;AE407)),LEFT(J407,FIND("-",J407,FIND("-",J407)+1))&amp;AE407))</f>
        <v>KRTS-APWN26-GETKRTSFUT6203</v>
      </c>
    </row>
    <row r="408" spans="1:34" ht="15.75" customHeight="1" x14ac:dyDescent="0.2">
      <c r="A408" t="s">
        <v>30</v>
      </c>
      <c r="B408" t="s">
        <v>114</v>
      </c>
      <c r="C408" t="s">
        <v>64</v>
      </c>
      <c r="D408" t="s">
        <v>115</v>
      </c>
      <c r="E408" t="s">
        <v>34</v>
      </c>
      <c r="F408" t="s">
        <v>35</v>
      </c>
      <c r="G408" t="s">
        <v>51</v>
      </c>
      <c r="H408" t="s">
        <v>125</v>
      </c>
      <c r="I408" t="s">
        <v>126</v>
      </c>
      <c r="J408" t="s">
        <v>127</v>
      </c>
      <c r="K408" t="s">
        <v>474</v>
      </c>
      <c r="L408" t="s">
        <v>40</v>
      </c>
      <c r="M408">
        <v>1</v>
      </c>
      <c r="N408">
        <v>30</v>
      </c>
      <c r="O408">
        <v>30</v>
      </c>
      <c r="P408" t="s">
        <v>41</v>
      </c>
      <c r="Q408">
        <v>319.7</v>
      </c>
      <c r="R408">
        <v>319.7</v>
      </c>
      <c r="S408">
        <v>479.55</v>
      </c>
      <c r="T408">
        <v>9591</v>
      </c>
      <c r="U408">
        <v>5</v>
      </c>
      <c r="V408" t="s">
        <v>42</v>
      </c>
      <c r="W408" t="s">
        <v>474</v>
      </c>
      <c r="X408" s="6" t="str">
        <f t="shared" si="15"/>
        <v>441811105</v>
      </c>
      <c r="Y408" s="7" t="str">
        <f t="shared" si="16"/>
        <v>DC</v>
      </c>
      <c r="Z408" s="7">
        <f t="shared" si="17"/>
        <v>30</v>
      </c>
      <c r="AA408" s="7">
        <f t="shared" si="18"/>
        <v>0</v>
      </c>
      <c r="AB408" s="7">
        <f t="shared" si="19"/>
        <v>0</v>
      </c>
      <c r="AC408" s="7">
        <f t="shared" si="20"/>
        <v>0</v>
      </c>
      <c r="AD408" s="7">
        <f t="shared" si="21"/>
        <v>0</v>
      </c>
      <c r="AE408" s="8" t="str" cm="1">
        <f t="array" ref="AE408">IFERROR(_xlfn.XLOOKUP(H408,Sheet1!$G:$G,Sheet1!$F:$F),IFERROR(_xlfn.XLOOKUP(1,(--($X$2:$X$1074=X408))*(--ISNUMBER(MATCH($H$2:$H$1074,Sheet1!$G:$G,0))),_xlfn.XLOOKUP($H$2:$H$1074,Sheet1!$G:$G,Sheet1!$F:$F,"")),"NOT FOUND"))</f>
        <v>GETKRTSFUT6203</v>
      </c>
      <c r="AF408" s="9" t="str">
        <f t="shared" si="26"/>
        <v>BLACK</v>
      </c>
      <c r="AG408" s="10" t="str">
        <f t="shared" si="27"/>
        <v>Bangalore</v>
      </c>
      <c r="AH408" s="8" t="str" cm="1">
        <f t="array" ref="AH408">IF(OR(J408="",AE408="",AE408="NOT FOUND"),"",IF(Y408="RP",_xlfn.LET(_xlpm.desc,_xlfn.XLOOKUP(1,(--(Sheet1!$F$2:$F$754=AE408))*(--ISNUMBER(FIND("-",Sheet1!$W$2:$W$754,FIND("-",Sheet1!$W$2:$W$754)+1))),Sheet1!$W$2:$W$754,""),IF(_xlpm.desc="","NOT FOUND",LEFT(_xlpm.desc,FIND("-",_xlpm.desc,FIND("-",_xlpm.desc)+1))&amp;AE408)),LEFT(J408,FIND("-",J408,FIND("-",J408)+1))&amp;AE408))</f>
        <v>KRTS-APWN26-GETKRTSFUT6203</v>
      </c>
    </row>
    <row r="409" spans="1:34" ht="15.75" customHeight="1" x14ac:dyDescent="0.2">
      <c r="A409" t="s">
        <v>30</v>
      </c>
      <c r="B409" t="s">
        <v>114</v>
      </c>
      <c r="C409" t="s">
        <v>64</v>
      </c>
      <c r="D409" t="s">
        <v>115</v>
      </c>
      <c r="E409" t="s">
        <v>34</v>
      </c>
      <c r="F409" t="s">
        <v>35</v>
      </c>
      <c r="G409" t="s">
        <v>55</v>
      </c>
      <c r="H409" t="s">
        <v>128</v>
      </c>
      <c r="I409" t="s">
        <v>129</v>
      </c>
      <c r="J409" t="s">
        <v>130</v>
      </c>
      <c r="K409" t="s">
        <v>474</v>
      </c>
      <c r="L409" t="s">
        <v>40</v>
      </c>
      <c r="M409">
        <v>1</v>
      </c>
      <c r="N409">
        <v>217</v>
      </c>
      <c r="O409">
        <v>217</v>
      </c>
      <c r="P409" t="s">
        <v>41</v>
      </c>
      <c r="Q409">
        <v>319.7</v>
      </c>
      <c r="R409">
        <v>319.7</v>
      </c>
      <c r="S409">
        <v>3468.75</v>
      </c>
      <c r="T409">
        <v>69374.899999999994</v>
      </c>
      <c r="U409">
        <v>5</v>
      </c>
      <c r="V409" t="s">
        <v>42</v>
      </c>
      <c r="W409" t="s">
        <v>474</v>
      </c>
      <c r="X409" s="6" t="str">
        <f t="shared" si="15"/>
        <v>441811105</v>
      </c>
      <c r="Y409" s="7" t="str">
        <f t="shared" si="16"/>
        <v>DC</v>
      </c>
      <c r="Z409" s="7">
        <f t="shared" si="17"/>
        <v>0</v>
      </c>
      <c r="AA409" s="7">
        <f t="shared" si="18"/>
        <v>0</v>
      </c>
      <c r="AB409" s="7">
        <f t="shared" si="19"/>
        <v>0</v>
      </c>
      <c r="AC409" s="7">
        <f t="shared" si="20"/>
        <v>217</v>
      </c>
      <c r="AD409" s="7">
        <f t="shared" si="21"/>
        <v>0</v>
      </c>
      <c r="AE409" s="8" t="str" cm="1">
        <f t="array" ref="AE409">IFERROR(_xlfn.XLOOKUP(H409,Sheet1!$G:$G,Sheet1!$F:$F),IFERROR(_xlfn.XLOOKUP(1,(--($X$2:$X$1074=X409))*(--ISNUMBER(MATCH($H$2:$H$1074,Sheet1!$G:$G,0))),_xlfn.XLOOKUP($H$2:$H$1074,Sheet1!$G:$G,Sheet1!$F:$F,"")),"NOT FOUND"))</f>
        <v>GETKRTSFUT6203</v>
      </c>
      <c r="AF409" s="9" t="str">
        <f t="shared" si="26"/>
        <v>BLACK</v>
      </c>
      <c r="AG409" s="10" t="str">
        <f t="shared" si="27"/>
        <v>Bangalore</v>
      </c>
      <c r="AH409" s="8" t="str" cm="1">
        <f t="array" ref="AH409">IF(OR(J409="",AE409="",AE409="NOT FOUND"),"",IF(Y409="RP",_xlfn.LET(_xlpm.desc,_xlfn.XLOOKUP(1,(--(Sheet1!$F$2:$F$754=AE409))*(--ISNUMBER(FIND("-",Sheet1!$W$2:$W$754,FIND("-",Sheet1!$W$2:$W$754)+1))),Sheet1!$W$2:$W$754,""),IF(_xlpm.desc="","NOT FOUND",LEFT(_xlpm.desc,FIND("-",_xlpm.desc,FIND("-",_xlpm.desc)+1))&amp;AE409)),LEFT(J409,FIND("-",J409,FIND("-",J409)+1))&amp;AE409))</f>
        <v>KRTS-APWN26-GETKRTSFUT6203</v>
      </c>
    </row>
    <row r="410" spans="1:34" ht="15.75" customHeight="1" x14ac:dyDescent="0.2">
      <c r="A410" t="s">
        <v>59</v>
      </c>
      <c r="B410" t="s">
        <v>131</v>
      </c>
      <c r="C410" t="s">
        <v>64</v>
      </c>
      <c r="D410" t="s">
        <v>81</v>
      </c>
      <c r="E410" t="s">
        <v>34</v>
      </c>
      <c r="F410" t="s">
        <v>35</v>
      </c>
      <c r="G410" t="s">
        <v>43</v>
      </c>
      <c r="H410" t="s">
        <v>85</v>
      </c>
      <c r="I410" t="s">
        <v>86</v>
      </c>
      <c r="J410" t="s">
        <v>87</v>
      </c>
      <c r="K410" t="s">
        <v>474</v>
      </c>
      <c r="L410" t="s">
        <v>40</v>
      </c>
      <c r="M410">
        <v>1</v>
      </c>
      <c r="N410">
        <v>113</v>
      </c>
      <c r="O410">
        <v>113</v>
      </c>
      <c r="P410" t="s">
        <v>41</v>
      </c>
      <c r="Q410">
        <v>419.7</v>
      </c>
      <c r="R410">
        <v>419.7</v>
      </c>
      <c r="S410">
        <v>2371.31</v>
      </c>
      <c r="T410">
        <v>47426.1</v>
      </c>
      <c r="U410">
        <v>5</v>
      </c>
      <c r="V410" t="s">
        <v>42</v>
      </c>
      <c r="W410" t="s">
        <v>474</v>
      </c>
      <c r="X410" s="6" t="str">
        <f t="shared" si="15"/>
        <v>441811107</v>
      </c>
      <c r="Y410" s="7" t="str">
        <f t="shared" si="16"/>
        <v>DC</v>
      </c>
      <c r="Z410" s="7">
        <f t="shared" si="17"/>
        <v>0</v>
      </c>
      <c r="AA410" s="7">
        <f t="shared" si="18"/>
        <v>0</v>
      </c>
      <c r="AB410" s="7">
        <f t="shared" si="19"/>
        <v>113</v>
      </c>
      <c r="AC410" s="7">
        <f t="shared" si="20"/>
        <v>0</v>
      </c>
      <c r="AD410" s="7">
        <f t="shared" si="21"/>
        <v>0</v>
      </c>
      <c r="AE410" s="8" t="str" cm="1">
        <f t="array" ref="AE410">IFERROR(_xlfn.XLOOKUP(H410,Sheet1!$G:$G,Sheet1!$F:$F),IFERROR(_xlfn.XLOOKUP(1,(--($X$2:$X$1074=X410))*(--ISNUMBER(MATCH($H$2:$H$1074,Sheet1!$G:$G,0))),_xlfn.XLOOKUP($H$2:$H$1074,Sheet1!$G:$G,Sheet1!$F:$F,"")),"NOT FOUND"))</f>
        <v>GETKRTSFUT6205</v>
      </c>
      <c r="AF410" s="9" t="str">
        <f t="shared" si="26"/>
        <v>GREEN</v>
      </c>
      <c r="AG410" s="10" t="str">
        <f t="shared" si="27"/>
        <v>JHAJJAR</v>
      </c>
      <c r="AH410" s="8" t="str" cm="1">
        <f t="array" ref="AH410">IF(OR(J410="",AE410="",AE410="NOT FOUND"),"",IF(Y410="RP",_xlfn.LET(_xlpm.desc,_xlfn.XLOOKUP(1,(--(Sheet1!$F$2:$F$754=AE410))*(--ISNUMBER(FIND("-",Sheet1!$W$2:$W$754,FIND("-",Sheet1!$W$2:$W$754)+1))),Sheet1!$W$2:$W$754,""),IF(_xlpm.desc="","NOT FOUND",LEFT(_xlpm.desc,FIND("-",_xlpm.desc,FIND("-",_xlpm.desc)+1))&amp;AE410)),LEFT(J410,FIND("-",J410,FIND("-",J410)+1))&amp;AE410))</f>
        <v>KRTS-APWN26-GETKRTSFUT6205</v>
      </c>
    </row>
    <row r="411" spans="1:34" ht="15.75" customHeight="1" x14ac:dyDescent="0.2">
      <c r="A411" t="s">
        <v>59</v>
      </c>
      <c r="B411" t="s">
        <v>131</v>
      </c>
      <c r="C411" t="s">
        <v>64</v>
      </c>
      <c r="D411" t="s">
        <v>81</v>
      </c>
      <c r="E411" t="s">
        <v>34</v>
      </c>
      <c r="F411" t="s">
        <v>35</v>
      </c>
      <c r="G411" t="s">
        <v>47</v>
      </c>
      <c r="H411" t="s">
        <v>88</v>
      </c>
      <c r="I411" t="s">
        <v>89</v>
      </c>
      <c r="J411" t="s">
        <v>90</v>
      </c>
      <c r="K411" t="s">
        <v>474</v>
      </c>
      <c r="L411" t="s">
        <v>40</v>
      </c>
      <c r="M411">
        <v>1</v>
      </c>
      <c r="N411">
        <v>113</v>
      </c>
      <c r="O411">
        <v>113</v>
      </c>
      <c r="P411" t="s">
        <v>41</v>
      </c>
      <c r="Q411">
        <v>419.7</v>
      </c>
      <c r="R411">
        <v>419.7</v>
      </c>
      <c r="S411">
        <v>2371.31</v>
      </c>
      <c r="T411">
        <v>47426.1</v>
      </c>
      <c r="U411">
        <v>5</v>
      </c>
      <c r="V411" t="s">
        <v>42</v>
      </c>
      <c r="W411" t="s">
        <v>474</v>
      </c>
      <c r="X411" s="6" t="str">
        <f t="shared" si="15"/>
        <v>441811107</v>
      </c>
      <c r="Y411" s="7" t="str">
        <f t="shared" si="16"/>
        <v>DC</v>
      </c>
      <c r="Z411" s="7">
        <f t="shared" si="17"/>
        <v>0</v>
      </c>
      <c r="AA411" s="7">
        <f t="shared" si="18"/>
        <v>113</v>
      </c>
      <c r="AB411" s="7">
        <f t="shared" si="19"/>
        <v>0</v>
      </c>
      <c r="AC411" s="7">
        <f t="shared" si="20"/>
        <v>0</v>
      </c>
      <c r="AD411" s="7">
        <f t="shared" si="21"/>
        <v>0</v>
      </c>
      <c r="AE411" s="8" t="str" cm="1">
        <f t="array" ref="AE411">IFERROR(_xlfn.XLOOKUP(H411,Sheet1!$G:$G,Sheet1!$F:$F),IFERROR(_xlfn.XLOOKUP(1,(--($X$2:$X$1074=X411))*(--ISNUMBER(MATCH($H$2:$H$1074,Sheet1!$G:$G,0))),_xlfn.XLOOKUP($H$2:$H$1074,Sheet1!$G:$G,Sheet1!$F:$F,"")),"NOT FOUND"))</f>
        <v>GETKRTSFUT6205</v>
      </c>
      <c r="AF411" s="9" t="str">
        <f t="shared" si="26"/>
        <v>GREEN</v>
      </c>
      <c r="AG411" s="10" t="str">
        <f t="shared" si="27"/>
        <v>JHAJJAR</v>
      </c>
      <c r="AH411" s="8" t="str" cm="1">
        <f t="array" ref="AH411">IF(OR(J411="",AE411="",AE411="NOT FOUND"),"",IF(Y411="RP",_xlfn.LET(_xlpm.desc,_xlfn.XLOOKUP(1,(--(Sheet1!$F$2:$F$754=AE411))*(--ISNUMBER(FIND("-",Sheet1!$W$2:$W$754,FIND("-",Sheet1!$W$2:$W$754)+1))),Sheet1!$W$2:$W$754,""),IF(_xlpm.desc="","NOT FOUND",LEFT(_xlpm.desc,FIND("-",_xlpm.desc,FIND("-",_xlpm.desc)+1))&amp;AE411)),LEFT(J411,FIND("-",J411,FIND("-",J411)+1))&amp;AE411))</f>
        <v>KRTS-APWN26-GETKRTSFUT6205</v>
      </c>
    </row>
    <row r="412" spans="1:34" ht="15.75" customHeight="1" x14ac:dyDescent="0.2">
      <c r="A412" t="s">
        <v>59</v>
      </c>
      <c r="B412" t="s">
        <v>131</v>
      </c>
      <c r="C412" t="s">
        <v>64</v>
      </c>
      <c r="D412" t="s">
        <v>81</v>
      </c>
      <c r="E412" t="s">
        <v>34</v>
      </c>
      <c r="F412" t="s">
        <v>35</v>
      </c>
      <c r="G412" t="s">
        <v>51</v>
      </c>
      <c r="H412" t="s">
        <v>91</v>
      </c>
      <c r="I412" t="s">
        <v>92</v>
      </c>
      <c r="J412" t="s">
        <v>93</v>
      </c>
      <c r="K412" t="s">
        <v>474</v>
      </c>
      <c r="L412" t="s">
        <v>40</v>
      </c>
      <c r="M412">
        <v>1</v>
      </c>
      <c r="N412">
        <v>30</v>
      </c>
      <c r="O412">
        <v>30</v>
      </c>
      <c r="P412" t="s">
        <v>41</v>
      </c>
      <c r="Q412">
        <v>419.7</v>
      </c>
      <c r="R412">
        <v>419.7</v>
      </c>
      <c r="S412">
        <v>629.54999999999995</v>
      </c>
      <c r="T412">
        <v>12591</v>
      </c>
      <c r="U412">
        <v>5</v>
      </c>
      <c r="V412" t="s">
        <v>42</v>
      </c>
      <c r="W412" t="s">
        <v>474</v>
      </c>
      <c r="X412" s="6" t="str">
        <f t="shared" si="15"/>
        <v>441811107</v>
      </c>
      <c r="Y412" s="7" t="str">
        <f t="shared" si="16"/>
        <v>DC</v>
      </c>
      <c r="Z412" s="7">
        <f t="shared" si="17"/>
        <v>30</v>
      </c>
      <c r="AA412" s="7">
        <f t="shared" si="18"/>
        <v>0</v>
      </c>
      <c r="AB412" s="7">
        <f t="shared" si="19"/>
        <v>0</v>
      </c>
      <c r="AC412" s="7">
        <f t="shared" si="20"/>
        <v>0</v>
      </c>
      <c r="AD412" s="7">
        <f t="shared" si="21"/>
        <v>0</v>
      </c>
      <c r="AE412" s="8" t="str" cm="1">
        <f t="array" ref="AE412">IFERROR(_xlfn.XLOOKUP(H412,Sheet1!$G:$G,Sheet1!$F:$F),IFERROR(_xlfn.XLOOKUP(1,(--($X$2:$X$1074=X412))*(--ISNUMBER(MATCH($H$2:$H$1074,Sheet1!$G:$G,0))),_xlfn.XLOOKUP($H$2:$H$1074,Sheet1!$G:$G,Sheet1!$F:$F,"")),"NOT FOUND"))</f>
        <v>GETKRTSFUT6205</v>
      </c>
      <c r="AF412" s="9" t="str">
        <f t="shared" si="26"/>
        <v>GREEN</v>
      </c>
      <c r="AG412" s="10" t="str">
        <f t="shared" si="27"/>
        <v>JHAJJAR</v>
      </c>
      <c r="AH412" s="8" t="str" cm="1">
        <f t="array" ref="AH412">IF(OR(J412="",AE412="",AE412="NOT FOUND"),"",IF(Y412="RP",_xlfn.LET(_xlpm.desc,_xlfn.XLOOKUP(1,(--(Sheet1!$F$2:$F$754=AE412))*(--ISNUMBER(FIND("-",Sheet1!$W$2:$W$754,FIND("-",Sheet1!$W$2:$W$754)+1))),Sheet1!$W$2:$W$754,""),IF(_xlpm.desc="","NOT FOUND",LEFT(_xlpm.desc,FIND("-",_xlpm.desc,FIND("-",_xlpm.desc)+1))&amp;AE412)),LEFT(J412,FIND("-",J412,FIND("-",J412)+1))&amp;AE412))</f>
        <v>KRTS-APWN26-GETKRTSFUT6205</v>
      </c>
    </row>
    <row r="413" spans="1:34" ht="15.75" customHeight="1" x14ac:dyDescent="0.2">
      <c r="A413" t="s">
        <v>59</v>
      </c>
      <c r="B413" t="s">
        <v>131</v>
      </c>
      <c r="C413" t="s">
        <v>64</v>
      </c>
      <c r="D413" t="s">
        <v>81</v>
      </c>
      <c r="E413" t="s">
        <v>34</v>
      </c>
      <c r="F413" t="s">
        <v>35</v>
      </c>
      <c r="G413" t="s">
        <v>55</v>
      </c>
      <c r="H413" t="s">
        <v>94</v>
      </c>
      <c r="I413" t="s">
        <v>95</v>
      </c>
      <c r="J413" t="s">
        <v>96</v>
      </c>
      <c r="K413" t="s">
        <v>474</v>
      </c>
      <c r="L413" t="s">
        <v>40</v>
      </c>
      <c r="M413">
        <v>1</v>
      </c>
      <c r="N413">
        <v>95</v>
      </c>
      <c r="O413">
        <v>95</v>
      </c>
      <c r="P413" t="s">
        <v>41</v>
      </c>
      <c r="Q413">
        <v>419.7</v>
      </c>
      <c r="R413">
        <v>419.7</v>
      </c>
      <c r="S413">
        <v>1993.58</v>
      </c>
      <c r="T413">
        <v>39871.5</v>
      </c>
      <c r="U413">
        <v>5</v>
      </c>
      <c r="V413" t="s">
        <v>42</v>
      </c>
      <c r="W413" t="s">
        <v>474</v>
      </c>
      <c r="X413" s="6" t="str">
        <f t="shared" si="15"/>
        <v>441811107</v>
      </c>
      <c r="Y413" s="7" t="str">
        <f t="shared" si="16"/>
        <v>DC</v>
      </c>
      <c r="Z413" s="7">
        <f t="shared" si="17"/>
        <v>0</v>
      </c>
      <c r="AA413" s="7">
        <f t="shared" si="18"/>
        <v>0</v>
      </c>
      <c r="AB413" s="7">
        <f t="shared" si="19"/>
        <v>0</v>
      </c>
      <c r="AC413" s="7">
        <f t="shared" si="20"/>
        <v>95</v>
      </c>
      <c r="AD413" s="7">
        <f t="shared" si="21"/>
        <v>0</v>
      </c>
      <c r="AE413" s="8" t="str" cm="1">
        <f t="array" ref="AE413">IFERROR(_xlfn.XLOOKUP(H413,Sheet1!$G:$G,Sheet1!$F:$F),IFERROR(_xlfn.XLOOKUP(1,(--($X$2:$X$1074=X413))*(--ISNUMBER(MATCH($H$2:$H$1074,Sheet1!$G:$G,0))),_xlfn.XLOOKUP($H$2:$H$1074,Sheet1!$G:$G,Sheet1!$F:$F,"")),"NOT FOUND"))</f>
        <v>GETKRTSFUT6205</v>
      </c>
      <c r="AF413" s="9" t="str">
        <f t="shared" si="26"/>
        <v>GREEN</v>
      </c>
      <c r="AG413" s="10" t="str">
        <f t="shared" si="27"/>
        <v>JHAJJAR</v>
      </c>
      <c r="AH413" s="8" t="str" cm="1">
        <f t="array" ref="AH413">IF(OR(J413="",AE413="",AE413="NOT FOUND"),"",IF(Y413="RP",_xlfn.LET(_xlpm.desc,_xlfn.XLOOKUP(1,(--(Sheet1!$F$2:$F$754=AE413))*(--ISNUMBER(FIND("-",Sheet1!$W$2:$W$754,FIND("-",Sheet1!$W$2:$W$754)+1))),Sheet1!$W$2:$W$754,""),IF(_xlpm.desc="","NOT FOUND",LEFT(_xlpm.desc,FIND("-",_xlpm.desc,FIND("-",_xlpm.desc)+1))&amp;AE413)),LEFT(J413,FIND("-",J413,FIND("-",J413)+1))&amp;AE413))</f>
        <v>KRTS-APWN26-GETKRTSFUT6205</v>
      </c>
    </row>
    <row r="414" spans="1:34" ht="15.75" customHeight="1" x14ac:dyDescent="0.2">
      <c r="A414" t="s">
        <v>59</v>
      </c>
      <c r="B414" t="s">
        <v>132</v>
      </c>
      <c r="C414" t="s">
        <v>64</v>
      </c>
      <c r="D414" t="s">
        <v>98</v>
      </c>
      <c r="E414" t="s">
        <v>34</v>
      </c>
      <c r="F414" t="s">
        <v>35</v>
      </c>
      <c r="G414" t="s">
        <v>36</v>
      </c>
      <c r="H414" t="s">
        <v>99</v>
      </c>
      <c r="I414" t="s">
        <v>100</v>
      </c>
      <c r="J414" t="s">
        <v>101</v>
      </c>
      <c r="K414" t="s">
        <v>474</v>
      </c>
      <c r="L414" t="s">
        <v>40</v>
      </c>
      <c r="M414">
        <v>1</v>
      </c>
      <c r="N414">
        <v>30</v>
      </c>
      <c r="O414">
        <v>30</v>
      </c>
      <c r="P414" t="s">
        <v>41</v>
      </c>
      <c r="Q414">
        <v>314.7</v>
      </c>
      <c r="R414">
        <v>314.7</v>
      </c>
      <c r="S414">
        <v>472.05</v>
      </c>
      <c r="T414">
        <v>9441</v>
      </c>
      <c r="U414">
        <v>5</v>
      </c>
      <c r="V414" t="s">
        <v>42</v>
      </c>
      <c r="W414" t="s">
        <v>474</v>
      </c>
      <c r="X414" s="6" t="str">
        <f t="shared" si="15"/>
        <v>441811106</v>
      </c>
      <c r="Y414" s="7" t="str">
        <f t="shared" si="16"/>
        <v>DC</v>
      </c>
      <c r="Z414" s="7">
        <f t="shared" si="17"/>
        <v>0</v>
      </c>
      <c r="AA414" s="7">
        <f t="shared" si="18"/>
        <v>0</v>
      </c>
      <c r="AB414" s="7">
        <f t="shared" si="19"/>
        <v>0</v>
      </c>
      <c r="AC414" s="7">
        <f t="shared" si="20"/>
        <v>0</v>
      </c>
      <c r="AD414" s="7">
        <f t="shared" si="21"/>
        <v>30</v>
      </c>
      <c r="AE414" s="8" t="str" cm="1">
        <f t="array" ref="AE414">IFERROR(_xlfn.XLOOKUP(H414,Sheet1!$G:$G,Sheet1!$F:$F),IFERROR(_xlfn.XLOOKUP(1,(--($X$2:$X$1074=X414))*(--ISNUMBER(MATCH($H$2:$H$1074,Sheet1!$G:$G,0))),_xlfn.XLOOKUP($H$2:$H$1074,Sheet1!$G:$G,Sheet1!$F:$F,"")),"NOT FOUND"))</f>
        <v>GETKRTSFUT6204</v>
      </c>
      <c r="AF414" s="9" t="str">
        <f t="shared" si="26"/>
        <v>GREEN</v>
      </c>
      <c r="AG414" s="10" t="str">
        <f t="shared" si="27"/>
        <v>JHAJJAR</v>
      </c>
      <c r="AH414" s="8" t="str" cm="1">
        <f t="array" ref="AH414">IF(OR(J414="",AE414="",AE414="NOT FOUND"),"",IF(Y414="RP",_xlfn.LET(_xlpm.desc,_xlfn.XLOOKUP(1,(--(Sheet1!$F$2:$F$754=AE414))*(--ISNUMBER(FIND("-",Sheet1!$W$2:$W$754,FIND("-",Sheet1!$W$2:$W$754)+1))),Sheet1!$W$2:$W$754,""),IF(_xlpm.desc="","NOT FOUND",LEFT(_xlpm.desc,FIND("-",_xlpm.desc,FIND("-",_xlpm.desc)+1))&amp;AE414)),LEFT(J414,FIND("-",J414,FIND("-",J414)+1))&amp;AE414))</f>
        <v>KRTS-APWN26-GETKRTSFUT6204</v>
      </c>
    </row>
    <row r="415" spans="1:34" ht="15.75" customHeight="1" x14ac:dyDescent="0.2">
      <c r="A415" t="s">
        <v>59</v>
      </c>
      <c r="B415" t="s">
        <v>132</v>
      </c>
      <c r="C415" t="s">
        <v>64</v>
      </c>
      <c r="D415" t="s">
        <v>98</v>
      </c>
      <c r="E415" t="s">
        <v>34</v>
      </c>
      <c r="F415" t="s">
        <v>35</v>
      </c>
      <c r="G415" t="s">
        <v>51</v>
      </c>
      <c r="H415" t="s">
        <v>108</v>
      </c>
      <c r="I415" t="s">
        <v>109</v>
      </c>
      <c r="J415" t="s">
        <v>110</v>
      </c>
      <c r="K415" t="s">
        <v>474</v>
      </c>
      <c r="L415" t="s">
        <v>40</v>
      </c>
      <c r="M415">
        <v>1</v>
      </c>
      <c r="N415">
        <v>30</v>
      </c>
      <c r="O415">
        <v>30</v>
      </c>
      <c r="P415" t="s">
        <v>41</v>
      </c>
      <c r="Q415">
        <v>314.7</v>
      </c>
      <c r="R415">
        <v>314.7</v>
      </c>
      <c r="S415">
        <v>472.05</v>
      </c>
      <c r="T415">
        <v>9441</v>
      </c>
      <c r="U415">
        <v>5</v>
      </c>
      <c r="V415" t="s">
        <v>42</v>
      </c>
      <c r="W415" t="s">
        <v>474</v>
      </c>
      <c r="X415" s="6" t="str">
        <f t="shared" si="15"/>
        <v>441811106</v>
      </c>
      <c r="Y415" s="7" t="str">
        <f t="shared" si="16"/>
        <v>DC</v>
      </c>
      <c r="Z415" s="7">
        <f t="shared" si="17"/>
        <v>30</v>
      </c>
      <c r="AA415" s="7">
        <f t="shared" si="18"/>
        <v>0</v>
      </c>
      <c r="AB415" s="7">
        <f t="shared" si="19"/>
        <v>0</v>
      </c>
      <c r="AC415" s="7">
        <f t="shared" si="20"/>
        <v>0</v>
      </c>
      <c r="AD415" s="7">
        <f t="shared" si="21"/>
        <v>0</v>
      </c>
      <c r="AE415" s="8" t="str" cm="1">
        <f t="array" ref="AE415">IFERROR(_xlfn.XLOOKUP(H415,Sheet1!$G:$G,Sheet1!$F:$F),IFERROR(_xlfn.XLOOKUP(1,(--($X$2:$X$1074=X415))*(--ISNUMBER(MATCH($H$2:$H$1074,Sheet1!$G:$G,0))),_xlfn.XLOOKUP($H$2:$H$1074,Sheet1!$G:$G,Sheet1!$F:$F,"")),"NOT FOUND"))</f>
        <v>GETKRTSFUT6204</v>
      </c>
      <c r="AF415" s="9" t="str">
        <f t="shared" si="26"/>
        <v>GREEN</v>
      </c>
      <c r="AG415" s="10" t="str">
        <f t="shared" si="27"/>
        <v>JHAJJAR</v>
      </c>
      <c r="AH415" s="8" t="str" cm="1">
        <f t="array" ref="AH415">IF(OR(J415="",AE415="",AE415="NOT FOUND"),"",IF(Y415="RP",_xlfn.LET(_xlpm.desc,_xlfn.XLOOKUP(1,(--(Sheet1!$F$2:$F$754=AE415))*(--ISNUMBER(FIND("-",Sheet1!$W$2:$W$754,FIND("-",Sheet1!$W$2:$W$754)+1))),Sheet1!$W$2:$W$754,""),IF(_xlpm.desc="","NOT FOUND",LEFT(_xlpm.desc,FIND("-",_xlpm.desc,FIND("-",_xlpm.desc)+1))&amp;AE415)),LEFT(J415,FIND("-",J415,FIND("-",J415)+1))&amp;AE415))</f>
        <v>KRTS-APWN26-GETKRTSFUT6204</v>
      </c>
    </row>
    <row r="416" spans="1:34" ht="15.75" customHeight="1" x14ac:dyDescent="0.2">
      <c r="A416" t="s">
        <v>30</v>
      </c>
      <c r="B416" t="s">
        <v>133</v>
      </c>
      <c r="C416" t="s">
        <v>64</v>
      </c>
      <c r="D416" t="s">
        <v>81</v>
      </c>
      <c r="E416" t="s">
        <v>34</v>
      </c>
      <c r="F416" t="s">
        <v>35</v>
      </c>
      <c r="G416" t="s">
        <v>36</v>
      </c>
      <c r="H416" t="s">
        <v>134</v>
      </c>
      <c r="I416" t="s">
        <v>135</v>
      </c>
      <c r="J416" t="s">
        <v>136</v>
      </c>
      <c r="K416" t="s">
        <v>474</v>
      </c>
      <c r="L416" t="s">
        <v>40</v>
      </c>
      <c r="M416">
        <v>1</v>
      </c>
      <c r="N416">
        <v>30</v>
      </c>
      <c r="O416">
        <v>30</v>
      </c>
      <c r="P416" t="s">
        <v>41</v>
      </c>
      <c r="Q416">
        <v>394.7</v>
      </c>
      <c r="R416">
        <v>394.7</v>
      </c>
      <c r="S416">
        <v>592.04999999999995</v>
      </c>
      <c r="T416">
        <v>11841</v>
      </c>
      <c r="U416">
        <v>5</v>
      </c>
      <c r="V416" t="s">
        <v>42</v>
      </c>
      <c r="W416" t="s">
        <v>474</v>
      </c>
      <c r="X416" s="6" t="str">
        <f t="shared" si="15"/>
        <v>441811104</v>
      </c>
      <c r="Y416" s="7" t="str">
        <f t="shared" si="16"/>
        <v>DC</v>
      </c>
      <c r="Z416" s="7">
        <f t="shared" si="17"/>
        <v>0</v>
      </c>
      <c r="AA416" s="7">
        <f t="shared" si="18"/>
        <v>0</v>
      </c>
      <c r="AB416" s="7">
        <f t="shared" si="19"/>
        <v>0</v>
      </c>
      <c r="AC416" s="7">
        <f t="shared" si="20"/>
        <v>0</v>
      </c>
      <c r="AD416" s="7">
        <f t="shared" si="21"/>
        <v>30</v>
      </c>
      <c r="AE416" s="8" t="str" cm="1">
        <f t="array" ref="AE416">IFERROR(_xlfn.XLOOKUP(H416,Sheet1!$G:$G,Sheet1!$F:$F),IFERROR(_xlfn.XLOOKUP(1,(--($X$2:$X$1074=X416))*(--ISNUMBER(MATCH($H$2:$H$1074,Sheet1!$G:$G,0))),_xlfn.XLOOKUP($H$2:$H$1074,Sheet1!$G:$G,Sheet1!$F:$F,"")),"NOT FOUND"))</f>
        <v>GETKRTSFUT6202</v>
      </c>
      <c r="AF416" s="9" t="str">
        <f t="shared" si="26"/>
        <v>NAVY</v>
      </c>
      <c r="AG416" s="10" t="str">
        <f t="shared" si="27"/>
        <v>Bangalore</v>
      </c>
      <c r="AH416" s="8" t="str" cm="1">
        <f t="array" ref="AH416">IF(OR(J416="",AE416="",AE416="NOT FOUND"),"",IF(Y416="RP",_xlfn.LET(_xlpm.desc,_xlfn.XLOOKUP(1,(--(Sheet1!$F$2:$F$754=AE416))*(--ISNUMBER(FIND("-",Sheet1!$W$2:$W$754,FIND("-",Sheet1!$W$2:$W$754)+1))),Sheet1!$W$2:$W$754,""),IF(_xlpm.desc="","NOT FOUND",LEFT(_xlpm.desc,FIND("-",_xlpm.desc,FIND("-",_xlpm.desc)+1))&amp;AE416)),LEFT(J416,FIND("-",J416,FIND("-",J416)+1))&amp;AE416))</f>
        <v>KRTS-APWN26-GETKRTSFUT6202</v>
      </c>
    </row>
    <row r="417" spans="1:34" ht="15.75" customHeight="1" x14ac:dyDescent="0.2">
      <c r="A417" t="s">
        <v>30</v>
      </c>
      <c r="B417" t="s">
        <v>133</v>
      </c>
      <c r="C417" t="s">
        <v>64</v>
      </c>
      <c r="D417" t="s">
        <v>81</v>
      </c>
      <c r="E417" t="s">
        <v>34</v>
      </c>
      <c r="F417" t="s">
        <v>35</v>
      </c>
      <c r="G417" t="s">
        <v>43</v>
      </c>
      <c r="H417" t="s">
        <v>137</v>
      </c>
      <c r="I417" t="s">
        <v>138</v>
      </c>
      <c r="J417" t="s">
        <v>139</v>
      </c>
      <c r="K417" t="s">
        <v>474</v>
      </c>
      <c r="L417" t="s">
        <v>40</v>
      </c>
      <c r="M417">
        <v>1</v>
      </c>
      <c r="N417">
        <v>187</v>
      </c>
      <c r="O417">
        <v>187</v>
      </c>
      <c r="P417" t="s">
        <v>41</v>
      </c>
      <c r="Q417">
        <v>394.7</v>
      </c>
      <c r="R417">
        <v>394.7</v>
      </c>
      <c r="S417">
        <v>3690.45</v>
      </c>
      <c r="T417">
        <v>73808.899999999994</v>
      </c>
      <c r="U417">
        <v>5</v>
      </c>
      <c r="V417" t="s">
        <v>42</v>
      </c>
      <c r="W417" t="s">
        <v>474</v>
      </c>
      <c r="X417" s="6" t="str">
        <f t="shared" si="15"/>
        <v>441811104</v>
      </c>
      <c r="Y417" s="7" t="str">
        <f t="shared" si="16"/>
        <v>DC</v>
      </c>
      <c r="Z417" s="7">
        <f t="shared" si="17"/>
        <v>0</v>
      </c>
      <c r="AA417" s="7">
        <f t="shared" si="18"/>
        <v>0</v>
      </c>
      <c r="AB417" s="7">
        <f t="shared" si="19"/>
        <v>187</v>
      </c>
      <c r="AC417" s="7">
        <f t="shared" si="20"/>
        <v>0</v>
      </c>
      <c r="AD417" s="7">
        <f t="shared" si="21"/>
        <v>0</v>
      </c>
      <c r="AE417" s="8" t="str" cm="1">
        <f t="array" ref="AE417">IFERROR(_xlfn.XLOOKUP(H417,Sheet1!$G:$G,Sheet1!$F:$F),IFERROR(_xlfn.XLOOKUP(1,(--($X$2:$X$1074=X417))*(--ISNUMBER(MATCH($H$2:$H$1074,Sheet1!$G:$G,0))),_xlfn.XLOOKUP($H$2:$H$1074,Sheet1!$G:$G,Sheet1!$F:$F,"")),"NOT FOUND"))</f>
        <v>GETKRTSFUT6202</v>
      </c>
      <c r="AF417" s="9" t="str">
        <f t="shared" si="26"/>
        <v>NAVY</v>
      </c>
      <c r="AG417" s="10" t="str">
        <f t="shared" si="27"/>
        <v>Bangalore</v>
      </c>
      <c r="AH417" s="8" t="str" cm="1">
        <f t="array" ref="AH417">IF(OR(J417="",AE417="",AE417="NOT FOUND"),"",IF(Y417="RP",_xlfn.LET(_xlpm.desc,_xlfn.XLOOKUP(1,(--(Sheet1!$F$2:$F$754=AE417))*(--ISNUMBER(FIND("-",Sheet1!$W$2:$W$754,FIND("-",Sheet1!$W$2:$W$754)+1))),Sheet1!$W$2:$W$754,""),IF(_xlpm.desc="","NOT FOUND",LEFT(_xlpm.desc,FIND("-",_xlpm.desc,FIND("-",_xlpm.desc)+1))&amp;AE417)),LEFT(J417,FIND("-",J417,FIND("-",J417)+1))&amp;AE417))</f>
        <v>KRTS-APWN26-GETKRTSFUT6202</v>
      </c>
    </row>
    <row r="418" spans="1:34" ht="15.75" customHeight="1" x14ac:dyDescent="0.2">
      <c r="A418" t="s">
        <v>30</v>
      </c>
      <c r="B418" t="s">
        <v>133</v>
      </c>
      <c r="C418" t="s">
        <v>64</v>
      </c>
      <c r="D418" t="s">
        <v>81</v>
      </c>
      <c r="E418" t="s">
        <v>34</v>
      </c>
      <c r="F418" t="s">
        <v>35</v>
      </c>
      <c r="G418" t="s">
        <v>47</v>
      </c>
      <c r="H418" t="s">
        <v>140</v>
      </c>
      <c r="I418" t="s">
        <v>141</v>
      </c>
      <c r="J418" t="s">
        <v>142</v>
      </c>
      <c r="K418" t="s">
        <v>474</v>
      </c>
      <c r="L418" t="s">
        <v>40</v>
      </c>
      <c r="M418">
        <v>1</v>
      </c>
      <c r="N418">
        <v>187</v>
      </c>
      <c r="O418">
        <v>187</v>
      </c>
      <c r="P418" t="s">
        <v>41</v>
      </c>
      <c r="Q418">
        <v>394.7</v>
      </c>
      <c r="R418">
        <v>394.7</v>
      </c>
      <c r="S418">
        <v>3690.45</v>
      </c>
      <c r="T418">
        <v>73808.899999999994</v>
      </c>
      <c r="U418">
        <v>5</v>
      </c>
      <c r="V418" t="s">
        <v>42</v>
      </c>
      <c r="W418" t="s">
        <v>474</v>
      </c>
      <c r="X418" s="6" t="str">
        <f t="shared" si="15"/>
        <v>441811104</v>
      </c>
      <c r="Y418" s="7" t="str">
        <f t="shared" si="16"/>
        <v>DC</v>
      </c>
      <c r="Z418" s="7">
        <f t="shared" si="17"/>
        <v>0</v>
      </c>
      <c r="AA418" s="7">
        <f t="shared" si="18"/>
        <v>187</v>
      </c>
      <c r="AB418" s="7">
        <f t="shared" si="19"/>
        <v>0</v>
      </c>
      <c r="AC418" s="7">
        <f t="shared" si="20"/>
        <v>0</v>
      </c>
      <c r="AD418" s="7">
        <f t="shared" si="21"/>
        <v>0</v>
      </c>
      <c r="AE418" s="8" t="str" cm="1">
        <f t="array" ref="AE418">IFERROR(_xlfn.XLOOKUP(H418,Sheet1!$G:$G,Sheet1!$F:$F),IFERROR(_xlfn.XLOOKUP(1,(--($X$2:$X$1074=X418))*(--ISNUMBER(MATCH($H$2:$H$1074,Sheet1!$G:$G,0))),_xlfn.XLOOKUP($H$2:$H$1074,Sheet1!$G:$G,Sheet1!$F:$F,"")),"NOT FOUND"))</f>
        <v>GETKRTSFUT6202</v>
      </c>
      <c r="AF418" s="9" t="str">
        <f t="shared" si="26"/>
        <v>NAVY</v>
      </c>
      <c r="AG418" s="10" t="str">
        <f t="shared" si="27"/>
        <v>Bangalore</v>
      </c>
      <c r="AH418" s="8" t="str" cm="1">
        <f t="array" ref="AH418">IF(OR(J418="",AE418="",AE418="NOT FOUND"),"",IF(Y418="RP",_xlfn.LET(_xlpm.desc,_xlfn.XLOOKUP(1,(--(Sheet1!$F$2:$F$754=AE418))*(--ISNUMBER(FIND("-",Sheet1!$W$2:$W$754,FIND("-",Sheet1!$W$2:$W$754)+1))),Sheet1!$W$2:$W$754,""),IF(_xlpm.desc="","NOT FOUND",LEFT(_xlpm.desc,FIND("-",_xlpm.desc,FIND("-",_xlpm.desc)+1))&amp;AE418)),LEFT(J418,FIND("-",J418,FIND("-",J418)+1))&amp;AE418))</f>
        <v>KRTS-APWN26-GETKRTSFUT6202</v>
      </c>
    </row>
    <row r="419" spans="1:34" ht="15.75" customHeight="1" x14ac:dyDescent="0.2">
      <c r="A419" t="s">
        <v>30</v>
      </c>
      <c r="B419" t="s">
        <v>133</v>
      </c>
      <c r="C419" t="s">
        <v>64</v>
      </c>
      <c r="D419" t="s">
        <v>81</v>
      </c>
      <c r="E419" t="s">
        <v>34</v>
      </c>
      <c r="F419" t="s">
        <v>35</v>
      </c>
      <c r="G419" t="s">
        <v>51</v>
      </c>
      <c r="H419" t="s">
        <v>143</v>
      </c>
      <c r="I419" t="s">
        <v>144</v>
      </c>
      <c r="J419" t="s">
        <v>145</v>
      </c>
      <c r="K419" t="s">
        <v>474</v>
      </c>
      <c r="L419" t="s">
        <v>40</v>
      </c>
      <c r="M419">
        <v>1</v>
      </c>
      <c r="N419">
        <v>30</v>
      </c>
      <c r="O419">
        <v>30</v>
      </c>
      <c r="P419" t="s">
        <v>41</v>
      </c>
      <c r="Q419">
        <v>394.7</v>
      </c>
      <c r="R419">
        <v>394.7</v>
      </c>
      <c r="S419">
        <v>592.04999999999995</v>
      </c>
      <c r="T419">
        <v>11841</v>
      </c>
      <c r="U419">
        <v>5</v>
      </c>
      <c r="V419" t="s">
        <v>42</v>
      </c>
      <c r="W419" t="s">
        <v>474</v>
      </c>
      <c r="X419" s="6" t="str">
        <f t="shared" si="15"/>
        <v>441811104</v>
      </c>
      <c r="Y419" s="7" t="str">
        <f t="shared" si="16"/>
        <v>DC</v>
      </c>
      <c r="Z419" s="7">
        <f t="shared" si="17"/>
        <v>30</v>
      </c>
      <c r="AA419" s="7">
        <f t="shared" si="18"/>
        <v>0</v>
      </c>
      <c r="AB419" s="7">
        <f t="shared" si="19"/>
        <v>0</v>
      </c>
      <c r="AC419" s="7">
        <f t="shared" si="20"/>
        <v>0</v>
      </c>
      <c r="AD419" s="7">
        <f t="shared" si="21"/>
        <v>0</v>
      </c>
      <c r="AE419" s="8" t="str" cm="1">
        <f t="array" ref="AE419">IFERROR(_xlfn.XLOOKUP(H419,Sheet1!$G:$G,Sheet1!$F:$F),IFERROR(_xlfn.XLOOKUP(1,(--($X$2:$X$1074=X419))*(--ISNUMBER(MATCH($H$2:$H$1074,Sheet1!$G:$G,0))),_xlfn.XLOOKUP($H$2:$H$1074,Sheet1!$G:$G,Sheet1!$F:$F,"")),"NOT FOUND"))</f>
        <v>GETKRTSFUT6202</v>
      </c>
      <c r="AF419" s="9" t="str">
        <f t="shared" si="26"/>
        <v>NAVY</v>
      </c>
      <c r="AG419" s="10" t="str">
        <f t="shared" si="27"/>
        <v>Bangalore</v>
      </c>
      <c r="AH419" s="8" t="str" cm="1">
        <f t="array" ref="AH419">IF(OR(J419="",AE419="",AE419="NOT FOUND"),"",IF(Y419="RP",_xlfn.LET(_xlpm.desc,_xlfn.XLOOKUP(1,(--(Sheet1!$F$2:$F$754=AE419))*(--ISNUMBER(FIND("-",Sheet1!$W$2:$W$754,FIND("-",Sheet1!$W$2:$W$754)+1))),Sheet1!$W$2:$W$754,""),IF(_xlpm.desc="","NOT FOUND",LEFT(_xlpm.desc,FIND("-",_xlpm.desc,FIND("-",_xlpm.desc)+1))&amp;AE419)),LEFT(J419,FIND("-",J419,FIND("-",J419)+1))&amp;AE419))</f>
        <v>KRTS-APWN26-GETKRTSFUT6202</v>
      </c>
    </row>
    <row r="420" spans="1:34" ht="15.75" customHeight="1" x14ac:dyDescent="0.2">
      <c r="A420" t="s">
        <v>30</v>
      </c>
      <c r="B420" t="s">
        <v>133</v>
      </c>
      <c r="C420" t="s">
        <v>64</v>
      </c>
      <c r="D420" t="s">
        <v>81</v>
      </c>
      <c r="E420" t="s">
        <v>34</v>
      </c>
      <c r="F420" t="s">
        <v>35</v>
      </c>
      <c r="G420" t="s">
        <v>55</v>
      </c>
      <c r="H420" t="s">
        <v>146</v>
      </c>
      <c r="I420" t="s">
        <v>147</v>
      </c>
      <c r="J420" t="s">
        <v>148</v>
      </c>
      <c r="K420" t="s">
        <v>474</v>
      </c>
      <c r="L420" t="s">
        <v>40</v>
      </c>
      <c r="M420">
        <v>1</v>
      </c>
      <c r="N420">
        <v>158</v>
      </c>
      <c r="O420">
        <v>158</v>
      </c>
      <c r="P420" t="s">
        <v>41</v>
      </c>
      <c r="Q420">
        <v>394.7</v>
      </c>
      <c r="R420">
        <v>394.7</v>
      </c>
      <c r="S420">
        <v>3118.13</v>
      </c>
      <c r="T420">
        <v>62362.6</v>
      </c>
      <c r="U420">
        <v>5</v>
      </c>
      <c r="V420" t="s">
        <v>42</v>
      </c>
      <c r="W420" t="s">
        <v>474</v>
      </c>
      <c r="X420" s="6" t="str">
        <f t="shared" si="15"/>
        <v>441811104</v>
      </c>
      <c r="Y420" s="7" t="str">
        <f t="shared" si="16"/>
        <v>DC</v>
      </c>
      <c r="Z420" s="7">
        <f t="shared" si="17"/>
        <v>0</v>
      </c>
      <c r="AA420" s="7">
        <f t="shared" si="18"/>
        <v>0</v>
      </c>
      <c r="AB420" s="7">
        <f t="shared" si="19"/>
        <v>0</v>
      </c>
      <c r="AC420" s="7">
        <f t="shared" si="20"/>
        <v>158</v>
      </c>
      <c r="AD420" s="7">
        <f t="shared" si="21"/>
        <v>0</v>
      </c>
      <c r="AE420" s="8" t="str" cm="1">
        <f t="array" ref="AE420">IFERROR(_xlfn.XLOOKUP(H420,Sheet1!$G:$G,Sheet1!$F:$F),IFERROR(_xlfn.XLOOKUP(1,(--($X$2:$X$1074=X420))*(--ISNUMBER(MATCH($H$2:$H$1074,Sheet1!$G:$G,0))),_xlfn.XLOOKUP($H$2:$H$1074,Sheet1!$G:$G,Sheet1!$F:$F,"")),"NOT FOUND"))</f>
        <v>GETKRTSFUT6202</v>
      </c>
      <c r="AF420" s="9" t="str">
        <f t="shared" si="26"/>
        <v>NAVY</v>
      </c>
      <c r="AG420" s="10" t="str">
        <f t="shared" si="27"/>
        <v>Bangalore</v>
      </c>
      <c r="AH420" s="8" t="str" cm="1">
        <f t="array" ref="AH420">IF(OR(J420="",AE420="",AE420="NOT FOUND"),"",IF(Y420="RP",_xlfn.LET(_xlpm.desc,_xlfn.XLOOKUP(1,(--(Sheet1!$F$2:$F$754=AE420))*(--ISNUMBER(FIND("-",Sheet1!$W$2:$W$754,FIND("-",Sheet1!$W$2:$W$754)+1))),Sheet1!$W$2:$W$754,""),IF(_xlpm.desc="","NOT FOUND",LEFT(_xlpm.desc,FIND("-",_xlpm.desc,FIND("-",_xlpm.desc)+1))&amp;AE420)),LEFT(J420,FIND("-",J420,FIND("-",J420)+1))&amp;AE420))</f>
        <v>KRTS-APWN26-GETKRTSFUT6202</v>
      </c>
    </row>
    <row r="421" spans="1:34" ht="15.75" customHeight="1" x14ac:dyDescent="0.2">
      <c r="A421" t="s">
        <v>59</v>
      </c>
      <c r="B421" t="s">
        <v>149</v>
      </c>
      <c r="C421" t="s">
        <v>64</v>
      </c>
      <c r="D421" t="s">
        <v>115</v>
      </c>
      <c r="E421" t="s">
        <v>34</v>
      </c>
      <c r="F421" t="s">
        <v>35</v>
      </c>
      <c r="G421" t="s">
        <v>36</v>
      </c>
      <c r="H421" t="s">
        <v>116</v>
      </c>
      <c r="I421" t="s">
        <v>117</v>
      </c>
      <c r="J421" t="s">
        <v>118</v>
      </c>
      <c r="K421" t="s">
        <v>474</v>
      </c>
      <c r="L421" t="s">
        <v>40</v>
      </c>
      <c r="M421">
        <v>1</v>
      </c>
      <c r="N421">
        <v>30</v>
      </c>
      <c r="O421">
        <v>30</v>
      </c>
      <c r="P421" t="s">
        <v>41</v>
      </c>
      <c r="Q421">
        <v>319.7</v>
      </c>
      <c r="R421">
        <v>319.7</v>
      </c>
      <c r="S421">
        <v>479.55</v>
      </c>
      <c r="T421">
        <v>9591</v>
      </c>
      <c r="U421">
        <v>5</v>
      </c>
      <c r="V421" t="s">
        <v>42</v>
      </c>
      <c r="W421" t="s">
        <v>474</v>
      </c>
      <c r="X421" s="6" t="str">
        <f t="shared" si="15"/>
        <v>441811105</v>
      </c>
      <c r="Y421" s="7" t="str">
        <f t="shared" si="16"/>
        <v>DC</v>
      </c>
      <c r="Z421" s="7">
        <f t="shared" si="17"/>
        <v>0</v>
      </c>
      <c r="AA421" s="7">
        <f t="shared" si="18"/>
        <v>0</v>
      </c>
      <c r="AB421" s="7">
        <f t="shared" si="19"/>
        <v>0</v>
      </c>
      <c r="AC421" s="7">
        <f t="shared" si="20"/>
        <v>0</v>
      </c>
      <c r="AD421" s="7">
        <f t="shared" si="21"/>
        <v>30</v>
      </c>
      <c r="AE421" s="8" t="str" cm="1">
        <f t="array" ref="AE421">IFERROR(_xlfn.XLOOKUP(H421,Sheet1!$G:$G,Sheet1!$F:$F),IFERROR(_xlfn.XLOOKUP(1,(--($X$2:$X$1074=X421))*(--ISNUMBER(MATCH($H$2:$H$1074,Sheet1!$G:$G,0))),_xlfn.XLOOKUP($H$2:$H$1074,Sheet1!$G:$G,Sheet1!$F:$F,"")),"NOT FOUND"))</f>
        <v>GETKRTSFUT6203</v>
      </c>
      <c r="AF421" s="9" t="str">
        <f t="shared" si="26"/>
        <v>BLACK</v>
      </c>
      <c r="AG421" s="10" t="str">
        <f t="shared" si="27"/>
        <v>JHAJJAR</v>
      </c>
      <c r="AH421" s="8" t="str" cm="1">
        <f t="array" ref="AH421">IF(OR(J421="",AE421="",AE421="NOT FOUND"),"",IF(Y421="RP",_xlfn.LET(_xlpm.desc,_xlfn.XLOOKUP(1,(--(Sheet1!$F$2:$F$754=AE421))*(--ISNUMBER(FIND("-",Sheet1!$W$2:$W$754,FIND("-",Sheet1!$W$2:$W$754)+1))),Sheet1!$W$2:$W$754,""),IF(_xlpm.desc="","NOT FOUND",LEFT(_xlpm.desc,FIND("-",_xlpm.desc,FIND("-",_xlpm.desc)+1))&amp;AE421)),LEFT(J421,FIND("-",J421,FIND("-",J421)+1))&amp;AE421))</f>
        <v>KRTS-APWN26-GETKRTSFUT6203</v>
      </c>
    </row>
    <row r="422" spans="1:34" ht="15.75" customHeight="1" x14ac:dyDescent="0.2">
      <c r="A422" t="s">
        <v>59</v>
      </c>
      <c r="B422" t="s">
        <v>149</v>
      </c>
      <c r="C422" t="s">
        <v>64</v>
      </c>
      <c r="D422" t="s">
        <v>115</v>
      </c>
      <c r="E422" t="s">
        <v>34</v>
      </c>
      <c r="F422" t="s">
        <v>35</v>
      </c>
      <c r="G422" t="s">
        <v>43</v>
      </c>
      <c r="H422" t="s">
        <v>119</v>
      </c>
      <c r="I422" t="s">
        <v>120</v>
      </c>
      <c r="J422" t="s">
        <v>121</v>
      </c>
      <c r="K422" t="s">
        <v>474</v>
      </c>
      <c r="L422" t="s">
        <v>40</v>
      </c>
      <c r="M422">
        <v>1</v>
      </c>
      <c r="N422">
        <v>156</v>
      </c>
      <c r="O422">
        <v>156</v>
      </c>
      <c r="P422" t="s">
        <v>41</v>
      </c>
      <c r="Q422">
        <v>319.7</v>
      </c>
      <c r="R422">
        <v>319.7</v>
      </c>
      <c r="S422">
        <v>2493.66</v>
      </c>
      <c r="T422">
        <v>49873.2</v>
      </c>
      <c r="U422">
        <v>5</v>
      </c>
      <c r="V422" t="s">
        <v>42</v>
      </c>
      <c r="W422" t="s">
        <v>474</v>
      </c>
      <c r="X422" s="6" t="str">
        <f t="shared" si="15"/>
        <v>441811105</v>
      </c>
      <c r="Y422" s="7" t="str">
        <f t="shared" si="16"/>
        <v>DC</v>
      </c>
      <c r="Z422" s="7">
        <f t="shared" si="17"/>
        <v>0</v>
      </c>
      <c r="AA422" s="7">
        <f t="shared" si="18"/>
        <v>0</v>
      </c>
      <c r="AB422" s="7">
        <f t="shared" si="19"/>
        <v>156</v>
      </c>
      <c r="AC422" s="7">
        <f t="shared" si="20"/>
        <v>0</v>
      </c>
      <c r="AD422" s="7">
        <f t="shared" si="21"/>
        <v>0</v>
      </c>
      <c r="AE422" s="8" t="str" cm="1">
        <f t="array" ref="AE422">IFERROR(_xlfn.XLOOKUP(H422,Sheet1!$G:$G,Sheet1!$F:$F),IFERROR(_xlfn.XLOOKUP(1,(--($X$2:$X$1074=X422))*(--ISNUMBER(MATCH($H$2:$H$1074,Sheet1!$G:$G,0))),_xlfn.XLOOKUP($H$2:$H$1074,Sheet1!$G:$G,Sheet1!$F:$F,"")),"NOT FOUND"))</f>
        <v>GETKRTSFUT6203</v>
      </c>
      <c r="AF422" s="9" t="str">
        <f t="shared" si="26"/>
        <v>BLACK</v>
      </c>
      <c r="AG422" s="10" t="str">
        <f t="shared" si="27"/>
        <v>JHAJJAR</v>
      </c>
      <c r="AH422" s="8" t="str" cm="1">
        <f t="array" ref="AH422">IF(OR(J422="",AE422="",AE422="NOT FOUND"),"",IF(Y422="RP",_xlfn.LET(_xlpm.desc,_xlfn.XLOOKUP(1,(--(Sheet1!$F$2:$F$754=AE422))*(--ISNUMBER(FIND("-",Sheet1!$W$2:$W$754,FIND("-",Sheet1!$W$2:$W$754)+1))),Sheet1!$W$2:$W$754,""),IF(_xlpm.desc="","NOT FOUND",LEFT(_xlpm.desc,FIND("-",_xlpm.desc,FIND("-",_xlpm.desc)+1))&amp;AE422)),LEFT(J422,FIND("-",J422,FIND("-",J422)+1))&amp;AE422))</f>
        <v>KRTS-APWN26-GETKRTSFUT6203</v>
      </c>
    </row>
    <row r="423" spans="1:34" ht="15.75" customHeight="1" x14ac:dyDescent="0.2">
      <c r="A423" t="s">
        <v>59</v>
      </c>
      <c r="B423" t="s">
        <v>149</v>
      </c>
      <c r="C423" t="s">
        <v>64</v>
      </c>
      <c r="D423" t="s">
        <v>115</v>
      </c>
      <c r="E423" t="s">
        <v>34</v>
      </c>
      <c r="F423" t="s">
        <v>35</v>
      </c>
      <c r="G423" t="s">
        <v>47</v>
      </c>
      <c r="H423" t="s">
        <v>122</v>
      </c>
      <c r="I423" t="s">
        <v>123</v>
      </c>
      <c r="J423" t="s">
        <v>124</v>
      </c>
      <c r="K423" t="s">
        <v>474</v>
      </c>
      <c r="L423" t="s">
        <v>40</v>
      </c>
      <c r="M423">
        <v>1</v>
      </c>
      <c r="N423">
        <v>156</v>
      </c>
      <c r="O423">
        <v>156</v>
      </c>
      <c r="P423" t="s">
        <v>41</v>
      </c>
      <c r="Q423">
        <v>319.7</v>
      </c>
      <c r="R423">
        <v>319.7</v>
      </c>
      <c r="S423">
        <v>2493.66</v>
      </c>
      <c r="T423">
        <v>49873.2</v>
      </c>
      <c r="U423">
        <v>5</v>
      </c>
      <c r="V423" t="s">
        <v>42</v>
      </c>
      <c r="W423" t="s">
        <v>474</v>
      </c>
      <c r="X423" s="6" t="str">
        <f t="shared" si="15"/>
        <v>441811105</v>
      </c>
      <c r="Y423" s="7" t="str">
        <f t="shared" si="16"/>
        <v>DC</v>
      </c>
      <c r="Z423" s="7">
        <f t="shared" si="17"/>
        <v>0</v>
      </c>
      <c r="AA423" s="7">
        <f t="shared" si="18"/>
        <v>156</v>
      </c>
      <c r="AB423" s="7">
        <f t="shared" si="19"/>
        <v>0</v>
      </c>
      <c r="AC423" s="7">
        <f t="shared" si="20"/>
        <v>0</v>
      </c>
      <c r="AD423" s="7">
        <f t="shared" si="21"/>
        <v>0</v>
      </c>
      <c r="AE423" s="8" t="str" cm="1">
        <f t="array" ref="AE423">IFERROR(_xlfn.XLOOKUP(H423,Sheet1!$G:$G,Sheet1!$F:$F),IFERROR(_xlfn.XLOOKUP(1,(--($X$2:$X$1074=X423))*(--ISNUMBER(MATCH($H$2:$H$1074,Sheet1!$G:$G,0))),_xlfn.XLOOKUP($H$2:$H$1074,Sheet1!$G:$G,Sheet1!$F:$F,"")),"NOT FOUND"))</f>
        <v>GETKRTSFUT6203</v>
      </c>
      <c r="AF423" s="9" t="str">
        <f t="shared" si="26"/>
        <v>BLACK</v>
      </c>
      <c r="AG423" s="10" t="str">
        <f t="shared" si="27"/>
        <v>JHAJJAR</v>
      </c>
      <c r="AH423" s="8" t="str" cm="1">
        <f t="array" ref="AH423">IF(OR(J423="",AE423="",AE423="NOT FOUND"),"",IF(Y423="RP",_xlfn.LET(_xlpm.desc,_xlfn.XLOOKUP(1,(--(Sheet1!$F$2:$F$754=AE423))*(--ISNUMBER(FIND("-",Sheet1!$W$2:$W$754,FIND("-",Sheet1!$W$2:$W$754)+1))),Sheet1!$W$2:$W$754,""),IF(_xlpm.desc="","NOT FOUND",LEFT(_xlpm.desc,FIND("-",_xlpm.desc,FIND("-",_xlpm.desc)+1))&amp;AE423)),LEFT(J423,FIND("-",J423,FIND("-",J423)+1))&amp;AE423))</f>
        <v>KRTS-APWN26-GETKRTSFUT6203</v>
      </c>
    </row>
    <row r="424" spans="1:34" ht="15.75" customHeight="1" x14ac:dyDescent="0.2">
      <c r="A424" t="s">
        <v>59</v>
      </c>
      <c r="B424" t="s">
        <v>149</v>
      </c>
      <c r="C424" t="s">
        <v>64</v>
      </c>
      <c r="D424" t="s">
        <v>115</v>
      </c>
      <c r="E424" t="s">
        <v>34</v>
      </c>
      <c r="F424" t="s">
        <v>35</v>
      </c>
      <c r="G424" t="s">
        <v>51</v>
      </c>
      <c r="H424" t="s">
        <v>125</v>
      </c>
      <c r="I424" t="s">
        <v>126</v>
      </c>
      <c r="J424" t="s">
        <v>127</v>
      </c>
      <c r="K424" t="s">
        <v>474</v>
      </c>
      <c r="L424" t="s">
        <v>40</v>
      </c>
      <c r="M424">
        <v>1</v>
      </c>
      <c r="N424">
        <v>30</v>
      </c>
      <c r="O424">
        <v>30</v>
      </c>
      <c r="P424" t="s">
        <v>41</v>
      </c>
      <c r="Q424">
        <v>319.7</v>
      </c>
      <c r="R424">
        <v>319.7</v>
      </c>
      <c r="S424">
        <v>479.55</v>
      </c>
      <c r="T424">
        <v>9591</v>
      </c>
      <c r="U424">
        <v>5</v>
      </c>
      <c r="V424" t="s">
        <v>42</v>
      </c>
      <c r="W424" t="s">
        <v>474</v>
      </c>
      <c r="X424" s="6" t="str">
        <f t="shared" si="15"/>
        <v>441811105</v>
      </c>
      <c r="Y424" s="7" t="str">
        <f t="shared" si="16"/>
        <v>DC</v>
      </c>
      <c r="Z424" s="7">
        <f t="shared" si="17"/>
        <v>30</v>
      </c>
      <c r="AA424" s="7">
        <f t="shared" si="18"/>
        <v>0</v>
      </c>
      <c r="AB424" s="7">
        <f t="shared" si="19"/>
        <v>0</v>
      </c>
      <c r="AC424" s="7">
        <f t="shared" si="20"/>
        <v>0</v>
      </c>
      <c r="AD424" s="7">
        <f t="shared" si="21"/>
        <v>0</v>
      </c>
      <c r="AE424" s="8" t="str" cm="1">
        <f t="array" ref="AE424">IFERROR(_xlfn.XLOOKUP(H424,Sheet1!$G:$G,Sheet1!$F:$F),IFERROR(_xlfn.XLOOKUP(1,(--($X$2:$X$1074=X424))*(--ISNUMBER(MATCH($H$2:$H$1074,Sheet1!$G:$G,0))),_xlfn.XLOOKUP($H$2:$H$1074,Sheet1!$G:$G,Sheet1!$F:$F,"")),"NOT FOUND"))</f>
        <v>GETKRTSFUT6203</v>
      </c>
      <c r="AF424" s="9" t="str">
        <f t="shared" si="26"/>
        <v>BLACK</v>
      </c>
      <c r="AG424" s="10" t="str">
        <f t="shared" si="27"/>
        <v>JHAJJAR</v>
      </c>
      <c r="AH424" s="8" t="str" cm="1">
        <f t="array" ref="AH424">IF(OR(J424="",AE424="",AE424="NOT FOUND"),"",IF(Y424="RP",_xlfn.LET(_xlpm.desc,_xlfn.XLOOKUP(1,(--(Sheet1!$F$2:$F$754=AE424))*(--ISNUMBER(FIND("-",Sheet1!$W$2:$W$754,FIND("-",Sheet1!$W$2:$W$754)+1))),Sheet1!$W$2:$W$754,""),IF(_xlpm.desc="","NOT FOUND",LEFT(_xlpm.desc,FIND("-",_xlpm.desc,FIND("-",_xlpm.desc)+1))&amp;AE424)),LEFT(J424,FIND("-",J424,FIND("-",J424)+1))&amp;AE424))</f>
        <v>KRTS-APWN26-GETKRTSFUT6203</v>
      </c>
    </row>
    <row r="425" spans="1:34" ht="15.75" customHeight="1" x14ac:dyDescent="0.2">
      <c r="A425" t="s">
        <v>59</v>
      </c>
      <c r="B425" t="s">
        <v>149</v>
      </c>
      <c r="C425" t="s">
        <v>64</v>
      </c>
      <c r="D425" t="s">
        <v>115</v>
      </c>
      <c r="E425" t="s">
        <v>34</v>
      </c>
      <c r="F425" t="s">
        <v>35</v>
      </c>
      <c r="G425" t="s">
        <v>55</v>
      </c>
      <c r="H425" t="s">
        <v>128</v>
      </c>
      <c r="I425" t="s">
        <v>129</v>
      </c>
      <c r="J425" t="s">
        <v>130</v>
      </c>
      <c r="K425" t="s">
        <v>474</v>
      </c>
      <c r="L425" t="s">
        <v>40</v>
      </c>
      <c r="M425">
        <v>1</v>
      </c>
      <c r="N425">
        <v>132</v>
      </c>
      <c r="O425">
        <v>132</v>
      </c>
      <c r="P425" t="s">
        <v>41</v>
      </c>
      <c r="Q425">
        <v>319.7</v>
      </c>
      <c r="R425">
        <v>319.7</v>
      </c>
      <c r="S425">
        <v>2110.02</v>
      </c>
      <c r="T425">
        <v>42200.4</v>
      </c>
      <c r="U425">
        <v>5</v>
      </c>
      <c r="V425" t="s">
        <v>42</v>
      </c>
      <c r="W425" t="s">
        <v>474</v>
      </c>
      <c r="X425" s="6" t="str">
        <f t="shared" si="15"/>
        <v>441811105</v>
      </c>
      <c r="Y425" s="7" t="str">
        <f t="shared" si="16"/>
        <v>DC</v>
      </c>
      <c r="Z425" s="7">
        <f t="shared" si="17"/>
        <v>0</v>
      </c>
      <c r="AA425" s="7">
        <f t="shared" si="18"/>
        <v>0</v>
      </c>
      <c r="AB425" s="7">
        <f t="shared" si="19"/>
        <v>0</v>
      </c>
      <c r="AC425" s="7">
        <f t="shared" si="20"/>
        <v>132</v>
      </c>
      <c r="AD425" s="7">
        <f t="shared" si="21"/>
        <v>0</v>
      </c>
      <c r="AE425" s="8" t="str" cm="1">
        <f t="array" ref="AE425">IFERROR(_xlfn.XLOOKUP(H425,Sheet1!$G:$G,Sheet1!$F:$F),IFERROR(_xlfn.XLOOKUP(1,(--($X$2:$X$1074=X425))*(--ISNUMBER(MATCH($H$2:$H$1074,Sheet1!$G:$G,0))),_xlfn.XLOOKUP($H$2:$H$1074,Sheet1!$G:$G,Sheet1!$F:$F,"")),"NOT FOUND"))</f>
        <v>GETKRTSFUT6203</v>
      </c>
      <c r="AF425" s="9" t="str">
        <f t="shared" si="26"/>
        <v>BLACK</v>
      </c>
      <c r="AG425" s="10" t="str">
        <f t="shared" si="27"/>
        <v>JHAJJAR</v>
      </c>
      <c r="AH425" s="8" t="str" cm="1">
        <f t="array" ref="AH425">IF(OR(J425="",AE425="",AE425="NOT FOUND"),"",IF(Y425="RP",_xlfn.LET(_xlpm.desc,_xlfn.XLOOKUP(1,(--(Sheet1!$F$2:$F$754=AE425))*(--ISNUMBER(FIND("-",Sheet1!$W$2:$W$754,FIND("-",Sheet1!$W$2:$W$754)+1))),Sheet1!$W$2:$W$754,""),IF(_xlpm.desc="","NOT FOUND",LEFT(_xlpm.desc,FIND("-",_xlpm.desc,FIND("-",_xlpm.desc)+1))&amp;AE425)),LEFT(J425,FIND("-",J425,FIND("-",J425)+1))&amp;AE425))</f>
        <v>KRTS-APWN26-GETKRTSFUT6203</v>
      </c>
    </row>
    <row r="426" spans="1:34" ht="15.75" customHeight="1" x14ac:dyDescent="0.2">
      <c r="A426" t="s">
        <v>61</v>
      </c>
      <c r="B426" t="s">
        <v>150</v>
      </c>
      <c r="C426" t="s">
        <v>64</v>
      </c>
      <c r="D426" t="s">
        <v>402</v>
      </c>
      <c r="E426" t="s">
        <v>34</v>
      </c>
      <c r="F426" t="s">
        <v>35</v>
      </c>
      <c r="G426" t="s">
        <v>43</v>
      </c>
      <c r="H426" t="s">
        <v>85</v>
      </c>
      <c r="I426" t="s">
        <v>86</v>
      </c>
      <c r="J426" t="s">
        <v>87</v>
      </c>
      <c r="K426" t="s">
        <v>474</v>
      </c>
      <c r="L426" t="s">
        <v>40</v>
      </c>
      <c r="M426">
        <v>1</v>
      </c>
      <c r="N426">
        <v>135</v>
      </c>
      <c r="O426">
        <v>135</v>
      </c>
      <c r="P426" t="s">
        <v>41</v>
      </c>
      <c r="Q426">
        <v>419.7</v>
      </c>
      <c r="R426">
        <v>419.7</v>
      </c>
      <c r="S426">
        <v>2832.98</v>
      </c>
      <c r="T426">
        <v>56659.5</v>
      </c>
      <c r="U426">
        <v>5</v>
      </c>
      <c r="V426" t="s">
        <v>42</v>
      </c>
      <c r="W426" t="s">
        <v>474</v>
      </c>
      <c r="X426" s="6" t="str">
        <f t="shared" si="15"/>
        <v>441811107</v>
      </c>
      <c r="Y426" s="7" t="str">
        <f t="shared" si="16"/>
        <v>DC</v>
      </c>
      <c r="Z426" s="7">
        <f t="shared" si="17"/>
        <v>0</v>
      </c>
      <c r="AA426" s="7">
        <f t="shared" si="18"/>
        <v>0</v>
      </c>
      <c r="AB426" s="7">
        <f t="shared" si="19"/>
        <v>135</v>
      </c>
      <c r="AC426" s="7">
        <f t="shared" si="20"/>
        <v>0</v>
      </c>
      <c r="AD426" s="7">
        <f t="shared" si="21"/>
        <v>0</v>
      </c>
      <c r="AE426" s="8" t="str" cm="1">
        <f t="array" ref="AE426">IFERROR(_xlfn.XLOOKUP(H426,Sheet1!$G:$G,Sheet1!$F:$F),IFERROR(_xlfn.XLOOKUP(1,(--($X$2:$X$1074=X426))*(--ISNUMBER(MATCH($H$2:$H$1074,Sheet1!$G:$G,0))),_xlfn.XLOOKUP($H$2:$H$1074,Sheet1!$G:$G,Sheet1!$F:$F,"")),"NOT FOUND"))</f>
        <v>GETKRTSFUT6205</v>
      </c>
      <c r="AF426" s="9" t="str">
        <f t="shared" si="26"/>
        <v>GREEN</v>
      </c>
      <c r="AG426" s="10" t="str">
        <f t="shared" si="27"/>
        <v>HARIPAL</v>
      </c>
      <c r="AH426" s="8" t="str" cm="1">
        <f t="array" ref="AH426">IF(OR(J426="",AE426="",AE426="NOT FOUND"),"",IF(Y426="RP",_xlfn.LET(_xlpm.desc,_xlfn.XLOOKUP(1,(--(Sheet1!$F$2:$F$754=AE426))*(--ISNUMBER(FIND("-",Sheet1!$W$2:$W$754,FIND("-",Sheet1!$W$2:$W$754)+1))),Sheet1!$W$2:$W$754,""),IF(_xlpm.desc="","NOT FOUND",LEFT(_xlpm.desc,FIND("-",_xlpm.desc,FIND("-",_xlpm.desc)+1))&amp;AE426)),LEFT(J426,FIND("-",J426,FIND("-",J426)+1))&amp;AE426))</f>
        <v>KRTS-APWN26-GETKRTSFUT6205</v>
      </c>
    </row>
    <row r="427" spans="1:34" ht="15.75" customHeight="1" x14ac:dyDescent="0.2">
      <c r="A427" t="s">
        <v>61</v>
      </c>
      <c r="B427" t="s">
        <v>150</v>
      </c>
      <c r="C427" t="s">
        <v>64</v>
      </c>
      <c r="D427" t="s">
        <v>402</v>
      </c>
      <c r="E427" t="s">
        <v>34</v>
      </c>
      <c r="F427" t="s">
        <v>35</v>
      </c>
      <c r="G427" t="s">
        <v>47</v>
      </c>
      <c r="H427" t="s">
        <v>88</v>
      </c>
      <c r="I427" t="s">
        <v>89</v>
      </c>
      <c r="J427" t="s">
        <v>90</v>
      </c>
      <c r="K427" t="s">
        <v>474</v>
      </c>
      <c r="L427" t="s">
        <v>40</v>
      </c>
      <c r="M427">
        <v>1</v>
      </c>
      <c r="N427">
        <v>135</v>
      </c>
      <c r="O427">
        <v>135</v>
      </c>
      <c r="P427" t="s">
        <v>41</v>
      </c>
      <c r="Q427">
        <v>419.7</v>
      </c>
      <c r="R427">
        <v>419.7</v>
      </c>
      <c r="S427">
        <v>2832.98</v>
      </c>
      <c r="T427">
        <v>56659.5</v>
      </c>
      <c r="U427">
        <v>5</v>
      </c>
      <c r="V427" t="s">
        <v>42</v>
      </c>
      <c r="W427" t="s">
        <v>474</v>
      </c>
      <c r="X427" s="6" t="str">
        <f t="shared" si="15"/>
        <v>441811107</v>
      </c>
      <c r="Y427" s="7" t="str">
        <f t="shared" si="16"/>
        <v>DC</v>
      </c>
      <c r="Z427" s="7">
        <f t="shared" si="17"/>
        <v>0</v>
      </c>
      <c r="AA427" s="7">
        <f t="shared" si="18"/>
        <v>135</v>
      </c>
      <c r="AB427" s="7">
        <f t="shared" si="19"/>
        <v>0</v>
      </c>
      <c r="AC427" s="7">
        <f t="shared" si="20"/>
        <v>0</v>
      </c>
      <c r="AD427" s="7">
        <f t="shared" si="21"/>
        <v>0</v>
      </c>
      <c r="AE427" s="8" t="str" cm="1">
        <f t="array" ref="AE427">IFERROR(_xlfn.XLOOKUP(H427,Sheet1!$G:$G,Sheet1!$F:$F),IFERROR(_xlfn.XLOOKUP(1,(--($X$2:$X$1074=X427))*(--ISNUMBER(MATCH($H$2:$H$1074,Sheet1!$G:$G,0))),_xlfn.XLOOKUP($H$2:$H$1074,Sheet1!$G:$G,Sheet1!$F:$F,"")),"NOT FOUND"))</f>
        <v>GETKRTSFUT6205</v>
      </c>
      <c r="AF427" s="9" t="str">
        <f t="shared" si="26"/>
        <v>GREEN</v>
      </c>
      <c r="AG427" s="10" t="str">
        <f t="shared" si="27"/>
        <v>HARIPAL</v>
      </c>
      <c r="AH427" s="8" t="str" cm="1">
        <f t="array" ref="AH427">IF(OR(J427="",AE427="",AE427="NOT FOUND"),"",IF(Y427="RP",_xlfn.LET(_xlpm.desc,_xlfn.XLOOKUP(1,(--(Sheet1!$F$2:$F$754=AE427))*(--ISNUMBER(FIND("-",Sheet1!$W$2:$W$754,FIND("-",Sheet1!$W$2:$W$754)+1))),Sheet1!$W$2:$W$754,""),IF(_xlpm.desc="","NOT FOUND",LEFT(_xlpm.desc,FIND("-",_xlpm.desc,FIND("-",_xlpm.desc)+1))&amp;AE427)),LEFT(J427,FIND("-",J427,FIND("-",J427)+1))&amp;AE427))</f>
        <v>KRTS-APWN26-GETKRTSFUT6205</v>
      </c>
    </row>
    <row r="428" spans="1:34" ht="15.75" customHeight="1" x14ac:dyDescent="0.2">
      <c r="A428" t="s">
        <v>61</v>
      </c>
      <c r="B428" t="s">
        <v>150</v>
      </c>
      <c r="C428" t="s">
        <v>64</v>
      </c>
      <c r="D428" t="s">
        <v>402</v>
      </c>
      <c r="E428" t="s">
        <v>34</v>
      </c>
      <c r="F428" t="s">
        <v>35</v>
      </c>
      <c r="G428" t="s">
        <v>55</v>
      </c>
      <c r="H428" t="s">
        <v>94</v>
      </c>
      <c r="I428" t="s">
        <v>95</v>
      </c>
      <c r="J428" t="s">
        <v>96</v>
      </c>
      <c r="K428" t="s">
        <v>474</v>
      </c>
      <c r="L428" t="s">
        <v>40</v>
      </c>
      <c r="M428">
        <v>1</v>
      </c>
      <c r="N428">
        <v>114</v>
      </c>
      <c r="O428">
        <v>114</v>
      </c>
      <c r="P428" t="s">
        <v>41</v>
      </c>
      <c r="Q428">
        <v>419.7</v>
      </c>
      <c r="R428">
        <v>419.7</v>
      </c>
      <c r="S428">
        <v>2392.29</v>
      </c>
      <c r="T428">
        <v>47845.8</v>
      </c>
      <c r="U428">
        <v>5</v>
      </c>
      <c r="V428" t="s">
        <v>42</v>
      </c>
      <c r="W428" t="s">
        <v>474</v>
      </c>
      <c r="X428" s="6" t="str">
        <f t="shared" si="15"/>
        <v>441811107</v>
      </c>
      <c r="Y428" s="7" t="str">
        <f t="shared" si="16"/>
        <v>DC</v>
      </c>
      <c r="Z428" s="7">
        <f t="shared" si="17"/>
        <v>0</v>
      </c>
      <c r="AA428" s="7">
        <f t="shared" si="18"/>
        <v>0</v>
      </c>
      <c r="AB428" s="7">
        <f t="shared" si="19"/>
        <v>0</v>
      </c>
      <c r="AC428" s="7">
        <f t="shared" si="20"/>
        <v>114</v>
      </c>
      <c r="AD428" s="7">
        <f t="shared" si="21"/>
        <v>0</v>
      </c>
      <c r="AE428" s="8" t="str" cm="1">
        <f t="array" ref="AE428">IFERROR(_xlfn.XLOOKUP(H428,Sheet1!$G:$G,Sheet1!$F:$F),IFERROR(_xlfn.XLOOKUP(1,(--($X$2:$X$1074=X428))*(--ISNUMBER(MATCH($H$2:$H$1074,Sheet1!$G:$G,0))),_xlfn.XLOOKUP($H$2:$H$1074,Sheet1!$G:$G,Sheet1!$F:$F,"")),"NOT FOUND"))</f>
        <v>GETKRTSFUT6205</v>
      </c>
      <c r="AF428" s="9" t="str">
        <f t="shared" si="26"/>
        <v>GREEN</v>
      </c>
      <c r="AG428" s="10" t="str">
        <f t="shared" si="27"/>
        <v>HARIPAL</v>
      </c>
      <c r="AH428" s="8" t="str" cm="1">
        <f t="array" ref="AH428">IF(OR(J428="",AE428="",AE428="NOT FOUND"),"",IF(Y428="RP",_xlfn.LET(_xlpm.desc,_xlfn.XLOOKUP(1,(--(Sheet1!$F$2:$F$754=AE428))*(--ISNUMBER(FIND("-",Sheet1!$W$2:$W$754,FIND("-",Sheet1!$W$2:$W$754)+1))),Sheet1!$W$2:$W$754,""),IF(_xlpm.desc="","NOT FOUND",LEFT(_xlpm.desc,FIND("-",_xlpm.desc,FIND("-",_xlpm.desc)+1))&amp;AE428)),LEFT(J428,FIND("-",J428,FIND("-",J428)+1))&amp;AE428))</f>
        <v>KRTS-APWN26-GETKRTSFUT6205</v>
      </c>
    </row>
    <row r="429" spans="1:34" ht="15.75" customHeight="1" x14ac:dyDescent="0.2">
      <c r="A429" t="s">
        <v>61</v>
      </c>
      <c r="B429" t="s">
        <v>151</v>
      </c>
      <c r="C429" t="s">
        <v>64</v>
      </c>
      <c r="D429" t="s">
        <v>98</v>
      </c>
      <c r="E429" t="s">
        <v>34</v>
      </c>
      <c r="F429" t="s">
        <v>35</v>
      </c>
      <c r="G429" t="s">
        <v>47</v>
      </c>
      <c r="H429" t="s">
        <v>105</v>
      </c>
      <c r="I429" t="s">
        <v>106</v>
      </c>
      <c r="J429" t="s">
        <v>107</v>
      </c>
      <c r="K429" t="s">
        <v>474</v>
      </c>
      <c r="L429" t="s">
        <v>40</v>
      </c>
      <c r="M429">
        <v>1</v>
      </c>
      <c r="N429">
        <v>186</v>
      </c>
      <c r="O429">
        <v>186</v>
      </c>
      <c r="P429" t="s">
        <v>41</v>
      </c>
      <c r="Q429">
        <v>314.7</v>
      </c>
      <c r="R429">
        <v>314.7</v>
      </c>
      <c r="S429">
        <v>2926.71</v>
      </c>
      <c r="T429">
        <v>58534.2</v>
      </c>
      <c r="U429">
        <v>5</v>
      </c>
      <c r="V429" t="s">
        <v>42</v>
      </c>
      <c r="W429" t="s">
        <v>474</v>
      </c>
      <c r="X429" s="6" t="str">
        <f t="shared" si="15"/>
        <v>441811106</v>
      </c>
      <c r="Y429" s="7" t="str">
        <f t="shared" si="16"/>
        <v>DC</v>
      </c>
      <c r="Z429" s="7">
        <f t="shared" si="17"/>
        <v>0</v>
      </c>
      <c r="AA429" s="7">
        <f t="shared" si="18"/>
        <v>186</v>
      </c>
      <c r="AB429" s="7">
        <f t="shared" si="19"/>
        <v>0</v>
      </c>
      <c r="AC429" s="7">
        <f t="shared" si="20"/>
        <v>0</v>
      </c>
      <c r="AD429" s="7">
        <f t="shared" si="21"/>
        <v>0</v>
      </c>
      <c r="AE429" s="8" t="str" cm="1">
        <f t="array" ref="AE429">IFERROR(_xlfn.XLOOKUP(H429,Sheet1!$G:$G,Sheet1!$F:$F),IFERROR(_xlfn.XLOOKUP(1,(--($X$2:$X$1074=X429))*(--ISNUMBER(MATCH($H$2:$H$1074,Sheet1!$G:$G,0))),_xlfn.XLOOKUP($H$2:$H$1074,Sheet1!$G:$G,Sheet1!$F:$F,"")),"NOT FOUND"))</f>
        <v>GETKRTSFUT6204</v>
      </c>
      <c r="AF429" s="9" t="str">
        <f t="shared" si="26"/>
        <v>GREEN</v>
      </c>
      <c r="AG429" s="10" t="str">
        <f t="shared" si="27"/>
        <v>HARIPAL</v>
      </c>
      <c r="AH429" s="8" t="str" cm="1">
        <f t="array" ref="AH429">IF(OR(J429="",AE429="",AE429="NOT FOUND"),"",IF(Y429="RP",_xlfn.LET(_xlpm.desc,_xlfn.XLOOKUP(1,(--(Sheet1!$F$2:$F$754=AE429))*(--ISNUMBER(FIND("-",Sheet1!$W$2:$W$754,FIND("-",Sheet1!$W$2:$W$754)+1))),Sheet1!$W$2:$W$754,""),IF(_xlpm.desc="","NOT FOUND",LEFT(_xlpm.desc,FIND("-",_xlpm.desc,FIND("-",_xlpm.desc)+1))&amp;AE429)),LEFT(J429,FIND("-",J429,FIND("-",J429)+1))&amp;AE429))</f>
        <v>KRTS-APWN26-GETKRTSFUT6204</v>
      </c>
    </row>
    <row r="430" spans="1:34" ht="15.75" customHeight="1" x14ac:dyDescent="0.2">
      <c r="A430" t="s">
        <v>61</v>
      </c>
      <c r="B430" t="s">
        <v>151</v>
      </c>
      <c r="C430" t="s">
        <v>64</v>
      </c>
      <c r="D430" t="s">
        <v>98</v>
      </c>
      <c r="E430" t="s">
        <v>34</v>
      </c>
      <c r="F430" t="s">
        <v>35</v>
      </c>
      <c r="G430" t="s">
        <v>55</v>
      </c>
      <c r="H430" t="s">
        <v>111</v>
      </c>
      <c r="I430" t="s">
        <v>112</v>
      </c>
      <c r="J430" t="s">
        <v>113</v>
      </c>
      <c r="K430" t="s">
        <v>474</v>
      </c>
      <c r="L430" t="s">
        <v>40</v>
      </c>
      <c r="M430">
        <v>1</v>
      </c>
      <c r="N430">
        <v>157</v>
      </c>
      <c r="O430">
        <v>157</v>
      </c>
      <c r="P430" t="s">
        <v>41</v>
      </c>
      <c r="Q430">
        <v>314.7</v>
      </c>
      <c r="R430">
        <v>314.7</v>
      </c>
      <c r="S430">
        <v>2470.4</v>
      </c>
      <c r="T430">
        <v>49407.9</v>
      </c>
      <c r="U430">
        <v>5</v>
      </c>
      <c r="V430" t="s">
        <v>42</v>
      </c>
      <c r="W430" t="s">
        <v>474</v>
      </c>
      <c r="X430" s="6" t="str">
        <f t="shared" si="15"/>
        <v>441811106</v>
      </c>
      <c r="Y430" s="7" t="str">
        <f t="shared" si="16"/>
        <v>DC</v>
      </c>
      <c r="Z430" s="7">
        <f t="shared" si="17"/>
        <v>0</v>
      </c>
      <c r="AA430" s="7">
        <f t="shared" si="18"/>
        <v>0</v>
      </c>
      <c r="AB430" s="7">
        <f t="shared" si="19"/>
        <v>0</v>
      </c>
      <c r="AC430" s="7">
        <f t="shared" si="20"/>
        <v>157</v>
      </c>
      <c r="AD430" s="7">
        <f t="shared" si="21"/>
        <v>0</v>
      </c>
      <c r="AE430" s="8" t="str" cm="1">
        <f t="array" ref="AE430">IFERROR(_xlfn.XLOOKUP(H430,Sheet1!$G:$G,Sheet1!$F:$F),IFERROR(_xlfn.XLOOKUP(1,(--($X$2:$X$1074=X430))*(--ISNUMBER(MATCH($H$2:$H$1074,Sheet1!$G:$G,0))),_xlfn.XLOOKUP($H$2:$H$1074,Sheet1!$G:$G,Sheet1!$F:$F,"")),"NOT FOUND"))</f>
        <v>GETKRTSFUT6204</v>
      </c>
      <c r="AF430" s="9" t="str">
        <f t="shared" si="26"/>
        <v>GREEN</v>
      </c>
      <c r="AG430" s="10" t="str">
        <f t="shared" si="27"/>
        <v>HARIPAL</v>
      </c>
      <c r="AH430" s="8" t="str" cm="1">
        <f t="array" ref="AH430">IF(OR(J430="",AE430="",AE430="NOT FOUND"),"",IF(Y430="RP",_xlfn.LET(_xlpm.desc,_xlfn.XLOOKUP(1,(--(Sheet1!$F$2:$F$754=AE430))*(--ISNUMBER(FIND("-",Sheet1!$W$2:$W$754,FIND("-",Sheet1!$W$2:$W$754)+1))),Sheet1!$W$2:$W$754,""),IF(_xlpm.desc="","NOT FOUND",LEFT(_xlpm.desc,FIND("-",_xlpm.desc,FIND("-",_xlpm.desc)+1))&amp;AE430)),LEFT(J430,FIND("-",J430,FIND("-",J430)+1))&amp;AE430))</f>
        <v>KRTS-APWN26-GETKRTSFUT6204</v>
      </c>
    </row>
    <row r="431" spans="1:34" ht="15.75" customHeight="1" x14ac:dyDescent="0.2">
      <c r="A431" t="s">
        <v>59</v>
      </c>
      <c r="B431" t="s">
        <v>152</v>
      </c>
      <c r="C431" t="s">
        <v>64</v>
      </c>
      <c r="D431" t="s">
        <v>81</v>
      </c>
      <c r="E431" t="s">
        <v>34</v>
      </c>
      <c r="F431" t="s">
        <v>35</v>
      </c>
      <c r="G431" t="s">
        <v>36</v>
      </c>
      <c r="H431" t="s">
        <v>134</v>
      </c>
      <c r="I431" t="s">
        <v>135</v>
      </c>
      <c r="J431" t="s">
        <v>136</v>
      </c>
      <c r="K431" t="s">
        <v>474</v>
      </c>
      <c r="L431" t="s">
        <v>40</v>
      </c>
      <c r="M431">
        <v>1</v>
      </c>
      <c r="N431">
        <v>30</v>
      </c>
      <c r="O431">
        <v>30</v>
      </c>
      <c r="P431" t="s">
        <v>41</v>
      </c>
      <c r="Q431">
        <v>394.7</v>
      </c>
      <c r="R431">
        <v>394.7</v>
      </c>
      <c r="S431">
        <v>592.04999999999995</v>
      </c>
      <c r="T431">
        <v>11841</v>
      </c>
      <c r="U431">
        <v>5</v>
      </c>
      <c r="V431" t="s">
        <v>42</v>
      </c>
      <c r="W431" t="s">
        <v>474</v>
      </c>
      <c r="X431" s="6" t="str">
        <f t="shared" si="15"/>
        <v>441811104</v>
      </c>
      <c r="Y431" s="7" t="str">
        <f t="shared" si="16"/>
        <v>DC</v>
      </c>
      <c r="Z431" s="7">
        <f t="shared" si="17"/>
        <v>0</v>
      </c>
      <c r="AA431" s="7">
        <f t="shared" si="18"/>
        <v>0</v>
      </c>
      <c r="AB431" s="7">
        <f t="shared" si="19"/>
        <v>0</v>
      </c>
      <c r="AC431" s="7">
        <f t="shared" si="20"/>
        <v>0</v>
      </c>
      <c r="AD431" s="7">
        <f t="shared" si="21"/>
        <v>30</v>
      </c>
      <c r="AE431" s="8" t="str" cm="1">
        <f t="array" ref="AE431">IFERROR(_xlfn.XLOOKUP(H431,Sheet1!$G:$G,Sheet1!$F:$F),IFERROR(_xlfn.XLOOKUP(1,(--($X$2:$X$1074=X431))*(--ISNUMBER(MATCH($H$2:$H$1074,Sheet1!$G:$G,0))),_xlfn.XLOOKUP($H$2:$H$1074,Sheet1!$G:$G,Sheet1!$F:$F,"")),"NOT FOUND"))</f>
        <v>GETKRTSFUT6202</v>
      </c>
      <c r="AF431" s="9" t="str">
        <f t="shared" si="26"/>
        <v>NAVY</v>
      </c>
      <c r="AG431" s="10" t="str">
        <f t="shared" si="27"/>
        <v>JHAJJAR</v>
      </c>
      <c r="AH431" s="8" t="str" cm="1">
        <f t="array" ref="AH431">IF(OR(J431="",AE431="",AE431="NOT FOUND"),"",IF(Y431="RP",_xlfn.LET(_xlpm.desc,_xlfn.XLOOKUP(1,(--(Sheet1!$F$2:$F$754=AE431))*(--ISNUMBER(FIND("-",Sheet1!$W$2:$W$754,FIND("-",Sheet1!$W$2:$W$754)+1))),Sheet1!$W$2:$W$754,""),IF(_xlpm.desc="","NOT FOUND",LEFT(_xlpm.desc,FIND("-",_xlpm.desc,FIND("-",_xlpm.desc)+1))&amp;AE431)),LEFT(J431,FIND("-",J431,FIND("-",J431)+1))&amp;AE431))</f>
        <v>KRTS-APWN26-GETKRTSFUT6202</v>
      </c>
    </row>
    <row r="432" spans="1:34" ht="15.75" customHeight="1" x14ac:dyDescent="0.2">
      <c r="A432" t="s">
        <v>59</v>
      </c>
      <c r="B432" t="s">
        <v>152</v>
      </c>
      <c r="C432" t="s">
        <v>64</v>
      </c>
      <c r="D432" t="s">
        <v>81</v>
      </c>
      <c r="E432" t="s">
        <v>34</v>
      </c>
      <c r="F432" t="s">
        <v>35</v>
      </c>
      <c r="G432" t="s">
        <v>43</v>
      </c>
      <c r="H432" t="s">
        <v>137</v>
      </c>
      <c r="I432" t="s">
        <v>138</v>
      </c>
      <c r="J432" t="s">
        <v>139</v>
      </c>
      <c r="K432" t="s">
        <v>474</v>
      </c>
      <c r="L432" t="s">
        <v>40</v>
      </c>
      <c r="M432">
        <v>1</v>
      </c>
      <c r="N432">
        <v>113</v>
      </c>
      <c r="O432">
        <v>113</v>
      </c>
      <c r="P432" t="s">
        <v>41</v>
      </c>
      <c r="Q432">
        <v>394.7</v>
      </c>
      <c r="R432">
        <v>394.7</v>
      </c>
      <c r="S432">
        <v>2230.06</v>
      </c>
      <c r="T432">
        <v>44601.1</v>
      </c>
      <c r="U432">
        <v>5</v>
      </c>
      <c r="V432" t="s">
        <v>42</v>
      </c>
      <c r="W432" t="s">
        <v>474</v>
      </c>
      <c r="X432" s="6" t="str">
        <f t="shared" si="15"/>
        <v>441811104</v>
      </c>
      <c r="Y432" s="7" t="str">
        <f t="shared" si="16"/>
        <v>DC</v>
      </c>
      <c r="Z432" s="7">
        <f t="shared" si="17"/>
        <v>0</v>
      </c>
      <c r="AA432" s="7">
        <f t="shared" si="18"/>
        <v>0</v>
      </c>
      <c r="AB432" s="7">
        <f t="shared" si="19"/>
        <v>113</v>
      </c>
      <c r="AC432" s="7">
        <f t="shared" si="20"/>
        <v>0</v>
      </c>
      <c r="AD432" s="7">
        <f t="shared" si="21"/>
        <v>0</v>
      </c>
      <c r="AE432" s="8" t="str" cm="1">
        <f t="array" ref="AE432">IFERROR(_xlfn.XLOOKUP(H432,Sheet1!$G:$G,Sheet1!$F:$F),IFERROR(_xlfn.XLOOKUP(1,(--($X$2:$X$1074=X432))*(--ISNUMBER(MATCH($H$2:$H$1074,Sheet1!$G:$G,0))),_xlfn.XLOOKUP($H$2:$H$1074,Sheet1!$G:$G,Sheet1!$F:$F,"")),"NOT FOUND"))</f>
        <v>GETKRTSFUT6202</v>
      </c>
      <c r="AF432" s="9" t="str">
        <f t="shared" si="26"/>
        <v>NAVY</v>
      </c>
      <c r="AG432" s="10" t="str">
        <f t="shared" si="27"/>
        <v>JHAJJAR</v>
      </c>
      <c r="AH432" s="8" t="str" cm="1">
        <f t="array" ref="AH432">IF(OR(J432="",AE432="",AE432="NOT FOUND"),"",IF(Y432="RP",_xlfn.LET(_xlpm.desc,_xlfn.XLOOKUP(1,(--(Sheet1!$F$2:$F$754=AE432))*(--ISNUMBER(FIND("-",Sheet1!$W$2:$W$754,FIND("-",Sheet1!$W$2:$W$754)+1))),Sheet1!$W$2:$W$754,""),IF(_xlpm.desc="","NOT FOUND",LEFT(_xlpm.desc,FIND("-",_xlpm.desc,FIND("-",_xlpm.desc)+1))&amp;AE432)),LEFT(J432,FIND("-",J432,FIND("-",J432)+1))&amp;AE432))</f>
        <v>KRTS-APWN26-GETKRTSFUT6202</v>
      </c>
    </row>
    <row r="433" spans="1:34" ht="15.75" customHeight="1" x14ac:dyDescent="0.2">
      <c r="A433" t="s">
        <v>59</v>
      </c>
      <c r="B433" t="s">
        <v>152</v>
      </c>
      <c r="C433" t="s">
        <v>64</v>
      </c>
      <c r="D433" t="s">
        <v>81</v>
      </c>
      <c r="E433" t="s">
        <v>34</v>
      </c>
      <c r="F433" t="s">
        <v>35</v>
      </c>
      <c r="G433" t="s">
        <v>47</v>
      </c>
      <c r="H433" t="s">
        <v>140</v>
      </c>
      <c r="I433" t="s">
        <v>141</v>
      </c>
      <c r="J433" t="s">
        <v>142</v>
      </c>
      <c r="K433" t="s">
        <v>474</v>
      </c>
      <c r="L433" t="s">
        <v>40</v>
      </c>
      <c r="M433">
        <v>1</v>
      </c>
      <c r="N433">
        <v>113</v>
      </c>
      <c r="O433">
        <v>113</v>
      </c>
      <c r="P433" t="s">
        <v>41</v>
      </c>
      <c r="Q433">
        <v>394.7</v>
      </c>
      <c r="R433">
        <v>394.7</v>
      </c>
      <c r="S433">
        <v>2230.06</v>
      </c>
      <c r="T433">
        <v>44601.1</v>
      </c>
      <c r="U433">
        <v>5</v>
      </c>
      <c r="V433" t="s">
        <v>42</v>
      </c>
      <c r="W433" t="s">
        <v>474</v>
      </c>
      <c r="X433" s="6" t="str">
        <f t="shared" si="15"/>
        <v>441811104</v>
      </c>
      <c r="Y433" s="7" t="str">
        <f t="shared" si="16"/>
        <v>DC</v>
      </c>
      <c r="Z433" s="7">
        <f t="shared" si="17"/>
        <v>0</v>
      </c>
      <c r="AA433" s="7">
        <f t="shared" si="18"/>
        <v>113</v>
      </c>
      <c r="AB433" s="7">
        <f t="shared" si="19"/>
        <v>0</v>
      </c>
      <c r="AC433" s="7">
        <f t="shared" si="20"/>
        <v>0</v>
      </c>
      <c r="AD433" s="7">
        <f t="shared" si="21"/>
        <v>0</v>
      </c>
      <c r="AE433" s="8" t="str" cm="1">
        <f t="array" ref="AE433">IFERROR(_xlfn.XLOOKUP(H433,Sheet1!$G:$G,Sheet1!$F:$F),IFERROR(_xlfn.XLOOKUP(1,(--($X$2:$X$1074=X433))*(--ISNUMBER(MATCH($H$2:$H$1074,Sheet1!$G:$G,0))),_xlfn.XLOOKUP($H$2:$H$1074,Sheet1!$G:$G,Sheet1!$F:$F,"")),"NOT FOUND"))</f>
        <v>GETKRTSFUT6202</v>
      </c>
      <c r="AF433" s="9" t="str">
        <f t="shared" si="26"/>
        <v>NAVY</v>
      </c>
      <c r="AG433" s="10" t="str">
        <f t="shared" si="27"/>
        <v>JHAJJAR</v>
      </c>
      <c r="AH433" s="8" t="str" cm="1">
        <f t="array" ref="AH433">IF(OR(J433="",AE433="",AE433="NOT FOUND"),"",IF(Y433="RP",_xlfn.LET(_xlpm.desc,_xlfn.XLOOKUP(1,(--(Sheet1!$F$2:$F$754=AE433))*(--ISNUMBER(FIND("-",Sheet1!$W$2:$W$754,FIND("-",Sheet1!$W$2:$W$754)+1))),Sheet1!$W$2:$W$754,""),IF(_xlpm.desc="","NOT FOUND",LEFT(_xlpm.desc,FIND("-",_xlpm.desc,FIND("-",_xlpm.desc)+1))&amp;AE433)),LEFT(J433,FIND("-",J433,FIND("-",J433)+1))&amp;AE433))</f>
        <v>KRTS-APWN26-GETKRTSFUT6202</v>
      </c>
    </row>
    <row r="434" spans="1:34" ht="15.75" customHeight="1" x14ac:dyDescent="0.2">
      <c r="A434" t="s">
        <v>59</v>
      </c>
      <c r="B434" t="s">
        <v>152</v>
      </c>
      <c r="C434" t="s">
        <v>64</v>
      </c>
      <c r="D434" t="s">
        <v>81</v>
      </c>
      <c r="E434" t="s">
        <v>34</v>
      </c>
      <c r="F434" t="s">
        <v>35</v>
      </c>
      <c r="G434" t="s">
        <v>51</v>
      </c>
      <c r="H434" t="s">
        <v>143</v>
      </c>
      <c r="I434" t="s">
        <v>144</v>
      </c>
      <c r="J434" t="s">
        <v>145</v>
      </c>
      <c r="K434" t="s">
        <v>474</v>
      </c>
      <c r="L434" t="s">
        <v>40</v>
      </c>
      <c r="M434">
        <v>1</v>
      </c>
      <c r="N434">
        <v>30</v>
      </c>
      <c r="O434">
        <v>30</v>
      </c>
      <c r="P434" t="s">
        <v>41</v>
      </c>
      <c r="Q434">
        <v>394.7</v>
      </c>
      <c r="R434">
        <v>394.7</v>
      </c>
      <c r="S434">
        <v>592.04999999999995</v>
      </c>
      <c r="T434">
        <v>11841</v>
      </c>
      <c r="U434">
        <v>5</v>
      </c>
      <c r="V434" t="s">
        <v>42</v>
      </c>
      <c r="W434" t="s">
        <v>474</v>
      </c>
      <c r="X434" s="6" t="str">
        <f t="shared" si="15"/>
        <v>441811104</v>
      </c>
      <c r="Y434" s="7" t="str">
        <f t="shared" si="16"/>
        <v>DC</v>
      </c>
      <c r="Z434" s="7">
        <f t="shared" si="17"/>
        <v>30</v>
      </c>
      <c r="AA434" s="7">
        <f t="shared" si="18"/>
        <v>0</v>
      </c>
      <c r="AB434" s="7">
        <f t="shared" si="19"/>
        <v>0</v>
      </c>
      <c r="AC434" s="7">
        <f t="shared" si="20"/>
        <v>0</v>
      </c>
      <c r="AD434" s="7">
        <f t="shared" si="21"/>
        <v>0</v>
      </c>
      <c r="AE434" s="8" t="str" cm="1">
        <f t="array" ref="AE434">IFERROR(_xlfn.XLOOKUP(H434,Sheet1!$G:$G,Sheet1!$F:$F),IFERROR(_xlfn.XLOOKUP(1,(--($X$2:$X$1074=X434))*(--ISNUMBER(MATCH($H$2:$H$1074,Sheet1!$G:$G,0))),_xlfn.XLOOKUP($H$2:$H$1074,Sheet1!$G:$G,Sheet1!$F:$F,"")),"NOT FOUND"))</f>
        <v>GETKRTSFUT6202</v>
      </c>
      <c r="AF434" s="9" t="str">
        <f t="shared" si="26"/>
        <v>NAVY</v>
      </c>
      <c r="AG434" s="10" t="str">
        <f t="shared" si="27"/>
        <v>JHAJJAR</v>
      </c>
      <c r="AH434" s="8" t="str" cm="1">
        <f t="array" ref="AH434">IF(OR(J434="",AE434="",AE434="NOT FOUND"),"",IF(Y434="RP",_xlfn.LET(_xlpm.desc,_xlfn.XLOOKUP(1,(--(Sheet1!$F$2:$F$754=AE434))*(--ISNUMBER(FIND("-",Sheet1!$W$2:$W$754,FIND("-",Sheet1!$W$2:$W$754)+1))),Sheet1!$W$2:$W$754,""),IF(_xlpm.desc="","NOT FOUND",LEFT(_xlpm.desc,FIND("-",_xlpm.desc,FIND("-",_xlpm.desc)+1))&amp;AE434)),LEFT(J434,FIND("-",J434,FIND("-",J434)+1))&amp;AE434))</f>
        <v>KRTS-APWN26-GETKRTSFUT6202</v>
      </c>
    </row>
    <row r="435" spans="1:34" ht="15.75" customHeight="1" x14ac:dyDescent="0.2">
      <c r="A435" t="s">
        <v>59</v>
      </c>
      <c r="B435" t="s">
        <v>152</v>
      </c>
      <c r="C435" t="s">
        <v>64</v>
      </c>
      <c r="D435" t="s">
        <v>81</v>
      </c>
      <c r="E435" t="s">
        <v>34</v>
      </c>
      <c r="F435" t="s">
        <v>35</v>
      </c>
      <c r="G435" t="s">
        <v>55</v>
      </c>
      <c r="H435" t="s">
        <v>146</v>
      </c>
      <c r="I435" t="s">
        <v>147</v>
      </c>
      <c r="J435" t="s">
        <v>148</v>
      </c>
      <c r="K435" t="s">
        <v>474</v>
      </c>
      <c r="L435" t="s">
        <v>40</v>
      </c>
      <c r="M435">
        <v>1</v>
      </c>
      <c r="N435">
        <v>95</v>
      </c>
      <c r="O435">
        <v>95</v>
      </c>
      <c r="P435" t="s">
        <v>41</v>
      </c>
      <c r="Q435">
        <v>394.7</v>
      </c>
      <c r="R435">
        <v>394.7</v>
      </c>
      <c r="S435">
        <v>1874.83</v>
      </c>
      <c r="T435">
        <v>37496.5</v>
      </c>
      <c r="U435">
        <v>5</v>
      </c>
      <c r="V435" t="s">
        <v>42</v>
      </c>
      <c r="W435" t="s">
        <v>474</v>
      </c>
      <c r="X435" s="6" t="str">
        <f t="shared" si="15"/>
        <v>441811104</v>
      </c>
      <c r="Y435" s="7" t="str">
        <f t="shared" si="16"/>
        <v>DC</v>
      </c>
      <c r="Z435" s="7">
        <f t="shared" si="17"/>
        <v>0</v>
      </c>
      <c r="AA435" s="7">
        <f t="shared" si="18"/>
        <v>0</v>
      </c>
      <c r="AB435" s="7">
        <f t="shared" si="19"/>
        <v>0</v>
      </c>
      <c r="AC435" s="7">
        <f t="shared" si="20"/>
        <v>95</v>
      </c>
      <c r="AD435" s="7">
        <f t="shared" si="21"/>
        <v>0</v>
      </c>
      <c r="AE435" s="8" t="str" cm="1">
        <f t="array" ref="AE435">IFERROR(_xlfn.XLOOKUP(H435,Sheet1!$G:$G,Sheet1!$F:$F),IFERROR(_xlfn.XLOOKUP(1,(--($X$2:$X$1074=X435))*(--ISNUMBER(MATCH($H$2:$H$1074,Sheet1!$G:$G,0))),_xlfn.XLOOKUP($H$2:$H$1074,Sheet1!$G:$G,Sheet1!$F:$F,"")),"NOT FOUND"))</f>
        <v>GETKRTSFUT6202</v>
      </c>
      <c r="AF435" s="9" t="str">
        <f t="shared" si="26"/>
        <v>NAVY</v>
      </c>
      <c r="AG435" s="10" t="str">
        <f t="shared" si="27"/>
        <v>JHAJJAR</v>
      </c>
      <c r="AH435" s="8" t="str" cm="1">
        <f t="array" ref="AH435">IF(OR(J435="",AE435="",AE435="NOT FOUND"),"",IF(Y435="RP",_xlfn.LET(_xlpm.desc,_xlfn.XLOOKUP(1,(--(Sheet1!$F$2:$F$754=AE435))*(--ISNUMBER(FIND("-",Sheet1!$W$2:$W$754,FIND("-",Sheet1!$W$2:$W$754)+1))),Sheet1!$W$2:$W$754,""),IF(_xlpm.desc="","NOT FOUND",LEFT(_xlpm.desc,FIND("-",_xlpm.desc,FIND("-",_xlpm.desc)+1))&amp;AE435)),LEFT(J435,FIND("-",J435,FIND("-",J435)+1))&amp;AE435))</f>
        <v>KRTS-APWN26-GETKRTSFUT6202</v>
      </c>
    </row>
    <row r="436" spans="1:34" ht="15.75" customHeight="1" x14ac:dyDescent="0.2">
      <c r="A436" t="s">
        <v>59</v>
      </c>
      <c r="B436" t="s">
        <v>153</v>
      </c>
      <c r="C436" t="s">
        <v>64</v>
      </c>
      <c r="D436" t="s">
        <v>98</v>
      </c>
      <c r="E436" t="s">
        <v>34</v>
      </c>
      <c r="F436" t="s">
        <v>35</v>
      </c>
      <c r="G436" t="s">
        <v>36</v>
      </c>
      <c r="H436" t="s">
        <v>154</v>
      </c>
      <c r="I436" t="s">
        <v>155</v>
      </c>
      <c r="J436" t="s">
        <v>39</v>
      </c>
      <c r="K436" t="s">
        <v>474</v>
      </c>
      <c r="L436" t="s">
        <v>40</v>
      </c>
      <c r="M436">
        <v>1</v>
      </c>
      <c r="N436">
        <v>30</v>
      </c>
      <c r="O436">
        <v>30</v>
      </c>
      <c r="P436" t="s">
        <v>41</v>
      </c>
      <c r="Q436">
        <v>326.7</v>
      </c>
      <c r="R436">
        <v>326.7</v>
      </c>
      <c r="S436">
        <v>490.05</v>
      </c>
      <c r="T436">
        <v>9801</v>
      </c>
      <c r="U436">
        <v>5</v>
      </c>
      <c r="V436" t="s">
        <v>42</v>
      </c>
      <c r="W436" t="s">
        <v>474</v>
      </c>
      <c r="X436" s="6" t="str">
        <f t="shared" si="15"/>
        <v>441811103</v>
      </c>
      <c r="Y436" s="7" t="str">
        <f t="shared" si="16"/>
        <v>DC</v>
      </c>
      <c r="Z436" s="7">
        <f t="shared" si="17"/>
        <v>0</v>
      </c>
      <c r="AA436" s="7">
        <f t="shared" si="18"/>
        <v>0</v>
      </c>
      <c r="AB436" s="7">
        <f t="shared" si="19"/>
        <v>0</v>
      </c>
      <c r="AC436" s="7">
        <f t="shared" si="20"/>
        <v>0</v>
      </c>
      <c r="AD436" s="7">
        <f t="shared" si="21"/>
        <v>30</v>
      </c>
      <c r="AE436" s="8" t="str" cm="1">
        <f t="array" ref="AE436">IFERROR(_xlfn.XLOOKUP(H436,Sheet1!$G:$G,Sheet1!$F:$F),IFERROR(_xlfn.XLOOKUP(1,(--($X$2:$X$1074=X436))*(--ISNUMBER(MATCH($H$2:$H$1074,Sheet1!$G:$G,0))),_xlfn.XLOOKUP($H$2:$H$1074,Sheet1!$G:$G,Sheet1!$F:$F,"")),"NOT FOUND"))</f>
        <v>GETKRTSFUT6126</v>
      </c>
      <c r="AF436" s="9" t="str">
        <f t="shared" si="26"/>
        <v>OFF WHITE</v>
      </c>
      <c r="AG436" s="10" t="str">
        <f t="shared" si="27"/>
        <v>JHAJJAR</v>
      </c>
      <c r="AH436" s="8" t="str" cm="1">
        <f t="array" ref="AH436">IF(OR(J436="",AE436="",AE436="NOT FOUND"),"",IF(Y436="RP",_xlfn.LET(_xlpm.desc,_xlfn.XLOOKUP(1,(--(Sheet1!$F$2:$F$754=AE436))*(--ISNUMBER(FIND("-",Sheet1!$W$2:$W$754,FIND("-",Sheet1!$W$2:$W$754)+1))),Sheet1!$W$2:$W$754,""),IF(_xlpm.desc="","NOT FOUND",LEFT(_xlpm.desc,FIND("-",_xlpm.desc,FIND("-",_xlpm.desc)+1))&amp;AE436)),LEFT(J436,FIND("-",J436,FIND("-",J436)+1))&amp;AE436))</f>
        <v>KRTS-APWN26-GETKRTSFUT6126</v>
      </c>
    </row>
    <row r="437" spans="1:34" ht="15.75" customHeight="1" x14ac:dyDescent="0.2">
      <c r="A437" t="s">
        <v>59</v>
      </c>
      <c r="B437" t="s">
        <v>153</v>
      </c>
      <c r="C437" t="s">
        <v>64</v>
      </c>
      <c r="D437" t="s">
        <v>98</v>
      </c>
      <c r="E437" t="s">
        <v>34</v>
      </c>
      <c r="F437" t="s">
        <v>35</v>
      </c>
      <c r="G437" t="s">
        <v>51</v>
      </c>
      <c r="H437" t="s">
        <v>162</v>
      </c>
      <c r="I437" t="s">
        <v>163</v>
      </c>
      <c r="J437" t="s">
        <v>164</v>
      </c>
      <c r="K437" t="s">
        <v>474</v>
      </c>
      <c r="L437" t="s">
        <v>40</v>
      </c>
      <c r="M437">
        <v>1</v>
      </c>
      <c r="N437">
        <v>30</v>
      </c>
      <c r="O437">
        <v>30</v>
      </c>
      <c r="P437" t="s">
        <v>41</v>
      </c>
      <c r="Q437">
        <v>326.7</v>
      </c>
      <c r="R437">
        <v>326.7</v>
      </c>
      <c r="S437">
        <v>490.05</v>
      </c>
      <c r="T437">
        <v>9801</v>
      </c>
      <c r="U437">
        <v>5</v>
      </c>
      <c r="V437" t="s">
        <v>42</v>
      </c>
      <c r="W437" t="s">
        <v>474</v>
      </c>
      <c r="X437" s="6" t="str">
        <f t="shared" si="15"/>
        <v>441811103</v>
      </c>
      <c r="Y437" s="7" t="str">
        <f t="shared" si="16"/>
        <v>DC</v>
      </c>
      <c r="Z437" s="7">
        <f t="shared" si="17"/>
        <v>30</v>
      </c>
      <c r="AA437" s="7">
        <f t="shared" si="18"/>
        <v>0</v>
      </c>
      <c r="AB437" s="7">
        <f t="shared" si="19"/>
        <v>0</v>
      </c>
      <c r="AC437" s="7">
        <f t="shared" si="20"/>
        <v>0</v>
      </c>
      <c r="AD437" s="7">
        <f t="shared" si="21"/>
        <v>0</v>
      </c>
      <c r="AE437" s="8" t="str" cm="1">
        <f t="array" ref="AE437">IFERROR(_xlfn.XLOOKUP(H437,Sheet1!$G:$G,Sheet1!$F:$F),IFERROR(_xlfn.XLOOKUP(1,(--($X$2:$X$1074=X437))*(--ISNUMBER(MATCH($H$2:$H$1074,Sheet1!$G:$G,0))),_xlfn.XLOOKUP($H$2:$H$1074,Sheet1!$G:$G,Sheet1!$F:$F,"")),"NOT FOUND"))</f>
        <v>GETKRTSFUT6126</v>
      </c>
      <c r="AF437" s="9" t="str">
        <f t="shared" si="26"/>
        <v>OFF WHITE</v>
      </c>
      <c r="AG437" s="10" t="str">
        <f t="shared" si="27"/>
        <v>JHAJJAR</v>
      </c>
      <c r="AH437" s="8" t="str" cm="1">
        <f t="array" ref="AH437">IF(OR(J437="",AE437="",AE437="NOT FOUND"),"",IF(Y437="RP",_xlfn.LET(_xlpm.desc,_xlfn.XLOOKUP(1,(--(Sheet1!$F$2:$F$754=AE437))*(--ISNUMBER(FIND("-",Sheet1!$W$2:$W$754,FIND("-",Sheet1!$W$2:$W$754)+1))),Sheet1!$W$2:$W$754,""),IF(_xlpm.desc="","NOT FOUND",LEFT(_xlpm.desc,FIND("-",_xlpm.desc,FIND("-",_xlpm.desc)+1))&amp;AE437)),LEFT(J437,FIND("-",J437,FIND("-",J437)+1))&amp;AE437))</f>
        <v>KRTS-APWN26-GETKRTSFUT6126</v>
      </c>
    </row>
    <row r="438" spans="1:34" ht="15.75" customHeight="1" x14ac:dyDescent="0.2">
      <c r="A438" t="s">
        <v>61</v>
      </c>
      <c r="B438" t="s">
        <v>167</v>
      </c>
      <c r="C438" t="s">
        <v>64</v>
      </c>
      <c r="D438" t="s">
        <v>115</v>
      </c>
      <c r="E438" t="s">
        <v>34</v>
      </c>
      <c r="F438" t="s">
        <v>35</v>
      </c>
      <c r="G438" t="s">
        <v>36</v>
      </c>
      <c r="H438" t="s">
        <v>116</v>
      </c>
      <c r="I438" t="s">
        <v>117</v>
      </c>
      <c r="J438" t="s">
        <v>118</v>
      </c>
      <c r="K438" t="s">
        <v>474</v>
      </c>
      <c r="L438" t="s">
        <v>40</v>
      </c>
      <c r="M438">
        <v>1</v>
      </c>
      <c r="N438">
        <v>30</v>
      </c>
      <c r="O438">
        <v>30</v>
      </c>
      <c r="P438" t="s">
        <v>41</v>
      </c>
      <c r="Q438">
        <v>319.7</v>
      </c>
      <c r="R438">
        <v>319.7</v>
      </c>
      <c r="S438">
        <v>479.55</v>
      </c>
      <c r="T438">
        <v>9591</v>
      </c>
      <c r="U438">
        <v>5</v>
      </c>
      <c r="V438" t="s">
        <v>42</v>
      </c>
      <c r="W438" t="s">
        <v>474</v>
      </c>
      <c r="X438" s="6" t="str">
        <f t="shared" si="15"/>
        <v>441811105</v>
      </c>
      <c r="Y438" s="7" t="str">
        <f t="shared" si="16"/>
        <v>DC</v>
      </c>
      <c r="Z438" s="7">
        <f t="shared" si="17"/>
        <v>0</v>
      </c>
      <c r="AA438" s="7">
        <f t="shared" si="18"/>
        <v>0</v>
      </c>
      <c r="AB438" s="7">
        <f t="shared" si="19"/>
        <v>0</v>
      </c>
      <c r="AC438" s="7">
        <f t="shared" si="20"/>
        <v>0</v>
      </c>
      <c r="AD438" s="7">
        <f t="shared" si="21"/>
        <v>30</v>
      </c>
      <c r="AE438" s="8" t="str" cm="1">
        <f t="array" ref="AE438">IFERROR(_xlfn.XLOOKUP(H438,Sheet1!$G:$G,Sheet1!$F:$F),IFERROR(_xlfn.XLOOKUP(1,(--($X$2:$X$1074=X438))*(--ISNUMBER(MATCH($H$2:$H$1074,Sheet1!$G:$G,0))),_xlfn.XLOOKUP($H$2:$H$1074,Sheet1!$G:$G,Sheet1!$F:$F,"")),"NOT FOUND"))</f>
        <v>GETKRTSFUT6203</v>
      </c>
      <c r="AF438" s="9" t="str">
        <f t="shared" si="26"/>
        <v>BLACK</v>
      </c>
      <c r="AG438" s="10" t="str">
        <f t="shared" si="27"/>
        <v>HARIPAL</v>
      </c>
      <c r="AH438" s="8" t="str" cm="1">
        <f t="array" ref="AH438">IF(OR(J438="",AE438="",AE438="NOT FOUND"),"",IF(Y438="RP",_xlfn.LET(_xlpm.desc,_xlfn.XLOOKUP(1,(--(Sheet1!$F$2:$F$754=AE438))*(--ISNUMBER(FIND("-",Sheet1!$W$2:$W$754,FIND("-",Sheet1!$W$2:$W$754)+1))),Sheet1!$W$2:$W$754,""),IF(_xlpm.desc="","NOT FOUND",LEFT(_xlpm.desc,FIND("-",_xlpm.desc,FIND("-",_xlpm.desc)+1))&amp;AE438)),LEFT(J438,FIND("-",J438,FIND("-",J438)+1))&amp;AE438))</f>
        <v>KRTS-APWN26-GETKRTSFUT6203</v>
      </c>
    </row>
    <row r="439" spans="1:34" ht="15.75" customHeight="1" x14ac:dyDescent="0.2">
      <c r="A439" t="s">
        <v>61</v>
      </c>
      <c r="B439" t="s">
        <v>167</v>
      </c>
      <c r="C439" t="s">
        <v>64</v>
      </c>
      <c r="D439" t="s">
        <v>115</v>
      </c>
      <c r="E439" t="s">
        <v>34</v>
      </c>
      <c r="F439" t="s">
        <v>35</v>
      </c>
      <c r="G439" t="s">
        <v>43</v>
      </c>
      <c r="H439" t="s">
        <v>119</v>
      </c>
      <c r="I439" t="s">
        <v>120</v>
      </c>
      <c r="J439" t="s">
        <v>121</v>
      </c>
      <c r="K439" t="s">
        <v>474</v>
      </c>
      <c r="L439" t="s">
        <v>40</v>
      </c>
      <c r="M439">
        <v>1</v>
      </c>
      <c r="N439">
        <v>186</v>
      </c>
      <c r="O439">
        <v>186</v>
      </c>
      <c r="P439" t="s">
        <v>41</v>
      </c>
      <c r="Q439">
        <v>319.7</v>
      </c>
      <c r="R439">
        <v>319.7</v>
      </c>
      <c r="S439">
        <v>2973.21</v>
      </c>
      <c r="T439">
        <v>59464.2</v>
      </c>
      <c r="U439">
        <v>5</v>
      </c>
      <c r="V439" t="s">
        <v>42</v>
      </c>
      <c r="W439" t="s">
        <v>474</v>
      </c>
      <c r="X439" s="6" t="str">
        <f t="shared" si="15"/>
        <v>441811105</v>
      </c>
      <c r="Y439" s="7" t="str">
        <f t="shared" si="16"/>
        <v>DC</v>
      </c>
      <c r="Z439" s="7">
        <f t="shared" si="17"/>
        <v>0</v>
      </c>
      <c r="AA439" s="7">
        <f t="shared" si="18"/>
        <v>0</v>
      </c>
      <c r="AB439" s="7">
        <f t="shared" si="19"/>
        <v>186</v>
      </c>
      <c r="AC439" s="7">
        <f t="shared" si="20"/>
        <v>0</v>
      </c>
      <c r="AD439" s="7">
        <f t="shared" si="21"/>
        <v>0</v>
      </c>
      <c r="AE439" s="8" t="str" cm="1">
        <f t="array" ref="AE439">IFERROR(_xlfn.XLOOKUP(H439,Sheet1!$G:$G,Sheet1!$F:$F),IFERROR(_xlfn.XLOOKUP(1,(--($X$2:$X$1074=X439))*(--ISNUMBER(MATCH($H$2:$H$1074,Sheet1!$G:$G,0))),_xlfn.XLOOKUP($H$2:$H$1074,Sheet1!$G:$G,Sheet1!$F:$F,"")),"NOT FOUND"))</f>
        <v>GETKRTSFUT6203</v>
      </c>
      <c r="AF439" s="9" t="str">
        <f t="shared" si="26"/>
        <v>BLACK</v>
      </c>
      <c r="AG439" s="10" t="str">
        <f t="shared" si="27"/>
        <v>HARIPAL</v>
      </c>
      <c r="AH439" s="8" t="str" cm="1">
        <f t="array" ref="AH439">IF(OR(J439="",AE439="",AE439="NOT FOUND"),"",IF(Y439="RP",_xlfn.LET(_xlpm.desc,_xlfn.XLOOKUP(1,(--(Sheet1!$F$2:$F$754=AE439))*(--ISNUMBER(FIND("-",Sheet1!$W$2:$W$754,FIND("-",Sheet1!$W$2:$W$754)+1))),Sheet1!$W$2:$W$754,""),IF(_xlpm.desc="","NOT FOUND",LEFT(_xlpm.desc,FIND("-",_xlpm.desc,FIND("-",_xlpm.desc)+1))&amp;AE439)),LEFT(J439,FIND("-",J439,FIND("-",J439)+1))&amp;AE439))</f>
        <v>KRTS-APWN26-GETKRTSFUT6203</v>
      </c>
    </row>
    <row r="440" spans="1:34" ht="15.75" customHeight="1" x14ac:dyDescent="0.2">
      <c r="A440" t="s">
        <v>61</v>
      </c>
      <c r="B440" t="s">
        <v>167</v>
      </c>
      <c r="C440" t="s">
        <v>64</v>
      </c>
      <c r="D440" t="s">
        <v>115</v>
      </c>
      <c r="E440" t="s">
        <v>34</v>
      </c>
      <c r="F440" t="s">
        <v>35</v>
      </c>
      <c r="G440" t="s">
        <v>47</v>
      </c>
      <c r="H440" t="s">
        <v>122</v>
      </c>
      <c r="I440" t="s">
        <v>123</v>
      </c>
      <c r="J440" t="s">
        <v>124</v>
      </c>
      <c r="K440" t="s">
        <v>474</v>
      </c>
      <c r="L440" t="s">
        <v>40</v>
      </c>
      <c r="M440">
        <v>1</v>
      </c>
      <c r="N440">
        <v>186</v>
      </c>
      <c r="O440">
        <v>186</v>
      </c>
      <c r="P440" t="s">
        <v>41</v>
      </c>
      <c r="Q440">
        <v>319.7</v>
      </c>
      <c r="R440">
        <v>319.7</v>
      </c>
      <c r="S440">
        <v>2973.21</v>
      </c>
      <c r="T440">
        <v>59464.2</v>
      </c>
      <c r="U440">
        <v>5</v>
      </c>
      <c r="V440" t="s">
        <v>42</v>
      </c>
      <c r="W440" t="s">
        <v>474</v>
      </c>
      <c r="X440" s="6" t="str">
        <f t="shared" si="15"/>
        <v>441811105</v>
      </c>
      <c r="Y440" s="7" t="str">
        <f t="shared" si="16"/>
        <v>DC</v>
      </c>
      <c r="Z440" s="7">
        <f t="shared" si="17"/>
        <v>0</v>
      </c>
      <c r="AA440" s="7">
        <f t="shared" si="18"/>
        <v>186</v>
      </c>
      <c r="AB440" s="7">
        <f t="shared" si="19"/>
        <v>0</v>
      </c>
      <c r="AC440" s="7">
        <f t="shared" si="20"/>
        <v>0</v>
      </c>
      <c r="AD440" s="7">
        <f t="shared" si="21"/>
        <v>0</v>
      </c>
      <c r="AE440" s="8" t="str" cm="1">
        <f t="array" ref="AE440">IFERROR(_xlfn.XLOOKUP(H440,Sheet1!$G:$G,Sheet1!$F:$F),IFERROR(_xlfn.XLOOKUP(1,(--($X$2:$X$1074=X440))*(--ISNUMBER(MATCH($H$2:$H$1074,Sheet1!$G:$G,0))),_xlfn.XLOOKUP($H$2:$H$1074,Sheet1!$G:$G,Sheet1!$F:$F,"")),"NOT FOUND"))</f>
        <v>GETKRTSFUT6203</v>
      </c>
      <c r="AF440" s="9" t="str">
        <f t="shared" si="26"/>
        <v>BLACK</v>
      </c>
      <c r="AG440" s="10" t="str">
        <f t="shared" si="27"/>
        <v>HARIPAL</v>
      </c>
      <c r="AH440" s="8" t="str" cm="1">
        <f t="array" ref="AH440">IF(OR(J440="",AE440="",AE440="NOT FOUND"),"",IF(Y440="RP",_xlfn.LET(_xlpm.desc,_xlfn.XLOOKUP(1,(--(Sheet1!$F$2:$F$754=AE440))*(--ISNUMBER(FIND("-",Sheet1!$W$2:$W$754,FIND("-",Sheet1!$W$2:$W$754)+1))),Sheet1!$W$2:$W$754,""),IF(_xlpm.desc="","NOT FOUND",LEFT(_xlpm.desc,FIND("-",_xlpm.desc,FIND("-",_xlpm.desc)+1))&amp;AE440)),LEFT(J440,FIND("-",J440,FIND("-",J440)+1))&amp;AE440))</f>
        <v>KRTS-APWN26-GETKRTSFUT6203</v>
      </c>
    </row>
    <row r="441" spans="1:34" ht="15.75" customHeight="1" x14ac:dyDescent="0.2">
      <c r="A441" t="s">
        <v>61</v>
      </c>
      <c r="B441" t="s">
        <v>167</v>
      </c>
      <c r="C441" t="s">
        <v>64</v>
      </c>
      <c r="D441" t="s">
        <v>115</v>
      </c>
      <c r="E441" t="s">
        <v>34</v>
      </c>
      <c r="F441" t="s">
        <v>35</v>
      </c>
      <c r="G441" t="s">
        <v>51</v>
      </c>
      <c r="H441" t="s">
        <v>125</v>
      </c>
      <c r="I441" t="s">
        <v>126</v>
      </c>
      <c r="J441" t="s">
        <v>127</v>
      </c>
      <c r="K441" t="s">
        <v>474</v>
      </c>
      <c r="L441" t="s">
        <v>40</v>
      </c>
      <c r="M441">
        <v>1</v>
      </c>
      <c r="N441">
        <v>30</v>
      </c>
      <c r="O441">
        <v>30</v>
      </c>
      <c r="P441" t="s">
        <v>41</v>
      </c>
      <c r="Q441">
        <v>319.7</v>
      </c>
      <c r="R441">
        <v>319.7</v>
      </c>
      <c r="S441">
        <v>479.55</v>
      </c>
      <c r="T441">
        <v>9591</v>
      </c>
      <c r="U441">
        <v>5</v>
      </c>
      <c r="V441" t="s">
        <v>42</v>
      </c>
      <c r="W441" t="s">
        <v>474</v>
      </c>
      <c r="X441" s="6" t="str">
        <f t="shared" si="15"/>
        <v>441811105</v>
      </c>
      <c r="Y441" s="7" t="str">
        <f t="shared" si="16"/>
        <v>DC</v>
      </c>
      <c r="Z441" s="7">
        <f t="shared" si="17"/>
        <v>30</v>
      </c>
      <c r="AA441" s="7">
        <f t="shared" si="18"/>
        <v>0</v>
      </c>
      <c r="AB441" s="7">
        <f t="shared" si="19"/>
        <v>0</v>
      </c>
      <c r="AC441" s="7">
        <f t="shared" si="20"/>
        <v>0</v>
      </c>
      <c r="AD441" s="7">
        <f t="shared" si="21"/>
        <v>0</v>
      </c>
      <c r="AE441" s="8" t="str" cm="1">
        <f t="array" ref="AE441">IFERROR(_xlfn.XLOOKUP(H441,Sheet1!$G:$G,Sheet1!$F:$F),IFERROR(_xlfn.XLOOKUP(1,(--($X$2:$X$1074=X441))*(--ISNUMBER(MATCH($H$2:$H$1074,Sheet1!$G:$G,0))),_xlfn.XLOOKUP($H$2:$H$1074,Sheet1!$G:$G,Sheet1!$F:$F,"")),"NOT FOUND"))</f>
        <v>GETKRTSFUT6203</v>
      </c>
      <c r="AF441" s="9" t="str">
        <f t="shared" si="26"/>
        <v>BLACK</v>
      </c>
      <c r="AG441" s="10" t="str">
        <f t="shared" si="27"/>
        <v>HARIPAL</v>
      </c>
      <c r="AH441" s="8" t="str" cm="1">
        <f t="array" ref="AH441">IF(OR(J441="",AE441="",AE441="NOT FOUND"),"",IF(Y441="RP",_xlfn.LET(_xlpm.desc,_xlfn.XLOOKUP(1,(--(Sheet1!$F$2:$F$754=AE441))*(--ISNUMBER(FIND("-",Sheet1!$W$2:$W$754,FIND("-",Sheet1!$W$2:$W$754)+1))),Sheet1!$W$2:$W$754,""),IF(_xlpm.desc="","NOT FOUND",LEFT(_xlpm.desc,FIND("-",_xlpm.desc,FIND("-",_xlpm.desc)+1))&amp;AE441)),LEFT(J441,FIND("-",J441,FIND("-",J441)+1))&amp;AE441))</f>
        <v>KRTS-APWN26-GETKRTSFUT6203</v>
      </c>
    </row>
    <row r="442" spans="1:34" ht="15.75" customHeight="1" x14ac:dyDescent="0.2">
      <c r="A442" t="s">
        <v>61</v>
      </c>
      <c r="B442" t="s">
        <v>167</v>
      </c>
      <c r="C442" t="s">
        <v>64</v>
      </c>
      <c r="D442" t="s">
        <v>115</v>
      </c>
      <c r="E442" t="s">
        <v>34</v>
      </c>
      <c r="F442" t="s">
        <v>35</v>
      </c>
      <c r="G442" t="s">
        <v>55</v>
      </c>
      <c r="H442" t="s">
        <v>128</v>
      </c>
      <c r="I442" t="s">
        <v>129</v>
      </c>
      <c r="J442" t="s">
        <v>130</v>
      </c>
      <c r="K442" t="s">
        <v>474</v>
      </c>
      <c r="L442" t="s">
        <v>40</v>
      </c>
      <c r="M442">
        <v>1</v>
      </c>
      <c r="N442">
        <v>157</v>
      </c>
      <c r="O442">
        <v>157</v>
      </c>
      <c r="P442" t="s">
        <v>41</v>
      </c>
      <c r="Q442">
        <v>319.7</v>
      </c>
      <c r="R442">
        <v>319.7</v>
      </c>
      <c r="S442">
        <v>2509.65</v>
      </c>
      <c r="T442">
        <v>50192.9</v>
      </c>
      <c r="U442">
        <v>5</v>
      </c>
      <c r="V442" t="s">
        <v>42</v>
      </c>
      <c r="W442" t="s">
        <v>474</v>
      </c>
      <c r="X442" s="6" t="str">
        <f t="shared" si="15"/>
        <v>441811105</v>
      </c>
      <c r="Y442" s="7" t="str">
        <f t="shared" si="16"/>
        <v>DC</v>
      </c>
      <c r="Z442" s="7">
        <f t="shared" si="17"/>
        <v>0</v>
      </c>
      <c r="AA442" s="7">
        <f t="shared" si="18"/>
        <v>0</v>
      </c>
      <c r="AB442" s="7">
        <f t="shared" si="19"/>
        <v>0</v>
      </c>
      <c r="AC442" s="7">
        <f t="shared" si="20"/>
        <v>157</v>
      </c>
      <c r="AD442" s="7">
        <f t="shared" si="21"/>
        <v>0</v>
      </c>
      <c r="AE442" s="8" t="str" cm="1">
        <f t="array" ref="AE442">IFERROR(_xlfn.XLOOKUP(H442,Sheet1!$G:$G,Sheet1!$F:$F),IFERROR(_xlfn.XLOOKUP(1,(--($X$2:$X$1074=X442))*(--ISNUMBER(MATCH($H$2:$H$1074,Sheet1!$G:$G,0))),_xlfn.XLOOKUP($H$2:$H$1074,Sheet1!$G:$G,Sheet1!$F:$F,"")),"NOT FOUND"))</f>
        <v>GETKRTSFUT6203</v>
      </c>
      <c r="AF442" s="9" t="str">
        <f t="shared" si="26"/>
        <v>BLACK</v>
      </c>
      <c r="AG442" s="10" t="str">
        <f t="shared" si="27"/>
        <v>HARIPAL</v>
      </c>
      <c r="AH442" s="8" t="str" cm="1">
        <f t="array" ref="AH442">IF(OR(J442="",AE442="",AE442="NOT FOUND"),"",IF(Y442="RP",_xlfn.LET(_xlpm.desc,_xlfn.XLOOKUP(1,(--(Sheet1!$F$2:$F$754=AE442))*(--ISNUMBER(FIND("-",Sheet1!$W$2:$W$754,FIND("-",Sheet1!$W$2:$W$754)+1))),Sheet1!$W$2:$W$754,""),IF(_xlpm.desc="","NOT FOUND",LEFT(_xlpm.desc,FIND("-",_xlpm.desc,FIND("-",_xlpm.desc)+1))&amp;AE442)),LEFT(J442,FIND("-",J442,FIND("-",J442)+1))&amp;AE442))</f>
        <v>KRTS-APWN26-GETKRTSFUT6203</v>
      </c>
    </row>
    <row r="443" spans="1:34" ht="15.75" customHeight="1" x14ac:dyDescent="0.2">
      <c r="A443" t="s">
        <v>61</v>
      </c>
      <c r="B443" t="s">
        <v>168</v>
      </c>
      <c r="C443" t="s">
        <v>64</v>
      </c>
      <c r="D443" t="s">
        <v>81</v>
      </c>
      <c r="E443" t="s">
        <v>34</v>
      </c>
      <c r="F443" t="s">
        <v>35</v>
      </c>
      <c r="G443" t="s">
        <v>36</v>
      </c>
      <c r="H443" t="s">
        <v>134</v>
      </c>
      <c r="I443" t="s">
        <v>135</v>
      </c>
      <c r="J443" t="s">
        <v>136</v>
      </c>
      <c r="K443" t="s">
        <v>474</v>
      </c>
      <c r="L443" t="s">
        <v>40</v>
      </c>
      <c r="M443">
        <v>1</v>
      </c>
      <c r="N443">
        <v>30</v>
      </c>
      <c r="O443">
        <v>30</v>
      </c>
      <c r="P443" t="s">
        <v>41</v>
      </c>
      <c r="Q443">
        <v>394.7</v>
      </c>
      <c r="R443">
        <v>394.7</v>
      </c>
      <c r="S443">
        <v>592.04999999999995</v>
      </c>
      <c r="T443">
        <v>11841</v>
      </c>
      <c r="U443">
        <v>5</v>
      </c>
      <c r="V443" t="s">
        <v>42</v>
      </c>
      <c r="W443" t="s">
        <v>474</v>
      </c>
      <c r="X443" s="6" t="str">
        <f t="shared" si="15"/>
        <v>441811104</v>
      </c>
      <c r="Y443" s="7" t="str">
        <f t="shared" si="16"/>
        <v>DC</v>
      </c>
      <c r="Z443" s="7">
        <f t="shared" si="17"/>
        <v>0</v>
      </c>
      <c r="AA443" s="7">
        <f t="shared" si="18"/>
        <v>0</v>
      </c>
      <c r="AB443" s="7">
        <f t="shared" si="19"/>
        <v>0</v>
      </c>
      <c r="AC443" s="7">
        <f t="shared" si="20"/>
        <v>0</v>
      </c>
      <c r="AD443" s="7">
        <f t="shared" si="21"/>
        <v>30</v>
      </c>
      <c r="AE443" s="8" t="str" cm="1">
        <f t="array" ref="AE443">IFERROR(_xlfn.XLOOKUP(H443,Sheet1!$G:$G,Sheet1!$F:$F),IFERROR(_xlfn.XLOOKUP(1,(--($X$2:$X$1074=X443))*(--ISNUMBER(MATCH($H$2:$H$1074,Sheet1!$G:$G,0))),_xlfn.XLOOKUP($H$2:$H$1074,Sheet1!$G:$G,Sheet1!$F:$F,"")),"NOT FOUND"))</f>
        <v>GETKRTSFUT6202</v>
      </c>
      <c r="AF443" s="9" t="str">
        <f t="shared" si="26"/>
        <v>NAVY</v>
      </c>
      <c r="AG443" s="10" t="str">
        <f t="shared" si="27"/>
        <v>HARIPAL</v>
      </c>
      <c r="AH443" s="8" t="str" cm="1">
        <f t="array" ref="AH443">IF(OR(J443="",AE443="",AE443="NOT FOUND"),"",IF(Y443="RP",_xlfn.LET(_xlpm.desc,_xlfn.XLOOKUP(1,(--(Sheet1!$F$2:$F$754=AE443))*(--ISNUMBER(FIND("-",Sheet1!$W$2:$W$754,FIND("-",Sheet1!$W$2:$W$754)+1))),Sheet1!$W$2:$W$754,""),IF(_xlpm.desc="","NOT FOUND",LEFT(_xlpm.desc,FIND("-",_xlpm.desc,FIND("-",_xlpm.desc)+1))&amp;AE443)),LEFT(J443,FIND("-",J443,FIND("-",J443)+1))&amp;AE443))</f>
        <v>KRTS-APWN26-GETKRTSFUT6202</v>
      </c>
    </row>
    <row r="444" spans="1:34" ht="15.75" customHeight="1" x14ac:dyDescent="0.2">
      <c r="A444" t="s">
        <v>61</v>
      </c>
      <c r="B444" t="s">
        <v>168</v>
      </c>
      <c r="C444" t="s">
        <v>64</v>
      </c>
      <c r="D444" t="s">
        <v>81</v>
      </c>
      <c r="E444" t="s">
        <v>34</v>
      </c>
      <c r="F444" t="s">
        <v>35</v>
      </c>
      <c r="G444" t="s">
        <v>43</v>
      </c>
      <c r="H444" t="s">
        <v>137</v>
      </c>
      <c r="I444" t="s">
        <v>138</v>
      </c>
      <c r="J444" t="s">
        <v>139</v>
      </c>
      <c r="K444" t="s">
        <v>474</v>
      </c>
      <c r="L444" t="s">
        <v>40</v>
      </c>
      <c r="M444">
        <v>1</v>
      </c>
      <c r="N444">
        <v>135</v>
      </c>
      <c r="O444">
        <v>135</v>
      </c>
      <c r="P444" t="s">
        <v>41</v>
      </c>
      <c r="Q444">
        <v>394.7</v>
      </c>
      <c r="R444">
        <v>394.7</v>
      </c>
      <c r="S444">
        <v>2664.23</v>
      </c>
      <c r="T444">
        <v>53284.5</v>
      </c>
      <c r="U444">
        <v>5</v>
      </c>
      <c r="V444" t="s">
        <v>42</v>
      </c>
      <c r="W444" t="s">
        <v>474</v>
      </c>
      <c r="X444" s="6" t="str">
        <f t="shared" si="15"/>
        <v>441811104</v>
      </c>
      <c r="Y444" s="7" t="str">
        <f t="shared" si="16"/>
        <v>DC</v>
      </c>
      <c r="Z444" s="7">
        <f t="shared" si="17"/>
        <v>0</v>
      </c>
      <c r="AA444" s="7">
        <f t="shared" si="18"/>
        <v>0</v>
      </c>
      <c r="AB444" s="7">
        <f t="shared" si="19"/>
        <v>135</v>
      </c>
      <c r="AC444" s="7">
        <f t="shared" si="20"/>
        <v>0</v>
      </c>
      <c r="AD444" s="7">
        <f t="shared" si="21"/>
        <v>0</v>
      </c>
      <c r="AE444" s="8" t="str" cm="1">
        <f t="array" ref="AE444">IFERROR(_xlfn.XLOOKUP(H444,Sheet1!$G:$G,Sheet1!$F:$F),IFERROR(_xlfn.XLOOKUP(1,(--($X$2:$X$1074=X444))*(--ISNUMBER(MATCH($H$2:$H$1074,Sheet1!$G:$G,0))),_xlfn.XLOOKUP($H$2:$H$1074,Sheet1!$G:$G,Sheet1!$F:$F,"")),"NOT FOUND"))</f>
        <v>GETKRTSFUT6202</v>
      </c>
      <c r="AF444" s="9" t="str">
        <f t="shared" si="26"/>
        <v>NAVY</v>
      </c>
      <c r="AG444" s="10" t="str">
        <f t="shared" si="27"/>
        <v>HARIPAL</v>
      </c>
      <c r="AH444" s="8" t="str" cm="1">
        <f t="array" ref="AH444">IF(OR(J444="",AE444="",AE444="NOT FOUND"),"",IF(Y444="RP",_xlfn.LET(_xlpm.desc,_xlfn.XLOOKUP(1,(--(Sheet1!$F$2:$F$754=AE444))*(--ISNUMBER(FIND("-",Sheet1!$W$2:$W$754,FIND("-",Sheet1!$W$2:$W$754)+1))),Sheet1!$W$2:$W$754,""),IF(_xlpm.desc="","NOT FOUND",LEFT(_xlpm.desc,FIND("-",_xlpm.desc,FIND("-",_xlpm.desc)+1))&amp;AE444)),LEFT(J444,FIND("-",J444,FIND("-",J444)+1))&amp;AE444))</f>
        <v>KRTS-APWN26-GETKRTSFUT6202</v>
      </c>
    </row>
    <row r="445" spans="1:34" ht="15.75" customHeight="1" x14ac:dyDescent="0.2">
      <c r="A445" t="s">
        <v>61</v>
      </c>
      <c r="B445" t="s">
        <v>168</v>
      </c>
      <c r="C445" t="s">
        <v>64</v>
      </c>
      <c r="D445" t="s">
        <v>81</v>
      </c>
      <c r="E445" t="s">
        <v>34</v>
      </c>
      <c r="F445" t="s">
        <v>35</v>
      </c>
      <c r="G445" t="s">
        <v>47</v>
      </c>
      <c r="H445" t="s">
        <v>140</v>
      </c>
      <c r="I445" t="s">
        <v>141</v>
      </c>
      <c r="J445" t="s">
        <v>142</v>
      </c>
      <c r="K445" t="s">
        <v>474</v>
      </c>
      <c r="L445" t="s">
        <v>40</v>
      </c>
      <c r="M445">
        <v>1</v>
      </c>
      <c r="N445">
        <v>135</v>
      </c>
      <c r="O445">
        <v>135</v>
      </c>
      <c r="P445" t="s">
        <v>41</v>
      </c>
      <c r="Q445">
        <v>394.7</v>
      </c>
      <c r="R445">
        <v>394.7</v>
      </c>
      <c r="S445">
        <v>2664.23</v>
      </c>
      <c r="T445">
        <v>53284.5</v>
      </c>
      <c r="U445">
        <v>5</v>
      </c>
      <c r="V445" t="s">
        <v>42</v>
      </c>
      <c r="W445" t="s">
        <v>474</v>
      </c>
      <c r="X445" s="6" t="str">
        <f t="shared" si="15"/>
        <v>441811104</v>
      </c>
      <c r="Y445" s="7" t="str">
        <f t="shared" si="16"/>
        <v>DC</v>
      </c>
      <c r="Z445" s="7">
        <f t="shared" si="17"/>
        <v>0</v>
      </c>
      <c r="AA445" s="7">
        <f t="shared" si="18"/>
        <v>135</v>
      </c>
      <c r="AB445" s="7">
        <f t="shared" si="19"/>
        <v>0</v>
      </c>
      <c r="AC445" s="7">
        <f t="shared" si="20"/>
        <v>0</v>
      </c>
      <c r="AD445" s="7">
        <f t="shared" si="21"/>
        <v>0</v>
      </c>
      <c r="AE445" s="8" t="str" cm="1">
        <f t="array" ref="AE445">IFERROR(_xlfn.XLOOKUP(H445,Sheet1!$G:$G,Sheet1!$F:$F),IFERROR(_xlfn.XLOOKUP(1,(--($X$2:$X$1074=X445))*(--ISNUMBER(MATCH($H$2:$H$1074,Sheet1!$G:$G,0))),_xlfn.XLOOKUP($H$2:$H$1074,Sheet1!$G:$G,Sheet1!$F:$F,"")),"NOT FOUND"))</f>
        <v>GETKRTSFUT6202</v>
      </c>
      <c r="AF445" s="9" t="str">
        <f t="shared" si="26"/>
        <v>NAVY</v>
      </c>
      <c r="AG445" s="10" t="str">
        <f t="shared" si="27"/>
        <v>HARIPAL</v>
      </c>
      <c r="AH445" s="8" t="str" cm="1">
        <f t="array" ref="AH445">IF(OR(J445="",AE445="",AE445="NOT FOUND"),"",IF(Y445="RP",_xlfn.LET(_xlpm.desc,_xlfn.XLOOKUP(1,(--(Sheet1!$F$2:$F$754=AE445))*(--ISNUMBER(FIND("-",Sheet1!$W$2:$W$754,FIND("-",Sheet1!$W$2:$W$754)+1))),Sheet1!$W$2:$W$754,""),IF(_xlpm.desc="","NOT FOUND",LEFT(_xlpm.desc,FIND("-",_xlpm.desc,FIND("-",_xlpm.desc)+1))&amp;AE445)),LEFT(J445,FIND("-",J445,FIND("-",J445)+1))&amp;AE445))</f>
        <v>KRTS-APWN26-GETKRTSFUT6202</v>
      </c>
    </row>
    <row r="446" spans="1:34" ht="15.75" customHeight="1" x14ac:dyDescent="0.2">
      <c r="A446" t="s">
        <v>61</v>
      </c>
      <c r="B446" t="s">
        <v>168</v>
      </c>
      <c r="C446" t="s">
        <v>64</v>
      </c>
      <c r="D446" t="s">
        <v>81</v>
      </c>
      <c r="E446" t="s">
        <v>34</v>
      </c>
      <c r="F446" t="s">
        <v>35</v>
      </c>
      <c r="G446" t="s">
        <v>51</v>
      </c>
      <c r="H446" t="s">
        <v>143</v>
      </c>
      <c r="I446" t="s">
        <v>144</v>
      </c>
      <c r="J446" t="s">
        <v>145</v>
      </c>
      <c r="K446" t="s">
        <v>474</v>
      </c>
      <c r="L446" t="s">
        <v>40</v>
      </c>
      <c r="M446">
        <v>1</v>
      </c>
      <c r="N446">
        <v>30</v>
      </c>
      <c r="O446">
        <v>30</v>
      </c>
      <c r="P446" t="s">
        <v>41</v>
      </c>
      <c r="Q446">
        <v>394.7</v>
      </c>
      <c r="R446">
        <v>394.7</v>
      </c>
      <c r="S446">
        <v>592.04999999999995</v>
      </c>
      <c r="T446">
        <v>11841</v>
      </c>
      <c r="U446">
        <v>5</v>
      </c>
      <c r="V446" t="s">
        <v>42</v>
      </c>
      <c r="W446" t="s">
        <v>474</v>
      </c>
      <c r="X446" s="6" t="str">
        <f t="shared" si="15"/>
        <v>441811104</v>
      </c>
      <c r="Y446" s="7" t="str">
        <f t="shared" si="16"/>
        <v>DC</v>
      </c>
      <c r="Z446" s="7">
        <f t="shared" si="17"/>
        <v>30</v>
      </c>
      <c r="AA446" s="7">
        <f t="shared" si="18"/>
        <v>0</v>
      </c>
      <c r="AB446" s="7">
        <f t="shared" si="19"/>
        <v>0</v>
      </c>
      <c r="AC446" s="7">
        <f t="shared" si="20"/>
        <v>0</v>
      </c>
      <c r="AD446" s="7">
        <f t="shared" si="21"/>
        <v>0</v>
      </c>
      <c r="AE446" s="8" t="str" cm="1">
        <f t="array" ref="AE446">IFERROR(_xlfn.XLOOKUP(H446,Sheet1!$G:$G,Sheet1!$F:$F),IFERROR(_xlfn.XLOOKUP(1,(--($X$2:$X$1074=X446))*(--ISNUMBER(MATCH($H$2:$H$1074,Sheet1!$G:$G,0))),_xlfn.XLOOKUP($H$2:$H$1074,Sheet1!$G:$G,Sheet1!$F:$F,"")),"NOT FOUND"))</f>
        <v>GETKRTSFUT6202</v>
      </c>
      <c r="AF446" s="9" t="str">
        <f t="shared" si="26"/>
        <v>NAVY</v>
      </c>
      <c r="AG446" s="10" t="str">
        <f t="shared" si="27"/>
        <v>HARIPAL</v>
      </c>
      <c r="AH446" s="8" t="str" cm="1">
        <f t="array" ref="AH446">IF(OR(J446="",AE446="",AE446="NOT FOUND"),"",IF(Y446="RP",_xlfn.LET(_xlpm.desc,_xlfn.XLOOKUP(1,(--(Sheet1!$F$2:$F$754=AE446))*(--ISNUMBER(FIND("-",Sheet1!$W$2:$W$754,FIND("-",Sheet1!$W$2:$W$754)+1))),Sheet1!$W$2:$W$754,""),IF(_xlpm.desc="","NOT FOUND",LEFT(_xlpm.desc,FIND("-",_xlpm.desc,FIND("-",_xlpm.desc)+1))&amp;AE446)),LEFT(J446,FIND("-",J446,FIND("-",J446)+1))&amp;AE446))</f>
        <v>KRTS-APWN26-GETKRTSFUT6202</v>
      </c>
    </row>
    <row r="447" spans="1:34" ht="15.75" customHeight="1" x14ac:dyDescent="0.2">
      <c r="A447" t="s">
        <v>61</v>
      </c>
      <c r="B447" t="s">
        <v>168</v>
      </c>
      <c r="C447" t="s">
        <v>64</v>
      </c>
      <c r="D447" t="s">
        <v>81</v>
      </c>
      <c r="E447" t="s">
        <v>34</v>
      </c>
      <c r="F447" t="s">
        <v>35</v>
      </c>
      <c r="G447" t="s">
        <v>55</v>
      </c>
      <c r="H447" t="s">
        <v>146</v>
      </c>
      <c r="I447" t="s">
        <v>147</v>
      </c>
      <c r="J447" t="s">
        <v>148</v>
      </c>
      <c r="K447" t="s">
        <v>474</v>
      </c>
      <c r="L447" t="s">
        <v>40</v>
      </c>
      <c r="M447">
        <v>1</v>
      </c>
      <c r="N447">
        <v>114</v>
      </c>
      <c r="O447">
        <v>114</v>
      </c>
      <c r="P447" t="s">
        <v>41</v>
      </c>
      <c r="Q447">
        <v>394.7</v>
      </c>
      <c r="R447">
        <v>394.7</v>
      </c>
      <c r="S447">
        <v>2249.79</v>
      </c>
      <c r="T447">
        <v>44995.8</v>
      </c>
      <c r="U447">
        <v>5</v>
      </c>
      <c r="V447" t="s">
        <v>42</v>
      </c>
      <c r="W447" t="s">
        <v>474</v>
      </c>
      <c r="X447" s="6" t="str">
        <f t="shared" si="15"/>
        <v>441811104</v>
      </c>
      <c r="Y447" s="7" t="str">
        <f t="shared" si="16"/>
        <v>DC</v>
      </c>
      <c r="Z447" s="7">
        <f t="shared" si="17"/>
        <v>0</v>
      </c>
      <c r="AA447" s="7">
        <f t="shared" si="18"/>
        <v>0</v>
      </c>
      <c r="AB447" s="7">
        <f t="shared" si="19"/>
        <v>0</v>
      </c>
      <c r="AC447" s="7">
        <f t="shared" si="20"/>
        <v>114</v>
      </c>
      <c r="AD447" s="7">
        <f t="shared" si="21"/>
        <v>0</v>
      </c>
      <c r="AE447" s="8" t="str" cm="1">
        <f t="array" ref="AE447">IFERROR(_xlfn.XLOOKUP(H447,Sheet1!$G:$G,Sheet1!$F:$F),IFERROR(_xlfn.XLOOKUP(1,(--($X$2:$X$1074=X447))*(--ISNUMBER(MATCH($H$2:$H$1074,Sheet1!$G:$G,0))),_xlfn.XLOOKUP($H$2:$H$1074,Sheet1!$G:$G,Sheet1!$F:$F,"")),"NOT FOUND"))</f>
        <v>GETKRTSFUT6202</v>
      </c>
      <c r="AF447" s="9" t="str">
        <f t="shared" si="26"/>
        <v>NAVY</v>
      </c>
      <c r="AG447" s="10" t="str">
        <f t="shared" si="27"/>
        <v>HARIPAL</v>
      </c>
      <c r="AH447" s="8" t="str" cm="1">
        <f t="array" ref="AH447">IF(OR(J447="",AE447="",AE447="NOT FOUND"),"",IF(Y447="RP",_xlfn.LET(_xlpm.desc,_xlfn.XLOOKUP(1,(--(Sheet1!$F$2:$F$754=AE447))*(--ISNUMBER(FIND("-",Sheet1!$W$2:$W$754,FIND("-",Sheet1!$W$2:$W$754)+1))),Sheet1!$W$2:$W$754,""),IF(_xlpm.desc="","NOT FOUND",LEFT(_xlpm.desc,FIND("-",_xlpm.desc,FIND("-",_xlpm.desc)+1))&amp;AE447)),LEFT(J447,FIND("-",J447,FIND("-",J447)+1))&amp;AE447))</f>
        <v>KRTS-APWN26-GETKRTSFUT6202</v>
      </c>
    </row>
    <row r="448" spans="1:34" ht="15.75" customHeight="1" x14ac:dyDescent="0.2">
      <c r="A448" t="s">
        <v>61</v>
      </c>
      <c r="B448" t="s">
        <v>169</v>
      </c>
      <c r="C448" t="s">
        <v>64</v>
      </c>
      <c r="D448" t="s">
        <v>98</v>
      </c>
      <c r="E448" t="s">
        <v>34</v>
      </c>
      <c r="F448" t="s">
        <v>35</v>
      </c>
      <c r="G448" t="s">
        <v>36</v>
      </c>
      <c r="H448" t="s">
        <v>154</v>
      </c>
      <c r="I448" t="s">
        <v>155</v>
      </c>
      <c r="J448" t="s">
        <v>39</v>
      </c>
      <c r="K448" t="s">
        <v>474</v>
      </c>
      <c r="L448" t="s">
        <v>40</v>
      </c>
      <c r="M448">
        <v>1</v>
      </c>
      <c r="N448">
        <v>30</v>
      </c>
      <c r="O448">
        <v>30</v>
      </c>
      <c r="P448" t="s">
        <v>41</v>
      </c>
      <c r="Q448">
        <v>326.7</v>
      </c>
      <c r="R448">
        <v>326.7</v>
      </c>
      <c r="S448">
        <v>490.05</v>
      </c>
      <c r="T448">
        <v>9801</v>
      </c>
      <c r="U448">
        <v>5</v>
      </c>
      <c r="V448" t="s">
        <v>42</v>
      </c>
      <c r="W448" t="s">
        <v>474</v>
      </c>
      <c r="X448" s="6" t="str">
        <f t="shared" si="15"/>
        <v>441811103</v>
      </c>
      <c r="Y448" s="7" t="str">
        <f t="shared" si="16"/>
        <v>DC</v>
      </c>
      <c r="Z448" s="7">
        <f t="shared" si="17"/>
        <v>0</v>
      </c>
      <c r="AA448" s="7">
        <f t="shared" si="18"/>
        <v>0</v>
      </c>
      <c r="AB448" s="7">
        <f t="shared" si="19"/>
        <v>0</v>
      </c>
      <c r="AC448" s="7">
        <f t="shared" si="20"/>
        <v>0</v>
      </c>
      <c r="AD448" s="7">
        <f t="shared" si="21"/>
        <v>30</v>
      </c>
      <c r="AE448" s="8" t="str" cm="1">
        <f t="array" ref="AE448">IFERROR(_xlfn.XLOOKUP(H448,Sheet1!$G:$G,Sheet1!$F:$F),IFERROR(_xlfn.XLOOKUP(1,(--($X$2:$X$1074=X448))*(--ISNUMBER(MATCH($H$2:$H$1074,Sheet1!$G:$G,0))),_xlfn.XLOOKUP($H$2:$H$1074,Sheet1!$G:$G,Sheet1!$F:$F,"")),"NOT FOUND"))</f>
        <v>GETKRTSFUT6126</v>
      </c>
      <c r="AF448" s="9" t="str">
        <f t="shared" si="26"/>
        <v>OFF WHITE</v>
      </c>
      <c r="AG448" s="10" t="str">
        <f t="shared" si="27"/>
        <v>HARIPAL</v>
      </c>
      <c r="AH448" s="8" t="str" cm="1">
        <f t="array" ref="AH448">IF(OR(J448="",AE448="",AE448="NOT FOUND"),"",IF(Y448="RP",_xlfn.LET(_xlpm.desc,_xlfn.XLOOKUP(1,(--(Sheet1!$F$2:$F$754=AE448))*(--ISNUMBER(FIND("-",Sheet1!$W$2:$W$754,FIND("-",Sheet1!$W$2:$W$754)+1))),Sheet1!$W$2:$W$754,""),IF(_xlpm.desc="","NOT FOUND",LEFT(_xlpm.desc,FIND("-",_xlpm.desc,FIND("-",_xlpm.desc)+1))&amp;AE448)),LEFT(J448,FIND("-",J448,FIND("-",J448)+1))&amp;AE448))</f>
        <v>KRTS-APWN26-GETKRTSFUT6126</v>
      </c>
    </row>
    <row r="449" spans="1:34" ht="15.75" customHeight="1" x14ac:dyDescent="0.2">
      <c r="A449" t="s">
        <v>61</v>
      </c>
      <c r="B449" t="s">
        <v>169</v>
      </c>
      <c r="C449" t="s">
        <v>64</v>
      </c>
      <c r="D449" t="s">
        <v>98</v>
      </c>
      <c r="E449" t="s">
        <v>34</v>
      </c>
      <c r="F449" t="s">
        <v>35</v>
      </c>
      <c r="G449" t="s">
        <v>43</v>
      </c>
      <c r="H449" t="s">
        <v>156</v>
      </c>
      <c r="I449" t="s">
        <v>157</v>
      </c>
      <c r="J449" t="s">
        <v>158</v>
      </c>
      <c r="K449" t="s">
        <v>474</v>
      </c>
      <c r="L449" t="s">
        <v>40</v>
      </c>
      <c r="M449">
        <v>1</v>
      </c>
      <c r="N449">
        <v>186</v>
      </c>
      <c r="O449">
        <v>186</v>
      </c>
      <c r="P449" t="s">
        <v>41</v>
      </c>
      <c r="Q449">
        <v>326.7</v>
      </c>
      <c r="R449">
        <v>326.7</v>
      </c>
      <c r="S449">
        <v>3038.31</v>
      </c>
      <c r="T449">
        <v>60766.2</v>
      </c>
      <c r="U449">
        <v>5</v>
      </c>
      <c r="V449" t="s">
        <v>42</v>
      </c>
      <c r="W449" t="s">
        <v>474</v>
      </c>
      <c r="X449" s="6" t="str">
        <f t="shared" si="15"/>
        <v>441811103</v>
      </c>
      <c r="Y449" s="7" t="str">
        <f t="shared" si="16"/>
        <v>DC</v>
      </c>
      <c r="Z449" s="7">
        <f t="shared" si="17"/>
        <v>0</v>
      </c>
      <c r="AA449" s="7">
        <f t="shared" si="18"/>
        <v>0</v>
      </c>
      <c r="AB449" s="7">
        <f t="shared" si="19"/>
        <v>186</v>
      </c>
      <c r="AC449" s="7">
        <f t="shared" si="20"/>
        <v>0</v>
      </c>
      <c r="AD449" s="7">
        <f t="shared" si="21"/>
        <v>0</v>
      </c>
      <c r="AE449" s="8" t="str" cm="1">
        <f t="array" ref="AE449">IFERROR(_xlfn.XLOOKUP(H449,Sheet1!$G:$G,Sheet1!$F:$F),IFERROR(_xlfn.XLOOKUP(1,(--($X$2:$X$1074=X449))*(--ISNUMBER(MATCH($H$2:$H$1074,Sheet1!$G:$G,0))),_xlfn.XLOOKUP($H$2:$H$1074,Sheet1!$G:$G,Sheet1!$F:$F,"")),"NOT FOUND"))</f>
        <v>GETKRTSFUT6126</v>
      </c>
      <c r="AF449" s="9" t="str">
        <f t="shared" si="26"/>
        <v>OFF WHITE</v>
      </c>
      <c r="AG449" s="10" t="str">
        <f t="shared" si="27"/>
        <v>HARIPAL</v>
      </c>
      <c r="AH449" s="8" t="str" cm="1">
        <f t="array" ref="AH449">IF(OR(J449="",AE449="",AE449="NOT FOUND"),"",IF(Y449="RP",_xlfn.LET(_xlpm.desc,_xlfn.XLOOKUP(1,(--(Sheet1!$F$2:$F$754=AE449))*(--ISNUMBER(FIND("-",Sheet1!$W$2:$W$754,FIND("-",Sheet1!$W$2:$W$754)+1))),Sheet1!$W$2:$W$754,""),IF(_xlpm.desc="","NOT FOUND",LEFT(_xlpm.desc,FIND("-",_xlpm.desc,FIND("-",_xlpm.desc)+1))&amp;AE449)),LEFT(J449,FIND("-",J449,FIND("-",J449)+1))&amp;AE449))</f>
        <v>KRTS-APWN26-GETKRTSFUT6126</v>
      </c>
    </row>
    <row r="450" spans="1:34" ht="15.75" customHeight="1" x14ac:dyDescent="0.2">
      <c r="A450" t="s">
        <v>61</v>
      </c>
      <c r="B450" t="s">
        <v>169</v>
      </c>
      <c r="C450" t="s">
        <v>64</v>
      </c>
      <c r="D450" t="s">
        <v>98</v>
      </c>
      <c r="E450" t="s">
        <v>34</v>
      </c>
      <c r="F450" t="s">
        <v>35</v>
      </c>
      <c r="G450" t="s">
        <v>47</v>
      </c>
      <c r="H450" t="s">
        <v>159</v>
      </c>
      <c r="I450" t="s">
        <v>160</v>
      </c>
      <c r="J450" t="s">
        <v>161</v>
      </c>
      <c r="K450" t="s">
        <v>474</v>
      </c>
      <c r="L450" t="s">
        <v>40</v>
      </c>
      <c r="M450">
        <v>1</v>
      </c>
      <c r="N450">
        <v>186</v>
      </c>
      <c r="O450">
        <v>186</v>
      </c>
      <c r="P450" t="s">
        <v>41</v>
      </c>
      <c r="Q450">
        <v>326.7</v>
      </c>
      <c r="R450">
        <v>326.7</v>
      </c>
      <c r="S450">
        <v>3038.31</v>
      </c>
      <c r="T450">
        <v>60766.2</v>
      </c>
      <c r="U450">
        <v>5</v>
      </c>
      <c r="V450" t="s">
        <v>42</v>
      </c>
      <c r="W450" t="s">
        <v>474</v>
      </c>
      <c r="X450" s="6" t="str">
        <f t="shared" si="15"/>
        <v>441811103</v>
      </c>
      <c r="Y450" s="7" t="str">
        <f t="shared" si="16"/>
        <v>DC</v>
      </c>
      <c r="Z450" s="7">
        <f t="shared" si="17"/>
        <v>0</v>
      </c>
      <c r="AA450" s="7">
        <f t="shared" si="18"/>
        <v>186</v>
      </c>
      <c r="AB450" s="7">
        <f t="shared" si="19"/>
        <v>0</v>
      </c>
      <c r="AC450" s="7">
        <f t="shared" si="20"/>
        <v>0</v>
      </c>
      <c r="AD450" s="7">
        <f t="shared" si="21"/>
        <v>0</v>
      </c>
      <c r="AE450" s="8" t="str" cm="1">
        <f t="array" ref="AE450">IFERROR(_xlfn.XLOOKUP(H450,Sheet1!$G:$G,Sheet1!$F:$F),IFERROR(_xlfn.XLOOKUP(1,(--($X$2:$X$1074=X450))*(--ISNUMBER(MATCH($H$2:$H$1074,Sheet1!$G:$G,0))),_xlfn.XLOOKUP($H$2:$H$1074,Sheet1!$G:$G,Sheet1!$F:$F,"")),"NOT FOUND"))</f>
        <v>GETKRTSFUT6126</v>
      </c>
      <c r="AF450" s="9" t="str">
        <f t="shared" si="26"/>
        <v>OFF WHITE</v>
      </c>
      <c r="AG450" s="10" t="str">
        <f t="shared" si="27"/>
        <v>HARIPAL</v>
      </c>
      <c r="AH450" s="8" t="str" cm="1">
        <f t="array" ref="AH450">IF(OR(J450="",AE450="",AE450="NOT FOUND"),"",IF(Y450="RP",_xlfn.LET(_xlpm.desc,_xlfn.XLOOKUP(1,(--(Sheet1!$F$2:$F$754=AE450))*(--ISNUMBER(FIND("-",Sheet1!$W$2:$W$754,FIND("-",Sheet1!$W$2:$W$754)+1))),Sheet1!$W$2:$W$754,""),IF(_xlpm.desc="","NOT FOUND",LEFT(_xlpm.desc,FIND("-",_xlpm.desc,FIND("-",_xlpm.desc)+1))&amp;AE450)),LEFT(J450,FIND("-",J450,FIND("-",J450)+1))&amp;AE450))</f>
        <v>KRTS-APWN26-GETKRTSFUT6126</v>
      </c>
    </row>
    <row r="451" spans="1:34" ht="15.75" customHeight="1" x14ac:dyDescent="0.2">
      <c r="A451" t="s">
        <v>61</v>
      </c>
      <c r="B451" t="s">
        <v>169</v>
      </c>
      <c r="C451" t="s">
        <v>64</v>
      </c>
      <c r="D451" t="s">
        <v>98</v>
      </c>
      <c r="E451" t="s">
        <v>34</v>
      </c>
      <c r="F451" t="s">
        <v>35</v>
      </c>
      <c r="G451" t="s">
        <v>51</v>
      </c>
      <c r="H451" t="s">
        <v>162</v>
      </c>
      <c r="I451" t="s">
        <v>163</v>
      </c>
      <c r="J451" t="s">
        <v>164</v>
      </c>
      <c r="K451" t="s">
        <v>474</v>
      </c>
      <c r="L451" t="s">
        <v>40</v>
      </c>
      <c r="M451">
        <v>1</v>
      </c>
      <c r="N451">
        <v>30</v>
      </c>
      <c r="O451">
        <v>30</v>
      </c>
      <c r="P451" t="s">
        <v>41</v>
      </c>
      <c r="Q451">
        <v>326.7</v>
      </c>
      <c r="R451">
        <v>326.7</v>
      </c>
      <c r="S451">
        <v>490.05</v>
      </c>
      <c r="T451">
        <v>9801</v>
      </c>
      <c r="U451">
        <v>5</v>
      </c>
      <c r="V451" t="s">
        <v>42</v>
      </c>
      <c r="W451" t="s">
        <v>474</v>
      </c>
      <c r="X451" s="6" t="str">
        <f t="shared" si="15"/>
        <v>441811103</v>
      </c>
      <c r="Y451" s="7" t="str">
        <f t="shared" si="16"/>
        <v>DC</v>
      </c>
      <c r="Z451" s="7">
        <f t="shared" si="17"/>
        <v>30</v>
      </c>
      <c r="AA451" s="7">
        <f t="shared" si="18"/>
        <v>0</v>
      </c>
      <c r="AB451" s="7">
        <f t="shared" si="19"/>
        <v>0</v>
      </c>
      <c r="AC451" s="7">
        <f t="shared" si="20"/>
        <v>0</v>
      </c>
      <c r="AD451" s="7">
        <f t="shared" si="21"/>
        <v>0</v>
      </c>
      <c r="AE451" s="8" t="str" cm="1">
        <f t="array" ref="AE451">IFERROR(_xlfn.XLOOKUP(H451,Sheet1!$G:$G,Sheet1!$F:$F),IFERROR(_xlfn.XLOOKUP(1,(--($X$2:$X$1074=X451))*(--ISNUMBER(MATCH($H$2:$H$1074,Sheet1!$G:$G,0))),_xlfn.XLOOKUP($H$2:$H$1074,Sheet1!$G:$G,Sheet1!$F:$F,"")),"NOT FOUND"))</f>
        <v>GETKRTSFUT6126</v>
      </c>
      <c r="AF451" s="9" t="str">
        <f t="shared" ref="AF451:AF514" si="28">IFERROR(IF(ISNUMBER(SEARCH("(RP)",J451)),TRIM(SUBSTITUTE(MID(J451,10,LEN(J451)),"(RP)","")),TRIM(MID(J451,FIND(",",J451)+1,FIND(",",J451,FIND(",",J451)+1)-FIND(",",J451)-1))),"")</f>
        <v>OFF WHITE</v>
      </c>
      <c r="AG451" s="10" t="str">
        <f t="shared" ref="AG451:AG514" si="29">IF(A451="SZAF","Bangalore",IF(A451="SAEX","JHAJJAR",IF(A451="S0EU","HARIPAL","")))</f>
        <v>HARIPAL</v>
      </c>
      <c r="AH451" s="8" t="str" cm="1">
        <f t="array" ref="AH451">IF(OR(J451="",AE451="",AE451="NOT FOUND"),"",IF(Y451="RP",_xlfn.LET(_xlpm.desc,_xlfn.XLOOKUP(1,(--(Sheet1!$F$2:$F$754=AE451))*(--ISNUMBER(FIND("-",Sheet1!$W$2:$W$754,FIND("-",Sheet1!$W$2:$W$754)+1))),Sheet1!$W$2:$W$754,""),IF(_xlpm.desc="","NOT FOUND",LEFT(_xlpm.desc,FIND("-",_xlpm.desc,FIND("-",_xlpm.desc)+1))&amp;AE451)),LEFT(J451,FIND("-",J451,FIND("-",J451)+1))&amp;AE451))</f>
        <v>KRTS-APWN26-GETKRTSFUT6126</v>
      </c>
    </row>
    <row r="452" spans="1:34" ht="15.75" customHeight="1" x14ac:dyDescent="0.2">
      <c r="A452" t="s">
        <v>61</v>
      </c>
      <c r="B452" t="s">
        <v>169</v>
      </c>
      <c r="C452" t="s">
        <v>64</v>
      </c>
      <c r="D452" t="s">
        <v>98</v>
      </c>
      <c r="E452" t="s">
        <v>34</v>
      </c>
      <c r="F452" t="s">
        <v>35</v>
      </c>
      <c r="G452" t="s">
        <v>55</v>
      </c>
      <c r="H452" t="s">
        <v>165</v>
      </c>
      <c r="I452" t="s">
        <v>166</v>
      </c>
      <c r="J452" t="s">
        <v>58</v>
      </c>
      <c r="K452" t="s">
        <v>474</v>
      </c>
      <c r="L452" t="s">
        <v>40</v>
      </c>
      <c r="M452">
        <v>1</v>
      </c>
      <c r="N452">
        <v>157</v>
      </c>
      <c r="O452">
        <v>157</v>
      </c>
      <c r="P452" t="s">
        <v>41</v>
      </c>
      <c r="Q452">
        <v>326.7</v>
      </c>
      <c r="R452">
        <v>326.7</v>
      </c>
      <c r="S452">
        <v>2564.6</v>
      </c>
      <c r="T452">
        <v>51291.9</v>
      </c>
      <c r="U452">
        <v>5</v>
      </c>
      <c r="V452" t="s">
        <v>42</v>
      </c>
      <c r="W452" t="s">
        <v>474</v>
      </c>
      <c r="X452" s="6" t="str">
        <f t="shared" si="15"/>
        <v>441811103</v>
      </c>
      <c r="Y452" s="7" t="str">
        <f t="shared" si="16"/>
        <v>DC</v>
      </c>
      <c r="Z452" s="7">
        <f t="shared" si="17"/>
        <v>0</v>
      </c>
      <c r="AA452" s="7">
        <f t="shared" si="18"/>
        <v>0</v>
      </c>
      <c r="AB452" s="7">
        <f t="shared" si="19"/>
        <v>0</v>
      </c>
      <c r="AC452" s="7">
        <f t="shared" si="20"/>
        <v>157</v>
      </c>
      <c r="AD452" s="7">
        <f t="shared" si="21"/>
        <v>0</v>
      </c>
      <c r="AE452" s="8" t="str" cm="1">
        <f t="array" ref="AE452">IFERROR(_xlfn.XLOOKUP(H452,Sheet1!$G:$G,Sheet1!$F:$F),IFERROR(_xlfn.XLOOKUP(1,(--($X$2:$X$1074=X452))*(--ISNUMBER(MATCH($H$2:$H$1074,Sheet1!$G:$G,0))),_xlfn.XLOOKUP($H$2:$H$1074,Sheet1!$G:$G,Sheet1!$F:$F,"")),"NOT FOUND"))</f>
        <v>GETKRTSFUT6126</v>
      </c>
      <c r="AF452" s="9" t="str">
        <f t="shared" si="28"/>
        <v>OFF WHITE</v>
      </c>
      <c r="AG452" s="10" t="str">
        <f t="shared" si="29"/>
        <v>HARIPAL</v>
      </c>
      <c r="AH452" s="8" t="str" cm="1">
        <f t="array" ref="AH452">IF(OR(J452="",AE452="",AE452="NOT FOUND"),"",IF(Y452="RP",_xlfn.LET(_xlpm.desc,_xlfn.XLOOKUP(1,(--(Sheet1!$F$2:$F$754=AE452))*(--ISNUMBER(FIND("-",Sheet1!$W$2:$W$754,FIND("-",Sheet1!$W$2:$W$754)+1))),Sheet1!$W$2:$W$754,""),IF(_xlpm.desc="","NOT FOUND",LEFT(_xlpm.desc,FIND("-",_xlpm.desc,FIND("-",_xlpm.desc)+1))&amp;AE452)),LEFT(J452,FIND("-",J452,FIND("-",J452)+1))&amp;AE452))</f>
        <v>KRTS-APWN26-GETKRTSFUT6126</v>
      </c>
    </row>
    <row r="453" spans="1:34" ht="15.75" customHeight="1" x14ac:dyDescent="0.2">
      <c r="A453" t="s">
        <v>30</v>
      </c>
      <c r="B453" t="s">
        <v>173</v>
      </c>
      <c r="C453" t="s">
        <v>64</v>
      </c>
      <c r="D453" t="s">
        <v>81</v>
      </c>
      <c r="E453" t="s">
        <v>34</v>
      </c>
      <c r="F453" t="s">
        <v>35</v>
      </c>
      <c r="G453" t="s">
        <v>36</v>
      </c>
      <c r="H453" t="s">
        <v>174</v>
      </c>
      <c r="I453" t="s">
        <v>175</v>
      </c>
      <c r="J453" t="s">
        <v>176</v>
      </c>
      <c r="K453" t="s">
        <v>474</v>
      </c>
      <c r="L453" t="s">
        <v>40</v>
      </c>
      <c r="M453">
        <v>1</v>
      </c>
      <c r="N453">
        <v>30</v>
      </c>
      <c r="O453">
        <v>30</v>
      </c>
      <c r="P453" t="s">
        <v>41</v>
      </c>
      <c r="Q453">
        <v>404.7</v>
      </c>
      <c r="R453">
        <v>404.7</v>
      </c>
      <c r="S453">
        <v>607.04999999999995</v>
      </c>
      <c r="T453">
        <v>12141</v>
      </c>
      <c r="U453">
        <v>5</v>
      </c>
      <c r="V453" t="s">
        <v>42</v>
      </c>
      <c r="W453" t="s">
        <v>474</v>
      </c>
      <c r="X453" s="6" t="str">
        <f t="shared" si="15"/>
        <v>441811101</v>
      </c>
      <c r="Y453" s="7" t="str">
        <f t="shared" si="16"/>
        <v>DC</v>
      </c>
      <c r="Z453" s="7">
        <f t="shared" si="17"/>
        <v>0</v>
      </c>
      <c r="AA453" s="7">
        <f t="shared" si="18"/>
        <v>0</v>
      </c>
      <c r="AB453" s="7">
        <f t="shared" si="19"/>
        <v>0</v>
      </c>
      <c r="AC453" s="7">
        <f t="shared" si="20"/>
        <v>0</v>
      </c>
      <c r="AD453" s="7">
        <f t="shared" si="21"/>
        <v>30</v>
      </c>
      <c r="AE453" s="8" t="str" cm="1">
        <f t="array" ref="AE453">IFERROR(_xlfn.XLOOKUP(H453,Sheet1!$G:$G,Sheet1!$F:$F),IFERROR(_xlfn.XLOOKUP(1,(--($X$2:$X$1074=X453))*(--ISNUMBER(MATCH($H$2:$H$1074,Sheet1!$G:$G,0))),_xlfn.XLOOKUP($H$2:$H$1074,Sheet1!$G:$G,Sheet1!$F:$F,"")),"NOT FOUND"))</f>
        <v>GETKRTSFUT6103</v>
      </c>
      <c r="AF453" s="9" t="str">
        <f t="shared" si="28"/>
        <v>LIME GREEN</v>
      </c>
      <c r="AG453" s="10" t="str">
        <f t="shared" si="29"/>
        <v>Bangalore</v>
      </c>
      <c r="AH453" s="8" t="str" cm="1">
        <f t="array" ref="AH453">IF(OR(J453="",AE453="",AE453="NOT FOUND"),"",IF(Y453="RP",_xlfn.LET(_xlpm.desc,_xlfn.XLOOKUP(1,(--(Sheet1!$F$2:$F$754=AE453))*(--ISNUMBER(FIND("-",Sheet1!$W$2:$W$754,FIND("-",Sheet1!$W$2:$W$754)+1))),Sheet1!$W$2:$W$754,""),IF(_xlpm.desc="","NOT FOUND",LEFT(_xlpm.desc,FIND("-",_xlpm.desc,FIND("-",_xlpm.desc)+1))&amp;AE453)),LEFT(J453,FIND("-",J453,FIND("-",J453)+1))&amp;AE453))</f>
        <v>KRTS-APWN26-GETKRTSFUT6103</v>
      </c>
    </row>
    <row r="454" spans="1:34" ht="15.75" customHeight="1" x14ac:dyDescent="0.2">
      <c r="A454" t="s">
        <v>30</v>
      </c>
      <c r="B454" t="s">
        <v>173</v>
      </c>
      <c r="C454" t="s">
        <v>64</v>
      </c>
      <c r="D454" t="s">
        <v>81</v>
      </c>
      <c r="E454" t="s">
        <v>34</v>
      </c>
      <c r="F454" t="s">
        <v>35</v>
      </c>
      <c r="G454" t="s">
        <v>43</v>
      </c>
      <c r="H454" t="s">
        <v>177</v>
      </c>
      <c r="I454" t="s">
        <v>178</v>
      </c>
      <c r="J454" t="s">
        <v>179</v>
      </c>
      <c r="K454" t="s">
        <v>474</v>
      </c>
      <c r="L454" t="s">
        <v>40</v>
      </c>
      <c r="M454">
        <v>1</v>
      </c>
      <c r="N454">
        <v>187</v>
      </c>
      <c r="O454">
        <v>187</v>
      </c>
      <c r="P454" t="s">
        <v>41</v>
      </c>
      <c r="Q454">
        <v>404.7</v>
      </c>
      <c r="R454">
        <v>404.7</v>
      </c>
      <c r="S454">
        <v>3783.95</v>
      </c>
      <c r="T454">
        <v>75678.899999999994</v>
      </c>
      <c r="U454">
        <v>5</v>
      </c>
      <c r="V454" t="s">
        <v>42</v>
      </c>
      <c r="W454" t="s">
        <v>474</v>
      </c>
      <c r="X454" s="6" t="str">
        <f t="shared" si="15"/>
        <v>441811101</v>
      </c>
      <c r="Y454" s="7" t="str">
        <f t="shared" si="16"/>
        <v>DC</v>
      </c>
      <c r="Z454" s="7">
        <f t="shared" si="17"/>
        <v>0</v>
      </c>
      <c r="AA454" s="7">
        <f t="shared" si="18"/>
        <v>0</v>
      </c>
      <c r="AB454" s="7">
        <f t="shared" si="19"/>
        <v>187</v>
      </c>
      <c r="AC454" s="7">
        <f t="shared" si="20"/>
        <v>0</v>
      </c>
      <c r="AD454" s="7">
        <f t="shared" si="21"/>
        <v>0</v>
      </c>
      <c r="AE454" s="8" t="str" cm="1">
        <f t="array" ref="AE454">IFERROR(_xlfn.XLOOKUP(H454,Sheet1!$G:$G,Sheet1!$F:$F),IFERROR(_xlfn.XLOOKUP(1,(--($X$2:$X$1074=X454))*(--ISNUMBER(MATCH($H$2:$H$1074,Sheet1!$G:$G,0))),_xlfn.XLOOKUP($H$2:$H$1074,Sheet1!$G:$G,Sheet1!$F:$F,"")),"NOT FOUND"))</f>
        <v>GETKRTSFUT6103</v>
      </c>
      <c r="AF454" s="9" t="str">
        <f t="shared" si="28"/>
        <v>LIME GREEN</v>
      </c>
      <c r="AG454" s="10" t="str">
        <f t="shared" si="29"/>
        <v>Bangalore</v>
      </c>
      <c r="AH454" s="8" t="str" cm="1">
        <f t="array" ref="AH454">IF(OR(J454="",AE454="",AE454="NOT FOUND"),"",IF(Y454="RP",_xlfn.LET(_xlpm.desc,_xlfn.XLOOKUP(1,(--(Sheet1!$F$2:$F$754=AE454))*(--ISNUMBER(FIND("-",Sheet1!$W$2:$W$754,FIND("-",Sheet1!$W$2:$W$754)+1))),Sheet1!$W$2:$W$754,""),IF(_xlpm.desc="","NOT FOUND",LEFT(_xlpm.desc,FIND("-",_xlpm.desc,FIND("-",_xlpm.desc)+1))&amp;AE454)),LEFT(J454,FIND("-",J454,FIND("-",J454)+1))&amp;AE454))</f>
        <v>KRTS-APWN26-GETKRTSFUT6103</v>
      </c>
    </row>
    <row r="455" spans="1:34" ht="15.75" customHeight="1" x14ac:dyDescent="0.2">
      <c r="A455" t="s">
        <v>30</v>
      </c>
      <c r="B455" t="s">
        <v>173</v>
      </c>
      <c r="C455" t="s">
        <v>64</v>
      </c>
      <c r="D455" t="s">
        <v>81</v>
      </c>
      <c r="E455" t="s">
        <v>34</v>
      </c>
      <c r="F455" t="s">
        <v>35</v>
      </c>
      <c r="G455" t="s">
        <v>47</v>
      </c>
      <c r="H455" t="s">
        <v>180</v>
      </c>
      <c r="I455" t="s">
        <v>181</v>
      </c>
      <c r="J455" t="s">
        <v>182</v>
      </c>
      <c r="K455" t="s">
        <v>474</v>
      </c>
      <c r="L455" t="s">
        <v>40</v>
      </c>
      <c r="M455">
        <v>1</v>
      </c>
      <c r="N455">
        <v>187</v>
      </c>
      <c r="O455">
        <v>187</v>
      </c>
      <c r="P455" t="s">
        <v>41</v>
      </c>
      <c r="Q455">
        <v>404.7</v>
      </c>
      <c r="R455">
        <v>404.7</v>
      </c>
      <c r="S455">
        <v>3783.95</v>
      </c>
      <c r="T455">
        <v>75678.899999999994</v>
      </c>
      <c r="U455">
        <v>5</v>
      </c>
      <c r="V455" t="s">
        <v>42</v>
      </c>
      <c r="W455" t="s">
        <v>474</v>
      </c>
      <c r="X455" s="6" t="str">
        <f t="shared" si="15"/>
        <v>441811101</v>
      </c>
      <c r="Y455" s="7" t="str">
        <f t="shared" si="16"/>
        <v>DC</v>
      </c>
      <c r="Z455" s="7">
        <f t="shared" si="17"/>
        <v>0</v>
      </c>
      <c r="AA455" s="7">
        <f t="shared" si="18"/>
        <v>187</v>
      </c>
      <c r="AB455" s="7">
        <f t="shared" si="19"/>
        <v>0</v>
      </c>
      <c r="AC455" s="7">
        <f t="shared" si="20"/>
        <v>0</v>
      </c>
      <c r="AD455" s="7">
        <f t="shared" si="21"/>
        <v>0</v>
      </c>
      <c r="AE455" s="8" t="str" cm="1">
        <f t="array" ref="AE455">IFERROR(_xlfn.XLOOKUP(H455,Sheet1!$G:$G,Sheet1!$F:$F),IFERROR(_xlfn.XLOOKUP(1,(--($X$2:$X$1074=X455))*(--ISNUMBER(MATCH($H$2:$H$1074,Sheet1!$G:$G,0))),_xlfn.XLOOKUP($H$2:$H$1074,Sheet1!$G:$G,Sheet1!$F:$F,"")),"NOT FOUND"))</f>
        <v>GETKRTSFUT6103</v>
      </c>
      <c r="AF455" s="9" t="str">
        <f t="shared" si="28"/>
        <v>LIME GREEN</v>
      </c>
      <c r="AG455" s="10" t="str">
        <f t="shared" si="29"/>
        <v>Bangalore</v>
      </c>
      <c r="AH455" s="8" t="str" cm="1">
        <f t="array" ref="AH455">IF(OR(J455="",AE455="",AE455="NOT FOUND"),"",IF(Y455="RP",_xlfn.LET(_xlpm.desc,_xlfn.XLOOKUP(1,(--(Sheet1!$F$2:$F$754=AE455))*(--ISNUMBER(FIND("-",Sheet1!$W$2:$W$754,FIND("-",Sheet1!$W$2:$W$754)+1))),Sheet1!$W$2:$W$754,""),IF(_xlpm.desc="","NOT FOUND",LEFT(_xlpm.desc,FIND("-",_xlpm.desc,FIND("-",_xlpm.desc)+1))&amp;AE455)),LEFT(J455,FIND("-",J455,FIND("-",J455)+1))&amp;AE455))</f>
        <v>KRTS-APWN26-GETKRTSFUT6103</v>
      </c>
    </row>
    <row r="456" spans="1:34" ht="15.75" customHeight="1" x14ac:dyDescent="0.2">
      <c r="A456" t="s">
        <v>30</v>
      </c>
      <c r="B456" t="s">
        <v>173</v>
      </c>
      <c r="C456" t="s">
        <v>64</v>
      </c>
      <c r="D456" t="s">
        <v>81</v>
      </c>
      <c r="E456" t="s">
        <v>34</v>
      </c>
      <c r="F456" t="s">
        <v>35</v>
      </c>
      <c r="G456" t="s">
        <v>51</v>
      </c>
      <c r="H456" t="s">
        <v>183</v>
      </c>
      <c r="I456" t="s">
        <v>184</v>
      </c>
      <c r="J456" t="s">
        <v>185</v>
      </c>
      <c r="K456" t="s">
        <v>474</v>
      </c>
      <c r="L456" t="s">
        <v>40</v>
      </c>
      <c r="M456">
        <v>1</v>
      </c>
      <c r="N456">
        <v>30</v>
      </c>
      <c r="O456">
        <v>30</v>
      </c>
      <c r="P456" t="s">
        <v>41</v>
      </c>
      <c r="Q456">
        <v>404.7</v>
      </c>
      <c r="R456">
        <v>404.7</v>
      </c>
      <c r="S456">
        <v>607.04999999999995</v>
      </c>
      <c r="T456">
        <v>12141</v>
      </c>
      <c r="U456">
        <v>5</v>
      </c>
      <c r="V456" t="s">
        <v>42</v>
      </c>
      <c r="W456" t="s">
        <v>474</v>
      </c>
      <c r="X456" s="6" t="str">
        <f t="shared" si="15"/>
        <v>441811101</v>
      </c>
      <c r="Y456" s="7" t="str">
        <f t="shared" si="16"/>
        <v>DC</v>
      </c>
      <c r="Z456" s="7">
        <f t="shared" si="17"/>
        <v>30</v>
      </c>
      <c r="AA456" s="7">
        <f t="shared" si="18"/>
        <v>0</v>
      </c>
      <c r="AB456" s="7">
        <f t="shared" si="19"/>
        <v>0</v>
      </c>
      <c r="AC456" s="7">
        <f t="shared" si="20"/>
        <v>0</v>
      </c>
      <c r="AD456" s="7">
        <f t="shared" si="21"/>
        <v>0</v>
      </c>
      <c r="AE456" s="8" t="str" cm="1">
        <f t="array" ref="AE456">IFERROR(_xlfn.XLOOKUP(H456,Sheet1!$G:$G,Sheet1!$F:$F),IFERROR(_xlfn.XLOOKUP(1,(--($X$2:$X$1074=X456))*(--ISNUMBER(MATCH($H$2:$H$1074,Sheet1!$G:$G,0))),_xlfn.XLOOKUP($H$2:$H$1074,Sheet1!$G:$G,Sheet1!$F:$F,"")),"NOT FOUND"))</f>
        <v>GETKRTSFUT6103</v>
      </c>
      <c r="AF456" s="9" t="str">
        <f t="shared" si="28"/>
        <v>LIME GREEN</v>
      </c>
      <c r="AG456" s="10" t="str">
        <f t="shared" si="29"/>
        <v>Bangalore</v>
      </c>
      <c r="AH456" s="8" t="str" cm="1">
        <f t="array" ref="AH456">IF(OR(J456="",AE456="",AE456="NOT FOUND"),"",IF(Y456="RP",_xlfn.LET(_xlpm.desc,_xlfn.XLOOKUP(1,(--(Sheet1!$F$2:$F$754=AE456))*(--ISNUMBER(FIND("-",Sheet1!$W$2:$W$754,FIND("-",Sheet1!$W$2:$W$754)+1))),Sheet1!$W$2:$W$754,""),IF(_xlpm.desc="","NOT FOUND",LEFT(_xlpm.desc,FIND("-",_xlpm.desc,FIND("-",_xlpm.desc)+1))&amp;AE456)),LEFT(J456,FIND("-",J456,FIND("-",J456)+1))&amp;AE456))</f>
        <v>KRTS-APWN26-GETKRTSFUT6103</v>
      </c>
    </row>
    <row r="457" spans="1:34" ht="15.75" customHeight="1" x14ac:dyDescent="0.2">
      <c r="A457" t="s">
        <v>30</v>
      </c>
      <c r="B457" t="s">
        <v>173</v>
      </c>
      <c r="C457" t="s">
        <v>64</v>
      </c>
      <c r="D457" t="s">
        <v>81</v>
      </c>
      <c r="E457" t="s">
        <v>34</v>
      </c>
      <c r="F457" t="s">
        <v>35</v>
      </c>
      <c r="G457" t="s">
        <v>55</v>
      </c>
      <c r="H457" t="s">
        <v>186</v>
      </c>
      <c r="I457" t="s">
        <v>187</v>
      </c>
      <c r="J457" t="s">
        <v>188</v>
      </c>
      <c r="K457" t="s">
        <v>474</v>
      </c>
      <c r="L457" t="s">
        <v>40</v>
      </c>
      <c r="M457">
        <v>1</v>
      </c>
      <c r="N457">
        <v>158</v>
      </c>
      <c r="O457">
        <v>158</v>
      </c>
      <c r="P457" t="s">
        <v>41</v>
      </c>
      <c r="Q457">
        <v>404.7</v>
      </c>
      <c r="R457">
        <v>404.7</v>
      </c>
      <c r="S457">
        <v>3197.13</v>
      </c>
      <c r="T457">
        <v>63942.6</v>
      </c>
      <c r="U457">
        <v>5</v>
      </c>
      <c r="V457" t="s">
        <v>42</v>
      </c>
      <c r="W457" t="s">
        <v>474</v>
      </c>
      <c r="X457" s="6" t="str">
        <f t="shared" si="15"/>
        <v>441811101</v>
      </c>
      <c r="Y457" s="7" t="str">
        <f t="shared" si="16"/>
        <v>DC</v>
      </c>
      <c r="Z457" s="7">
        <f t="shared" si="17"/>
        <v>0</v>
      </c>
      <c r="AA457" s="7">
        <f t="shared" si="18"/>
        <v>0</v>
      </c>
      <c r="AB457" s="7">
        <f t="shared" si="19"/>
        <v>0</v>
      </c>
      <c r="AC457" s="7">
        <f t="shared" si="20"/>
        <v>158</v>
      </c>
      <c r="AD457" s="7">
        <f t="shared" si="21"/>
        <v>0</v>
      </c>
      <c r="AE457" s="8" t="str" cm="1">
        <f t="array" ref="AE457">IFERROR(_xlfn.XLOOKUP(H457,Sheet1!$G:$G,Sheet1!$F:$F),IFERROR(_xlfn.XLOOKUP(1,(--($X$2:$X$1074=X457))*(--ISNUMBER(MATCH($H$2:$H$1074,Sheet1!$G:$G,0))),_xlfn.XLOOKUP($H$2:$H$1074,Sheet1!$G:$G,Sheet1!$F:$F,"")),"NOT FOUND"))</f>
        <v>GETKRTSFUT6103</v>
      </c>
      <c r="AF457" s="9" t="str">
        <f t="shared" si="28"/>
        <v>LIME GREEN</v>
      </c>
      <c r="AG457" s="10" t="str">
        <f t="shared" si="29"/>
        <v>Bangalore</v>
      </c>
      <c r="AH457" s="8" t="str" cm="1">
        <f t="array" ref="AH457">IF(OR(J457="",AE457="",AE457="NOT FOUND"),"",IF(Y457="RP",_xlfn.LET(_xlpm.desc,_xlfn.XLOOKUP(1,(--(Sheet1!$F$2:$F$754=AE457))*(--ISNUMBER(FIND("-",Sheet1!$W$2:$W$754,FIND("-",Sheet1!$W$2:$W$754)+1))),Sheet1!$W$2:$W$754,""),IF(_xlpm.desc="","NOT FOUND",LEFT(_xlpm.desc,FIND("-",_xlpm.desc,FIND("-",_xlpm.desc)+1))&amp;AE457)),LEFT(J457,FIND("-",J457,FIND("-",J457)+1))&amp;AE457))</f>
        <v>KRTS-APWN26-GETKRTSFUT6103</v>
      </c>
    </row>
    <row r="458" spans="1:34" ht="15.75" customHeight="1" x14ac:dyDescent="0.2">
      <c r="A458" t="s">
        <v>59</v>
      </c>
      <c r="B458" t="s">
        <v>190</v>
      </c>
      <c r="C458" t="s">
        <v>64</v>
      </c>
      <c r="D458" t="s">
        <v>33</v>
      </c>
      <c r="E458" t="s">
        <v>34</v>
      </c>
      <c r="F458" t="s">
        <v>35</v>
      </c>
      <c r="G458" t="s">
        <v>55</v>
      </c>
      <c r="H458" t="s">
        <v>170</v>
      </c>
      <c r="I458" t="s">
        <v>171</v>
      </c>
      <c r="J458" t="s">
        <v>172</v>
      </c>
      <c r="K458" t="s">
        <v>474</v>
      </c>
      <c r="L458" t="s">
        <v>40</v>
      </c>
      <c r="M458">
        <v>1</v>
      </c>
      <c r="N458">
        <v>132</v>
      </c>
      <c r="O458">
        <v>132</v>
      </c>
      <c r="P458" t="s">
        <v>41</v>
      </c>
      <c r="Q458">
        <v>309.7</v>
      </c>
      <c r="R458">
        <v>309.7</v>
      </c>
      <c r="S458">
        <v>2044.02</v>
      </c>
      <c r="T458">
        <v>40880.400000000001</v>
      </c>
      <c r="U458">
        <v>5</v>
      </c>
      <c r="V458" t="s">
        <v>42</v>
      </c>
      <c r="W458" t="s">
        <v>474</v>
      </c>
      <c r="X458" s="6" t="str">
        <f t="shared" si="15"/>
        <v>441811102</v>
      </c>
      <c r="Y458" s="7" t="str">
        <f t="shared" si="16"/>
        <v>DC</v>
      </c>
      <c r="Z458" s="7">
        <f t="shared" si="17"/>
        <v>0</v>
      </c>
      <c r="AA458" s="7">
        <f t="shared" si="18"/>
        <v>0</v>
      </c>
      <c r="AB458" s="7">
        <f t="shared" si="19"/>
        <v>0</v>
      </c>
      <c r="AC458" s="7">
        <f t="shared" si="20"/>
        <v>132</v>
      </c>
      <c r="AD458" s="7">
        <f t="shared" si="21"/>
        <v>0</v>
      </c>
      <c r="AE458" s="8" t="str" cm="1">
        <f t="array" ref="AE458">IFERROR(_xlfn.XLOOKUP(H458,Sheet1!$G:$G,Sheet1!$F:$F),IFERROR(_xlfn.XLOOKUP(1,(--($X$2:$X$1074=X458))*(--ISNUMBER(MATCH($H$2:$H$1074,Sheet1!$G:$G,0))),_xlfn.XLOOKUP($H$2:$H$1074,Sheet1!$G:$G,Sheet1!$F:$F,"")),"NOT FOUND"))</f>
        <v>GETKRTSFUT6105</v>
      </c>
      <c r="AF458" s="9" t="str">
        <f t="shared" si="28"/>
        <v>MUSTARD</v>
      </c>
      <c r="AG458" s="10" t="str">
        <f t="shared" si="29"/>
        <v>JHAJJAR</v>
      </c>
      <c r="AH458" s="8" t="str" cm="1">
        <f t="array" ref="AH458">IF(OR(J458="",AE458="",AE458="NOT FOUND"),"",IF(Y458="RP",_xlfn.LET(_xlpm.desc,_xlfn.XLOOKUP(1,(--(Sheet1!$F$2:$F$754=AE458))*(--ISNUMBER(FIND("-",Sheet1!$W$2:$W$754,FIND("-",Sheet1!$W$2:$W$754)+1))),Sheet1!$W$2:$W$754,""),IF(_xlpm.desc="","NOT FOUND",LEFT(_xlpm.desc,FIND("-",_xlpm.desc,FIND("-",_xlpm.desc)+1))&amp;AE458)),LEFT(J458,FIND("-",J458,FIND("-",J458)+1))&amp;AE458))</f>
        <v>KRTS-APWN26-GETKRTSFUT6105</v>
      </c>
    </row>
    <row r="459" spans="1:34" ht="15.75" customHeight="1" x14ac:dyDescent="0.2">
      <c r="A459" t="s">
        <v>30</v>
      </c>
      <c r="B459" t="s">
        <v>191</v>
      </c>
      <c r="C459" t="s">
        <v>64</v>
      </c>
      <c r="D459" t="s">
        <v>1157</v>
      </c>
      <c r="E459" t="s">
        <v>34</v>
      </c>
      <c r="F459" t="s">
        <v>35</v>
      </c>
      <c r="G459" t="s">
        <v>36</v>
      </c>
      <c r="H459" t="s">
        <v>193</v>
      </c>
      <c r="I459" t="s">
        <v>194</v>
      </c>
      <c r="J459" t="s">
        <v>195</v>
      </c>
      <c r="K459" t="s">
        <v>474</v>
      </c>
      <c r="L459" t="s">
        <v>40</v>
      </c>
      <c r="M459">
        <v>1</v>
      </c>
      <c r="N459">
        <v>30</v>
      </c>
      <c r="O459">
        <v>30</v>
      </c>
      <c r="P459" t="s">
        <v>41</v>
      </c>
      <c r="Q459">
        <v>312.7</v>
      </c>
      <c r="R459">
        <v>312.7</v>
      </c>
      <c r="S459">
        <v>469.05</v>
      </c>
      <c r="T459">
        <v>9381</v>
      </c>
      <c r="U459">
        <v>5</v>
      </c>
      <c r="V459" t="s">
        <v>42</v>
      </c>
      <c r="W459" t="s">
        <v>474</v>
      </c>
      <c r="X459" s="6" t="str">
        <f t="shared" si="15"/>
        <v>441811099</v>
      </c>
      <c r="Y459" s="7" t="str">
        <f t="shared" si="16"/>
        <v>DC</v>
      </c>
      <c r="Z459" s="7">
        <f t="shared" si="17"/>
        <v>0</v>
      </c>
      <c r="AA459" s="7">
        <f t="shared" si="18"/>
        <v>0</v>
      </c>
      <c r="AB459" s="7">
        <f t="shared" si="19"/>
        <v>0</v>
      </c>
      <c r="AC459" s="7">
        <f t="shared" si="20"/>
        <v>0</v>
      </c>
      <c r="AD459" s="7">
        <f t="shared" si="21"/>
        <v>30</v>
      </c>
      <c r="AE459" s="8" t="str" cm="1">
        <f t="array" ref="AE459">IFERROR(_xlfn.XLOOKUP(H459,Sheet1!$G:$G,Sheet1!$F:$F),IFERROR(_xlfn.XLOOKUP(1,(--($X$2:$X$1074=X459))*(--ISNUMBER(MATCH($H$2:$H$1074,Sheet1!$G:$G,0))),_xlfn.XLOOKUP($H$2:$H$1074,Sheet1!$G:$G,Sheet1!$F:$F,"")),"NOT FOUND"))</f>
        <v>GETKRTSFUT6100</v>
      </c>
      <c r="AF459" s="9" t="str">
        <f t="shared" si="28"/>
        <v>MUSTARD</v>
      </c>
      <c r="AG459" s="10" t="str">
        <f t="shared" si="29"/>
        <v>Bangalore</v>
      </c>
      <c r="AH459" s="8" t="str" cm="1">
        <f t="array" ref="AH459">IF(OR(J459="",AE459="",AE459="NOT FOUND"),"",IF(Y459="RP",_xlfn.LET(_xlpm.desc,_xlfn.XLOOKUP(1,(--(Sheet1!$F$2:$F$754=AE459))*(--ISNUMBER(FIND("-",Sheet1!$W$2:$W$754,FIND("-",Sheet1!$W$2:$W$754)+1))),Sheet1!$W$2:$W$754,""),IF(_xlpm.desc="","NOT FOUND",LEFT(_xlpm.desc,FIND("-",_xlpm.desc,FIND("-",_xlpm.desc)+1))&amp;AE459)),LEFT(J459,FIND("-",J459,FIND("-",J459)+1))&amp;AE459))</f>
        <v>KRTS-APWN26-GETKRTSFUT6100</v>
      </c>
    </row>
    <row r="460" spans="1:34" ht="15.75" customHeight="1" x14ac:dyDescent="0.2">
      <c r="A460" t="s">
        <v>30</v>
      </c>
      <c r="B460" t="s">
        <v>191</v>
      </c>
      <c r="C460" t="s">
        <v>64</v>
      </c>
      <c r="D460" t="s">
        <v>1157</v>
      </c>
      <c r="E460" t="s">
        <v>34</v>
      </c>
      <c r="F460" t="s">
        <v>35</v>
      </c>
      <c r="G460" t="s">
        <v>43</v>
      </c>
      <c r="H460" t="s">
        <v>196</v>
      </c>
      <c r="I460" t="s">
        <v>197</v>
      </c>
      <c r="J460" t="s">
        <v>198</v>
      </c>
      <c r="K460" t="s">
        <v>474</v>
      </c>
      <c r="L460" t="s">
        <v>40</v>
      </c>
      <c r="M460">
        <v>1</v>
      </c>
      <c r="N460">
        <v>257</v>
      </c>
      <c r="O460">
        <v>257</v>
      </c>
      <c r="P460" t="s">
        <v>41</v>
      </c>
      <c r="Q460">
        <v>312.7</v>
      </c>
      <c r="R460">
        <v>312.7</v>
      </c>
      <c r="S460">
        <v>4018.2</v>
      </c>
      <c r="T460">
        <v>80363.899999999994</v>
      </c>
      <c r="U460">
        <v>5</v>
      </c>
      <c r="V460" t="s">
        <v>42</v>
      </c>
      <c r="W460" t="s">
        <v>474</v>
      </c>
      <c r="X460" s="6" t="str">
        <f t="shared" si="15"/>
        <v>441811099</v>
      </c>
      <c r="Y460" s="7" t="str">
        <f t="shared" si="16"/>
        <v>DC</v>
      </c>
      <c r="Z460" s="7">
        <f t="shared" si="17"/>
        <v>0</v>
      </c>
      <c r="AA460" s="7">
        <f t="shared" si="18"/>
        <v>0</v>
      </c>
      <c r="AB460" s="7">
        <f t="shared" si="19"/>
        <v>257</v>
      </c>
      <c r="AC460" s="7">
        <f t="shared" si="20"/>
        <v>0</v>
      </c>
      <c r="AD460" s="7">
        <f t="shared" si="21"/>
        <v>0</v>
      </c>
      <c r="AE460" s="8" t="str" cm="1">
        <f t="array" ref="AE460">IFERROR(_xlfn.XLOOKUP(H460,Sheet1!$G:$G,Sheet1!$F:$F),IFERROR(_xlfn.XLOOKUP(1,(--($X$2:$X$1074=X460))*(--ISNUMBER(MATCH($H$2:$H$1074,Sheet1!$G:$G,0))),_xlfn.XLOOKUP($H$2:$H$1074,Sheet1!$G:$G,Sheet1!$F:$F,"")),"NOT FOUND"))</f>
        <v>GETKRTSFUT6100</v>
      </c>
      <c r="AF460" s="9" t="str">
        <f t="shared" si="28"/>
        <v>MUSTARD</v>
      </c>
      <c r="AG460" s="10" t="str">
        <f t="shared" si="29"/>
        <v>Bangalore</v>
      </c>
      <c r="AH460" s="8" t="str" cm="1">
        <f t="array" ref="AH460">IF(OR(J460="",AE460="",AE460="NOT FOUND"),"",IF(Y460="RP",_xlfn.LET(_xlpm.desc,_xlfn.XLOOKUP(1,(--(Sheet1!$F$2:$F$754=AE460))*(--ISNUMBER(FIND("-",Sheet1!$W$2:$W$754,FIND("-",Sheet1!$W$2:$W$754)+1))),Sheet1!$W$2:$W$754,""),IF(_xlpm.desc="","NOT FOUND",LEFT(_xlpm.desc,FIND("-",_xlpm.desc,FIND("-",_xlpm.desc)+1))&amp;AE460)),LEFT(J460,FIND("-",J460,FIND("-",J460)+1))&amp;AE460))</f>
        <v>KRTS-APWN26-GETKRTSFUT6100</v>
      </c>
    </row>
    <row r="461" spans="1:34" ht="15.75" customHeight="1" x14ac:dyDescent="0.2">
      <c r="A461" t="s">
        <v>30</v>
      </c>
      <c r="B461" t="s">
        <v>191</v>
      </c>
      <c r="C461" t="s">
        <v>64</v>
      </c>
      <c r="D461" t="s">
        <v>1157</v>
      </c>
      <c r="E461" t="s">
        <v>34</v>
      </c>
      <c r="F461" t="s">
        <v>35</v>
      </c>
      <c r="G461" t="s">
        <v>47</v>
      </c>
      <c r="H461" t="s">
        <v>199</v>
      </c>
      <c r="I461" t="s">
        <v>200</v>
      </c>
      <c r="J461" t="s">
        <v>201</v>
      </c>
      <c r="K461" t="s">
        <v>474</v>
      </c>
      <c r="L461" t="s">
        <v>40</v>
      </c>
      <c r="M461">
        <v>1</v>
      </c>
      <c r="N461">
        <v>257</v>
      </c>
      <c r="O461">
        <v>257</v>
      </c>
      <c r="P461" t="s">
        <v>41</v>
      </c>
      <c r="Q461">
        <v>312.7</v>
      </c>
      <c r="R461">
        <v>312.7</v>
      </c>
      <c r="S461">
        <v>4018.2</v>
      </c>
      <c r="T461">
        <v>80363.899999999994</v>
      </c>
      <c r="U461">
        <v>5</v>
      </c>
      <c r="V461" t="s">
        <v>42</v>
      </c>
      <c r="W461" t="s">
        <v>474</v>
      </c>
      <c r="X461" s="6" t="str">
        <f t="shared" si="15"/>
        <v>441811099</v>
      </c>
      <c r="Y461" s="7" t="str">
        <f t="shared" si="16"/>
        <v>DC</v>
      </c>
      <c r="Z461" s="7">
        <f t="shared" si="17"/>
        <v>0</v>
      </c>
      <c r="AA461" s="7">
        <f t="shared" si="18"/>
        <v>257</v>
      </c>
      <c r="AB461" s="7">
        <f t="shared" si="19"/>
        <v>0</v>
      </c>
      <c r="AC461" s="7">
        <f t="shared" si="20"/>
        <v>0</v>
      </c>
      <c r="AD461" s="7">
        <f t="shared" si="21"/>
        <v>0</v>
      </c>
      <c r="AE461" s="8" t="str" cm="1">
        <f t="array" ref="AE461">IFERROR(_xlfn.XLOOKUP(H461,Sheet1!$G:$G,Sheet1!$F:$F),IFERROR(_xlfn.XLOOKUP(1,(--($X$2:$X$1074=X461))*(--ISNUMBER(MATCH($H$2:$H$1074,Sheet1!$G:$G,0))),_xlfn.XLOOKUP($H$2:$H$1074,Sheet1!$G:$G,Sheet1!$F:$F,"")),"NOT FOUND"))</f>
        <v>GETKRTSFUT6100</v>
      </c>
      <c r="AF461" s="9" t="str">
        <f t="shared" si="28"/>
        <v>MUSTARD</v>
      </c>
      <c r="AG461" s="10" t="str">
        <f t="shared" si="29"/>
        <v>Bangalore</v>
      </c>
      <c r="AH461" s="8" t="str" cm="1">
        <f t="array" ref="AH461">IF(OR(J461="",AE461="",AE461="NOT FOUND"),"",IF(Y461="RP",_xlfn.LET(_xlpm.desc,_xlfn.XLOOKUP(1,(--(Sheet1!$F$2:$F$754=AE461))*(--ISNUMBER(FIND("-",Sheet1!$W$2:$W$754,FIND("-",Sheet1!$W$2:$W$754)+1))),Sheet1!$W$2:$W$754,""),IF(_xlpm.desc="","NOT FOUND",LEFT(_xlpm.desc,FIND("-",_xlpm.desc,FIND("-",_xlpm.desc)+1))&amp;AE461)),LEFT(J461,FIND("-",J461,FIND("-",J461)+1))&amp;AE461))</f>
        <v>KRTS-APWN26-GETKRTSFUT6100</v>
      </c>
    </row>
    <row r="462" spans="1:34" ht="15.75" customHeight="1" x14ac:dyDescent="0.2">
      <c r="A462" t="s">
        <v>30</v>
      </c>
      <c r="B462" t="s">
        <v>191</v>
      </c>
      <c r="C462" t="s">
        <v>64</v>
      </c>
      <c r="D462" t="s">
        <v>1157</v>
      </c>
      <c r="E462" t="s">
        <v>34</v>
      </c>
      <c r="F462" t="s">
        <v>35</v>
      </c>
      <c r="G462" t="s">
        <v>51</v>
      </c>
      <c r="H462" t="s">
        <v>202</v>
      </c>
      <c r="I462" t="s">
        <v>203</v>
      </c>
      <c r="J462" t="s">
        <v>204</v>
      </c>
      <c r="K462" t="s">
        <v>474</v>
      </c>
      <c r="L462" t="s">
        <v>40</v>
      </c>
      <c r="M462">
        <v>1</v>
      </c>
      <c r="N462">
        <v>30</v>
      </c>
      <c r="O462">
        <v>30</v>
      </c>
      <c r="P462" t="s">
        <v>41</v>
      </c>
      <c r="Q462">
        <v>312.7</v>
      </c>
      <c r="R462">
        <v>312.7</v>
      </c>
      <c r="S462">
        <v>469.05</v>
      </c>
      <c r="T462">
        <v>9381</v>
      </c>
      <c r="U462">
        <v>5</v>
      </c>
      <c r="V462" t="s">
        <v>42</v>
      </c>
      <c r="W462" t="s">
        <v>474</v>
      </c>
      <c r="X462" s="6" t="str">
        <f t="shared" si="15"/>
        <v>441811099</v>
      </c>
      <c r="Y462" s="7" t="str">
        <f t="shared" si="16"/>
        <v>DC</v>
      </c>
      <c r="Z462" s="7">
        <f t="shared" si="17"/>
        <v>30</v>
      </c>
      <c r="AA462" s="7">
        <f t="shared" si="18"/>
        <v>0</v>
      </c>
      <c r="AB462" s="7">
        <f t="shared" si="19"/>
        <v>0</v>
      </c>
      <c r="AC462" s="7">
        <f t="shared" si="20"/>
        <v>0</v>
      </c>
      <c r="AD462" s="7">
        <f t="shared" si="21"/>
        <v>0</v>
      </c>
      <c r="AE462" s="8" t="str" cm="1">
        <f t="array" ref="AE462">IFERROR(_xlfn.XLOOKUP(H462,Sheet1!$G:$G,Sheet1!$F:$F),IFERROR(_xlfn.XLOOKUP(1,(--($X$2:$X$1074=X462))*(--ISNUMBER(MATCH($H$2:$H$1074,Sheet1!$G:$G,0))),_xlfn.XLOOKUP($H$2:$H$1074,Sheet1!$G:$G,Sheet1!$F:$F,"")),"NOT FOUND"))</f>
        <v>GETKRTSFUT6100</v>
      </c>
      <c r="AF462" s="9" t="str">
        <f t="shared" si="28"/>
        <v>MUSTARD</v>
      </c>
      <c r="AG462" s="10" t="str">
        <f t="shared" si="29"/>
        <v>Bangalore</v>
      </c>
      <c r="AH462" s="8" t="str" cm="1">
        <f t="array" ref="AH462">IF(OR(J462="",AE462="",AE462="NOT FOUND"),"",IF(Y462="RP",_xlfn.LET(_xlpm.desc,_xlfn.XLOOKUP(1,(--(Sheet1!$F$2:$F$754=AE462))*(--ISNUMBER(FIND("-",Sheet1!$W$2:$W$754,FIND("-",Sheet1!$W$2:$W$754)+1))),Sheet1!$W$2:$W$754,""),IF(_xlpm.desc="","NOT FOUND",LEFT(_xlpm.desc,FIND("-",_xlpm.desc,FIND("-",_xlpm.desc)+1))&amp;AE462)),LEFT(J462,FIND("-",J462,FIND("-",J462)+1))&amp;AE462))</f>
        <v>KRTS-APWN26-GETKRTSFUT6100</v>
      </c>
    </row>
    <row r="463" spans="1:34" ht="15.75" customHeight="1" x14ac:dyDescent="0.2">
      <c r="A463" t="s">
        <v>30</v>
      </c>
      <c r="B463" t="s">
        <v>191</v>
      </c>
      <c r="C463" t="s">
        <v>64</v>
      </c>
      <c r="D463" t="s">
        <v>1157</v>
      </c>
      <c r="E463" t="s">
        <v>34</v>
      </c>
      <c r="F463" t="s">
        <v>35</v>
      </c>
      <c r="G463" t="s">
        <v>55</v>
      </c>
      <c r="H463" t="s">
        <v>205</v>
      </c>
      <c r="I463" t="s">
        <v>206</v>
      </c>
      <c r="J463" t="s">
        <v>207</v>
      </c>
      <c r="K463" t="s">
        <v>474</v>
      </c>
      <c r="L463" t="s">
        <v>40</v>
      </c>
      <c r="M463">
        <v>1</v>
      </c>
      <c r="N463">
        <v>217</v>
      </c>
      <c r="O463">
        <v>217</v>
      </c>
      <c r="P463" t="s">
        <v>41</v>
      </c>
      <c r="Q463">
        <v>312.7</v>
      </c>
      <c r="R463">
        <v>312.7</v>
      </c>
      <c r="S463">
        <v>3392.8</v>
      </c>
      <c r="T463">
        <v>67855.899999999994</v>
      </c>
      <c r="U463">
        <v>5</v>
      </c>
      <c r="V463" t="s">
        <v>42</v>
      </c>
      <c r="W463" t="s">
        <v>474</v>
      </c>
      <c r="X463" s="6" t="str">
        <f t="shared" si="15"/>
        <v>441811099</v>
      </c>
      <c r="Y463" s="7" t="str">
        <f t="shared" si="16"/>
        <v>DC</v>
      </c>
      <c r="Z463" s="7">
        <f t="shared" si="17"/>
        <v>0</v>
      </c>
      <c r="AA463" s="7">
        <f t="shared" si="18"/>
        <v>0</v>
      </c>
      <c r="AB463" s="7">
        <f t="shared" si="19"/>
        <v>0</v>
      </c>
      <c r="AC463" s="7">
        <f t="shared" si="20"/>
        <v>217</v>
      </c>
      <c r="AD463" s="7">
        <f t="shared" si="21"/>
        <v>0</v>
      </c>
      <c r="AE463" s="8" t="str" cm="1">
        <f t="array" ref="AE463">IFERROR(_xlfn.XLOOKUP(H463,Sheet1!$G:$G,Sheet1!$F:$F),IFERROR(_xlfn.XLOOKUP(1,(--($X$2:$X$1074=X463))*(--ISNUMBER(MATCH($H$2:$H$1074,Sheet1!$G:$G,0))),_xlfn.XLOOKUP($H$2:$H$1074,Sheet1!$G:$G,Sheet1!$F:$F,"")),"NOT FOUND"))</f>
        <v>GETKRTSFUT6100</v>
      </c>
      <c r="AF463" s="9" t="str">
        <f t="shared" si="28"/>
        <v>MUSTARD</v>
      </c>
      <c r="AG463" s="10" t="str">
        <f t="shared" si="29"/>
        <v>Bangalore</v>
      </c>
      <c r="AH463" s="8" t="str" cm="1">
        <f t="array" ref="AH463">IF(OR(J463="",AE463="",AE463="NOT FOUND"),"",IF(Y463="RP",_xlfn.LET(_xlpm.desc,_xlfn.XLOOKUP(1,(--(Sheet1!$F$2:$F$754=AE463))*(--ISNUMBER(FIND("-",Sheet1!$W$2:$W$754,FIND("-",Sheet1!$W$2:$W$754)+1))),Sheet1!$W$2:$W$754,""),IF(_xlpm.desc="","NOT FOUND",LEFT(_xlpm.desc,FIND("-",_xlpm.desc,FIND("-",_xlpm.desc)+1))&amp;AE463)),LEFT(J463,FIND("-",J463,FIND("-",J463)+1))&amp;AE463))</f>
        <v>KRTS-APWN26-GETKRTSFUT6100</v>
      </c>
    </row>
    <row r="464" spans="1:34" ht="15.75" customHeight="1" x14ac:dyDescent="0.2">
      <c r="A464" t="s">
        <v>59</v>
      </c>
      <c r="B464" t="s">
        <v>208</v>
      </c>
      <c r="C464" t="s">
        <v>64</v>
      </c>
      <c r="D464" t="s">
        <v>81</v>
      </c>
      <c r="E464" t="s">
        <v>34</v>
      </c>
      <c r="F464" t="s">
        <v>35</v>
      </c>
      <c r="G464" t="s">
        <v>55</v>
      </c>
      <c r="H464" t="s">
        <v>186</v>
      </c>
      <c r="I464" t="s">
        <v>187</v>
      </c>
      <c r="J464" t="s">
        <v>188</v>
      </c>
      <c r="K464" t="s">
        <v>474</v>
      </c>
      <c r="L464" t="s">
        <v>40</v>
      </c>
      <c r="M464">
        <v>1</v>
      </c>
      <c r="N464">
        <v>95</v>
      </c>
      <c r="O464">
        <v>95</v>
      </c>
      <c r="P464" t="s">
        <v>41</v>
      </c>
      <c r="Q464">
        <v>404.7</v>
      </c>
      <c r="R464">
        <v>404.7</v>
      </c>
      <c r="S464">
        <v>1922.33</v>
      </c>
      <c r="T464">
        <v>38446.5</v>
      </c>
      <c r="U464">
        <v>5</v>
      </c>
      <c r="V464" t="s">
        <v>42</v>
      </c>
      <c r="W464" t="s">
        <v>474</v>
      </c>
      <c r="X464" s="6" t="str">
        <f t="shared" si="15"/>
        <v>441811101</v>
      </c>
      <c r="Y464" s="7" t="str">
        <f t="shared" si="16"/>
        <v>DC</v>
      </c>
      <c r="Z464" s="7">
        <f t="shared" si="17"/>
        <v>0</v>
      </c>
      <c r="AA464" s="7">
        <f t="shared" si="18"/>
        <v>0</v>
      </c>
      <c r="AB464" s="7">
        <f t="shared" si="19"/>
        <v>0</v>
      </c>
      <c r="AC464" s="7">
        <f t="shared" si="20"/>
        <v>95</v>
      </c>
      <c r="AD464" s="7">
        <f t="shared" si="21"/>
        <v>0</v>
      </c>
      <c r="AE464" s="8" t="str" cm="1">
        <f t="array" ref="AE464">IFERROR(_xlfn.XLOOKUP(H464,Sheet1!$G:$G,Sheet1!$F:$F),IFERROR(_xlfn.XLOOKUP(1,(--($X$2:$X$1074=X464))*(--ISNUMBER(MATCH($H$2:$H$1074,Sheet1!$G:$G,0))),_xlfn.XLOOKUP($H$2:$H$1074,Sheet1!$G:$G,Sheet1!$F:$F,"")),"NOT FOUND"))</f>
        <v>GETKRTSFUT6103</v>
      </c>
      <c r="AF464" s="9" t="str">
        <f t="shared" si="28"/>
        <v>LIME GREEN</v>
      </c>
      <c r="AG464" s="10" t="str">
        <f t="shared" si="29"/>
        <v>JHAJJAR</v>
      </c>
      <c r="AH464" s="8" t="str" cm="1">
        <f t="array" ref="AH464">IF(OR(J464="",AE464="",AE464="NOT FOUND"),"",IF(Y464="RP",_xlfn.LET(_xlpm.desc,_xlfn.XLOOKUP(1,(--(Sheet1!$F$2:$F$754=AE464))*(--ISNUMBER(FIND("-",Sheet1!$W$2:$W$754,FIND("-",Sheet1!$W$2:$W$754)+1))),Sheet1!$W$2:$W$754,""),IF(_xlpm.desc="","NOT FOUND",LEFT(_xlpm.desc,FIND("-",_xlpm.desc,FIND("-",_xlpm.desc)+1))&amp;AE464)),LEFT(J464,FIND("-",J464,FIND("-",J464)+1))&amp;AE464))</f>
        <v>KRTS-APWN26-GETKRTSFUT6103</v>
      </c>
    </row>
    <row r="465" spans="1:34" ht="15.75" customHeight="1" x14ac:dyDescent="0.2">
      <c r="A465" t="s">
        <v>30</v>
      </c>
      <c r="B465" t="s">
        <v>209</v>
      </c>
      <c r="C465" t="s">
        <v>64</v>
      </c>
      <c r="D465" t="s">
        <v>192</v>
      </c>
      <c r="E465" t="s">
        <v>34</v>
      </c>
      <c r="F465" t="s">
        <v>35</v>
      </c>
      <c r="G465" t="s">
        <v>43</v>
      </c>
      <c r="H465" t="s">
        <v>210</v>
      </c>
      <c r="I465" t="s">
        <v>211</v>
      </c>
      <c r="J465" t="s">
        <v>212</v>
      </c>
      <c r="K465" t="s">
        <v>474</v>
      </c>
      <c r="L465" t="s">
        <v>40</v>
      </c>
      <c r="M465">
        <v>1</v>
      </c>
      <c r="N465">
        <v>257</v>
      </c>
      <c r="O465">
        <v>257</v>
      </c>
      <c r="P465" t="s">
        <v>41</v>
      </c>
      <c r="Q465">
        <v>304.7</v>
      </c>
      <c r="R465">
        <v>304.7</v>
      </c>
      <c r="S465">
        <v>3915.4</v>
      </c>
      <c r="T465">
        <v>78307.899999999994</v>
      </c>
      <c r="U465">
        <v>5</v>
      </c>
      <c r="V465" t="s">
        <v>42</v>
      </c>
      <c r="W465" t="s">
        <v>474</v>
      </c>
      <c r="X465" s="6" t="str">
        <f t="shared" si="15"/>
        <v>441811098</v>
      </c>
      <c r="Y465" s="7" t="str">
        <f t="shared" si="16"/>
        <v>DC</v>
      </c>
      <c r="Z465" s="7">
        <f t="shared" si="17"/>
        <v>0</v>
      </c>
      <c r="AA465" s="7">
        <f t="shared" si="18"/>
        <v>0</v>
      </c>
      <c r="AB465" s="7">
        <f t="shared" si="19"/>
        <v>257</v>
      </c>
      <c r="AC465" s="7">
        <f t="shared" si="20"/>
        <v>0</v>
      </c>
      <c r="AD465" s="7">
        <f t="shared" si="21"/>
        <v>0</v>
      </c>
      <c r="AE465" s="8" t="str" cm="1">
        <f t="array" ref="AE465">IFERROR(_xlfn.XLOOKUP(H465,Sheet1!$G:$G,Sheet1!$F:$F),IFERROR(_xlfn.XLOOKUP(1,(--($X$2:$X$1074=X465))*(--ISNUMBER(MATCH($H$2:$H$1074,Sheet1!$G:$G,0))),_xlfn.XLOOKUP($H$2:$H$1074,Sheet1!$G:$G,Sheet1!$F:$F,"")),"NOT FOUND"))</f>
        <v>GETKRTSFUT6098</v>
      </c>
      <c r="AF465" s="9" t="str">
        <f t="shared" si="28"/>
        <v>MUSTARD</v>
      </c>
      <c r="AG465" s="10" t="str">
        <f t="shared" si="29"/>
        <v>Bangalore</v>
      </c>
      <c r="AH465" s="8" t="str" cm="1">
        <f t="array" ref="AH465">IF(OR(J465="",AE465="",AE465="NOT FOUND"),"",IF(Y465="RP",_xlfn.LET(_xlpm.desc,_xlfn.XLOOKUP(1,(--(Sheet1!$F$2:$F$754=AE465))*(--ISNUMBER(FIND("-",Sheet1!$W$2:$W$754,FIND("-",Sheet1!$W$2:$W$754)+1))),Sheet1!$W$2:$W$754,""),IF(_xlpm.desc="","NOT FOUND",LEFT(_xlpm.desc,FIND("-",_xlpm.desc,FIND("-",_xlpm.desc)+1))&amp;AE465)),LEFT(J465,FIND("-",J465,FIND("-",J465)+1))&amp;AE465))</f>
        <v>KRTS-APWN26-GETKRTSFUT6098</v>
      </c>
    </row>
    <row r="466" spans="1:34" ht="15.75" customHeight="1" x14ac:dyDescent="0.2">
      <c r="A466" t="s">
        <v>30</v>
      </c>
      <c r="B466" t="s">
        <v>209</v>
      </c>
      <c r="C466" t="s">
        <v>64</v>
      </c>
      <c r="D466" t="s">
        <v>192</v>
      </c>
      <c r="E466" t="s">
        <v>34</v>
      </c>
      <c r="F466" t="s">
        <v>35</v>
      </c>
      <c r="G466" t="s">
        <v>47</v>
      </c>
      <c r="H466" t="s">
        <v>213</v>
      </c>
      <c r="I466" t="s">
        <v>214</v>
      </c>
      <c r="J466" t="s">
        <v>215</v>
      </c>
      <c r="K466" t="s">
        <v>474</v>
      </c>
      <c r="L466" t="s">
        <v>40</v>
      </c>
      <c r="M466">
        <v>1</v>
      </c>
      <c r="N466">
        <v>257</v>
      </c>
      <c r="O466">
        <v>257</v>
      </c>
      <c r="P466" t="s">
        <v>41</v>
      </c>
      <c r="Q466">
        <v>304.7</v>
      </c>
      <c r="R466">
        <v>304.7</v>
      </c>
      <c r="S466">
        <v>3915.4</v>
      </c>
      <c r="T466">
        <v>78307.899999999994</v>
      </c>
      <c r="U466">
        <v>5</v>
      </c>
      <c r="V466" t="s">
        <v>42</v>
      </c>
      <c r="W466" t="s">
        <v>474</v>
      </c>
      <c r="X466" s="6" t="str">
        <f t="shared" si="15"/>
        <v>441811098</v>
      </c>
      <c r="Y466" s="7" t="str">
        <f t="shared" si="16"/>
        <v>DC</v>
      </c>
      <c r="Z466" s="7">
        <f t="shared" si="17"/>
        <v>0</v>
      </c>
      <c r="AA466" s="7">
        <f t="shared" si="18"/>
        <v>257</v>
      </c>
      <c r="AB466" s="7">
        <f t="shared" si="19"/>
        <v>0</v>
      </c>
      <c r="AC466" s="7">
        <f t="shared" si="20"/>
        <v>0</v>
      </c>
      <c r="AD466" s="7">
        <f t="shared" si="21"/>
        <v>0</v>
      </c>
      <c r="AE466" s="8" t="str" cm="1">
        <f t="array" ref="AE466">IFERROR(_xlfn.XLOOKUP(H466,Sheet1!$G:$G,Sheet1!$F:$F),IFERROR(_xlfn.XLOOKUP(1,(--($X$2:$X$1074=X466))*(--ISNUMBER(MATCH($H$2:$H$1074,Sheet1!$G:$G,0))),_xlfn.XLOOKUP($H$2:$H$1074,Sheet1!$G:$G,Sheet1!$F:$F,"")),"NOT FOUND"))</f>
        <v>GETKRTSFUT6098</v>
      </c>
      <c r="AF466" s="9" t="str">
        <f t="shared" si="28"/>
        <v>MUSTARD</v>
      </c>
      <c r="AG466" s="10" t="str">
        <f t="shared" si="29"/>
        <v>Bangalore</v>
      </c>
      <c r="AH466" s="8" t="str" cm="1">
        <f t="array" ref="AH466">IF(OR(J466="",AE466="",AE466="NOT FOUND"),"",IF(Y466="RP",_xlfn.LET(_xlpm.desc,_xlfn.XLOOKUP(1,(--(Sheet1!$F$2:$F$754=AE466))*(--ISNUMBER(FIND("-",Sheet1!$W$2:$W$754,FIND("-",Sheet1!$W$2:$W$754)+1))),Sheet1!$W$2:$W$754,""),IF(_xlpm.desc="","NOT FOUND",LEFT(_xlpm.desc,FIND("-",_xlpm.desc,FIND("-",_xlpm.desc)+1))&amp;AE466)),LEFT(J466,FIND("-",J466,FIND("-",J466)+1))&amp;AE466))</f>
        <v>KRTS-APWN26-GETKRTSFUT6098</v>
      </c>
    </row>
    <row r="467" spans="1:34" ht="15.75" customHeight="1" x14ac:dyDescent="0.2">
      <c r="A467" t="s">
        <v>30</v>
      </c>
      <c r="B467" t="s">
        <v>209</v>
      </c>
      <c r="C467" t="s">
        <v>64</v>
      </c>
      <c r="D467" t="s">
        <v>192</v>
      </c>
      <c r="E467" t="s">
        <v>34</v>
      </c>
      <c r="F467" t="s">
        <v>35</v>
      </c>
      <c r="G467" t="s">
        <v>51</v>
      </c>
      <c r="H467" t="s">
        <v>216</v>
      </c>
      <c r="I467" t="s">
        <v>217</v>
      </c>
      <c r="J467" t="s">
        <v>218</v>
      </c>
      <c r="K467" t="s">
        <v>474</v>
      </c>
      <c r="L467" t="s">
        <v>40</v>
      </c>
      <c r="M467">
        <v>1</v>
      </c>
      <c r="N467">
        <v>30</v>
      </c>
      <c r="O467">
        <v>30</v>
      </c>
      <c r="P467" t="s">
        <v>41</v>
      </c>
      <c r="Q467">
        <v>304.7</v>
      </c>
      <c r="R467">
        <v>304.7</v>
      </c>
      <c r="S467">
        <v>457.05</v>
      </c>
      <c r="T467">
        <v>9141</v>
      </c>
      <c r="U467">
        <v>5</v>
      </c>
      <c r="V467" t="s">
        <v>42</v>
      </c>
      <c r="W467" t="s">
        <v>474</v>
      </c>
      <c r="X467" s="6" t="str">
        <f t="shared" si="15"/>
        <v>441811098</v>
      </c>
      <c r="Y467" s="7" t="str">
        <f t="shared" si="16"/>
        <v>DC</v>
      </c>
      <c r="Z467" s="7">
        <f t="shared" si="17"/>
        <v>30</v>
      </c>
      <c r="AA467" s="7">
        <f t="shared" si="18"/>
        <v>0</v>
      </c>
      <c r="AB467" s="7">
        <f t="shared" si="19"/>
        <v>0</v>
      </c>
      <c r="AC467" s="7">
        <f t="shared" si="20"/>
        <v>0</v>
      </c>
      <c r="AD467" s="7">
        <f t="shared" si="21"/>
        <v>0</v>
      </c>
      <c r="AE467" s="8" t="str" cm="1">
        <f t="array" ref="AE467">IFERROR(_xlfn.XLOOKUP(H467,Sheet1!$G:$G,Sheet1!$F:$F),IFERROR(_xlfn.XLOOKUP(1,(--($X$2:$X$1074=X467))*(--ISNUMBER(MATCH($H$2:$H$1074,Sheet1!$G:$G,0))),_xlfn.XLOOKUP($H$2:$H$1074,Sheet1!$G:$G,Sheet1!$F:$F,"")),"NOT FOUND"))</f>
        <v>GETKRTSFUT6098</v>
      </c>
      <c r="AF467" s="9" t="str">
        <f t="shared" si="28"/>
        <v>MUSTARD</v>
      </c>
      <c r="AG467" s="10" t="str">
        <f t="shared" si="29"/>
        <v>Bangalore</v>
      </c>
      <c r="AH467" s="8" t="str" cm="1">
        <f t="array" ref="AH467">IF(OR(J467="",AE467="",AE467="NOT FOUND"),"",IF(Y467="RP",_xlfn.LET(_xlpm.desc,_xlfn.XLOOKUP(1,(--(Sheet1!$F$2:$F$754=AE467))*(--ISNUMBER(FIND("-",Sheet1!$W$2:$W$754,FIND("-",Sheet1!$W$2:$W$754)+1))),Sheet1!$W$2:$W$754,""),IF(_xlpm.desc="","NOT FOUND",LEFT(_xlpm.desc,FIND("-",_xlpm.desc,FIND("-",_xlpm.desc)+1))&amp;AE467)),LEFT(J467,FIND("-",J467,FIND("-",J467)+1))&amp;AE467))</f>
        <v>KRTS-APWN26-GETKRTSFUT6098</v>
      </c>
    </row>
    <row r="468" spans="1:34" ht="15.75" customHeight="1" x14ac:dyDescent="0.2">
      <c r="A468" t="s">
        <v>30</v>
      </c>
      <c r="B468" t="s">
        <v>209</v>
      </c>
      <c r="C468" t="s">
        <v>64</v>
      </c>
      <c r="D468" t="s">
        <v>192</v>
      </c>
      <c r="E468" t="s">
        <v>34</v>
      </c>
      <c r="F468" t="s">
        <v>35</v>
      </c>
      <c r="G468" t="s">
        <v>55</v>
      </c>
      <c r="H468" t="s">
        <v>219</v>
      </c>
      <c r="I468" t="s">
        <v>220</v>
      </c>
      <c r="J468" t="s">
        <v>221</v>
      </c>
      <c r="K468" t="s">
        <v>474</v>
      </c>
      <c r="L468" t="s">
        <v>40</v>
      </c>
      <c r="M468">
        <v>1</v>
      </c>
      <c r="N468">
        <v>217</v>
      </c>
      <c r="O468">
        <v>217</v>
      </c>
      <c r="P468" t="s">
        <v>41</v>
      </c>
      <c r="Q468">
        <v>304.7</v>
      </c>
      <c r="R468">
        <v>304.7</v>
      </c>
      <c r="S468">
        <v>3306</v>
      </c>
      <c r="T468">
        <v>66119.899999999994</v>
      </c>
      <c r="U468">
        <v>5</v>
      </c>
      <c r="V468" t="s">
        <v>42</v>
      </c>
      <c r="W468" t="s">
        <v>474</v>
      </c>
      <c r="X468" s="6" t="str">
        <f t="shared" si="15"/>
        <v>441811098</v>
      </c>
      <c r="Y468" s="7" t="str">
        <f t="shared" si="16"/>
        <v>DC</v>
      </c>
      <c r="Z468" s="7">
        <f t="shared" si="17"/>
        <v>0</v>
      </c>
      <c r="AA468" s="7">
        <f t="shared" si="18"/>
        <v>0</v>
      </c>
      <c r="AB468" s="7">
        <f t="shared" si="19"/>
        <v>0</v>
      </c>
      <c r="AC468" s="7">
        <f t="shared" si="20"/>
        <v>217</v>
      </c>
      <c r="AD468" s="7">
        <f t="shared" si="21"/>
        <v>0</v>
      </c>
      <c r="AE468" s="8" t="str" cm="1">
        <f t="array" ref="AE468">IFERROR(_xlfn.XLOOKUP(H468,Sheet1!$G:$G,Sheet1!$F:$F),IFERROR(_xlfn.XLOOKUP(1,(--($X$2:$X$1074=X468))*(--ISNUMBER(MATCH($H$2:$H$1074,Sheet1!$G:$G,0))),_xlfn.XLOOKUP($H$2:$H$1074,Sheet1!$G:$G,Sheet1!$F:$F,"")),"NOT FOUND"))</f>
        <v>GETKRTSFUT6098</v>
      </c>
      <c r="AF468" s="9" t="str">
        <f t="shared" si="28"/>
        <v>MUSTARD</v>
      </c>
      <c r="AG468" s="10" t="str">
        <f t="shared" si="29"/>
        <v>Bangalore</v>
      </c>
      <c r="AH468" s="8" t="str" cm="1">
        <f t="array" ref="AH468">IF(OR(J468="",AE468="",AE468="NOT FOUND"),"",IF(Y468="RP",_xlfn.LET(_xlpm.desc,_xlfn.XLOOKUP(1,(--(Sheet1!$F$2:$F$754=AE468))*(--ISNUMBER(FIND("-",Sheet1!$W$2:$W$754,FIND("-",Sheet1!$W$2:$W$754)+1))),Sheet1!$W$2:$W$754,""),IF(_xlpm.desc="","NOT FOUND",LEFT(_xlpm.desc,FIND("-",_xlpm.desc,FIND("-",_xlpm.desc)+1))&amp;AE468)),LEFT(J468,FIND("-",J468,FIND("-",J468)+1))&amp;AE468))</f>
        <v>KRTS-APWN26-GETKRTSFUT6098</v>
      </c>
    </row>
    <row r="469" spans="1:34" ht="15.75" customHeight="1" x14ac:dyDescent="0.2">
      <c r="A469" t="s">
        <v>30</v>
      </c>
      <c r="B469" t="s">
        <v>222</v>
      </c>
      <c r="C469" t="s">
        <v>64</v>
      </c>
      <c r="D469" t="s">
        <v>192</v>
      </c>
      <c r="E469" t="s">
        <v>34</v>
      </c>
      <c r="F469" t="s">
        <v>35</v>
      </c>
      <c r="G469" t="s">
        <v>43</v>
      </c>
      <c r="H469" t="s">
        <v>226</v>
      </c>
      <c r="I469" t="s">
        <v>227</v>
      </c>
      <c r="J469" t="s">
        <v>228</v>
      </c>
      <c r="K469" t="s">
        <v>474</v>
      </c>
      <c r="L469" t="s">
        <v>40</v>
      </c>
      <c r="M469">
        <v>1</v>
      </c>
      <c r="N469">
        <v>257</v>
      </c>
      <c r="O469">
        <v>257</v>
      </c>
      <c r="P469" t="s">
        <v>41</v>
      </c>
      <c r="Q469">
        <v>304.7</v>
      </c>
      <c r="R469">
        <v>304.7</v>
      </c>
      <c r="S469">
        <v>3915.4</v>
      </c>
      <c r="T469">
        <v>78307.899999999994</v>
      </c>
      <c r="U469">
        <v>5</v>
      </c>
      <c r="V469" t="s">
        <v>42</v>
      </c>
      <c r="W469" t="s">
        <v>474</v>
      </c>
      <c r="X469" s="6" t="str">
        <f t="shared" si="15"/>
        <v>441811098</v>
      </c>
      <c r="Y469" s="7" t="str">
        <f t="shared" si="16"/>
        <v>DC</v>
      </c>
      <c r="Z469" s="7">
        <f t="shared" si="17"/>
        <v>0</v>
      </c>
      <c r="AA469" s="7">
        <f t="shared" si="18"/>
        <v>0</v>
      </c>
      <c r="AB469" s="7">
        <f t="shared" si="19"/>
        <v>257</v>
      </c>
      <c r="AC469" s="7">
        <f t="shared" si="20"/>
        <v>0</v>
      </c>
      <c r="AD469" s="7">
        <f t="shared" si="21"/>
        <v>0</v>
      </c>
      <c r="AE469" s="8" t="str" cm="1">
        <f t="array" ref="AE469">IFERROR(_xlfn.XLOOKUP(H469,Sheet1!$G:$G,Sheet1!$F:$F),IFERROR(_xlfn.XLOOKUP(1,(--($X$2:$X$1074=X469))*(--ISNUMBER(MATCH($H$2:$H$1074,Sheet1!$G:$G,0))),_xlfn.XLOOKUP($H$2:$H$1074,Sheet1!$G:$G,Sheet1!$F:$F,"")),"NOT FOUND"))</f>
        <v>GETKRTSFUT6098</v>
      </c>
      <c r="AF469" s="9" t="str">
        <f t="shared" si="28"/>
        <v>MAROON</v>
      </c>
      <c r="AG469" s="10" t="str">
        <f t="shared" si="29"/>
        <v>Bangalore</v>
      </c>
      <c r="AH469" s="8" t="str" cm="1">
        <f t="array" ref="AH469">IF(OR(J469="",AE469="",AE469="NOT FOUND"),"",IF(Y469="RP",_xlfn.LET(_xlpm.desc,_xlfn.XLOOKUP(1,(--(Sheet1!$F$2:$F$754=AE469))*(--ISNUMBER(FIND("-",Sheet1!$W$2:$W$754,FIND("-",Sheet1!$W$2:$W$754)+1))),Sheet1!$W$2:$W$754,""),IF(_xlpm.desc="","NOT FOUND",LEFT(_xlpm.desc,FIND("-",_xlpm.desc,FIND("-",_xlpm.desc)+1))&amp;AE469)),LEFT(J469,FIND("-",J469,FIND("-",J469)+1))&amp;AE469))</f>
        <v>KRTS-APWN26-GETKRTSFUT6098</v>
      </c>
    </row>
    <row r="470" spans="1:34" ht="15.75" customHeight="1" x14ac:dyDescent="0.2">
      <c r="A470" t="s">
        <v>30</v>
      </c>
      <c r="B470" t="s">
        <v>222</v>
      </c>
      <c r="C470" t="s">
        <v>64</v>
      </c>
      <c r="D470" t="s">
        <v>192</v>
      </c>
      <c r="E470" t="s">
        <v>34</v>
      </c>
      <c r="F470" t="s">
        <v>35</v>
      </c>
      <c r="G470" t="s">
        <v>47</v>
      </c>
      <c r="H470" t="s">
        <v>229</v>
      </c>
      <c r="I470" t="s">
        <v>230</v>
      </c>
      <c r="J470" t="s">
        <v>231</v>
      </c>
      <c r="K470" t="s">
        <v>474</v>
      </c>
      <c r="L470" t="s">
        <v>40</v>
      </c>
      <c r="M470">
        <v>1</v>
      </c>
      <c r="N470">
        <v>257</v>
      </c>
      <c r="O470">
        <v>257</v>
      </c>
      <c r="P470" t="s">
        <v>41</v>
      </c>
      <c r="Q470">
        <v>304.7</v>
      </c>
      <c r="R470">
        <v>304.7</v>
      </c>
      <c r="S470">
        <v>3915.4</v>
      </c>
      <c r="T470">
        <v>78307.899999999994</v>
      </c>
      <c r="U470">
        <v>5</v>
      </c>
      <c r="V470" t="s">
        <v>42</v>
      </c>
      <c r="W470" t="s">
        <v>474</v>
      </c>
      <c r="X470" s="6" t="str">
        <f t="shared" si="15"/>
        <v>441811098</v>
      </c>
      <c r="Y470" s="7" t="str">
        <f t="shared" si="16"/>
        <v>DC</v>
      </c>
      <c r="Z470" s="7">
        <f t="shared" si="17"/>
        <v>0</v>
      </c>
      <c r="AA470" s="7">
        <f t="shared" si="18"/>
        <v>257</v>
      </c>
      <c r="AB470" s="7">
        <f t="shared" si="19"/>
        <v>0</v>
      </c>
      <c r="AC470" s="7">
        <f t="shared" si="20"/>
        <v>0</v>
      </c>
      <c r="AD470" s="7">
        <f t="shared" si="21"/>
        <v>0</v>
      </c>
      <c r="AE470" s="8" t="str" cm="1">
        <f t="array" ref="AE470">IFERROR(_xlfn.XLOOKUP(H470,Sheet1!$G:$G,Sheet1!$F:$F),IFERROR(_xlfn.XLOOKUP(1,(--($X$2:$X$1074=X470))*(--ISNUMBER(MATCH($H$2:$H$1074,Sheet1!$G:$G,0))),_xlfn.XLOOKUP($H$2:$H$1074,Sheet1!$G:$G,Sheet1!$F:$F,"")),"NOT FOUND"))</f>
        <v>GETKRTSFUT6098</v>
      </c>
      <c r="AF470" s="9" t="str">
        <f t="shared" si="28"/>
        <v>MAROON</v>
      </c>
      <c r="AG470" s="10" t="str">
        <f t="shared" si="29"/>
        <v>Bangalore</v>
      </c>
      <c r="AH470" s="8" t="str" cm="1">
        <f t="array" ref="AH470">IF(OR(J470="",AE470="",AE470="NOT FOUND"),"",IF(Y470="RP",_xlfn.LET(_xlpm.desc,_xlfn.XLOOKUP(1,(--(Sheet1!$F$2:$F$754=AE470))*(--ISNUMBER(FIND("-",Sheet1!$W$2:$W$754,FIND("-",Sheet1!$W$2:$W$754)+1))),Sheet1!$W$2:$W$754,""),IF(_xlpm.desc="","NOT FOUND",LEFT(_xlpm.desc,FIND("-",_xlpm.desc,FIND("-",_xlpm.desc)+1))&amp;AE470)),LEFT(J470,FIND("-",J470,FIND("-",J470)+1))&amp;AE470))</f>
        <v>KRTS-APWN26-GETKRTSFUT6098</v>
      </c>
    </row>
    <row r="471" spans="1:34" ht="15.75" customHeight="1" x14ac:dyDescent="0.2">
      <c r="A471" t="s">
        <v>30</v>
      </c>
      <c r="B471" t="s">
        <v>222</v>
      </c>
      <c r="C471" t="s">
        <v>64</v>
      </c>
      <c r="D471" t="s">
        <v>192</v>
      </c>
      <c r="E471" t="s">
        <v>34</v>
      </c>
      <c r="F471" t="s">
        <v>35</v>
      </c>
      <c r="G471" t="s">
        <v>51</v>
      </c>
      <c r="H471" t="s">
        <v>232</v>
      </c>
      <c r="I471" t="s">
        <v>233</v>
      </c>
      <c r="J471" t="s">
        <v>234</v>
      </c>
      <c r="K471" t="s">
        <v>474</v>
      </c>
      <c r="L471" t="s">
        <v>40</v>
      </c>
      <c r="M471">
        <v>1</v>
      </c>
      <c r="N471">
        <v>30</v>
      </c>
      <c r="O471">
        <v>30</v>
      </c>
      <c r="P471" t="s">
        <v>41</v>
      </c>
      <c r="Q471">
        <v>304.7</v>
      </c>
      <c r="R471">
        <v>304.7</v>
      </c>
      <c r="S471">
        <v>457.05</v>
      </c>
      <c r="T471">
        <v>9141</v>
      </c>
      <c r="U471">
        <v>5</v>
      </c>
      <c r="V471" t="s">
        <v>42</v>
      </c>
      <c r="W471" t="s">
        <v>474</v>
      </c>
      <c r="X471" s="6" t="str">
        <f t="shared" si="15"/>
        <v>441811098</v>
      </c>
      <c r="Y471" s="7" t="str">
        <f t="shared" si="16"/>
        <v>DC</v>
      </c>
      <c r="Z471" s="7">
        <f t="shared" si="17"/>
        <v>30</v>
      </c>
      <c r="AA471" s="7">
        <f t="shared" si="18"/>
        <v>0</v>
      </c>
      <c r="AB471" s="7">
        <f t="shared" si="19"/>
        <v>0</v>
      </c>
      <c r="AC471" s="7">
        <f t="shared" si="20"/>
        <v>0</v>
      </c>
      <c r="AD471" s="7">
        <f t="shared" si="21"/>
        <v>0</v>
      </c>
      <c r="AE471" s="8" t="str" cm="1">
        <f t="array" ref="AE471">IFERROR(_xlfn.XLOOKUP(H471,Sheet1!$G:$G,Sheet1!$F:$F),IFERROR(_xlfn.XLOOKUP(1,(--($X$2:$X$1074=X471))*(--ISNUMBER(MATCH($H$2:$H$1074,Sheet1!$G:$G,0))),_xlfn.XLOOKUP($H$2:$H$1074,Sheet1!$G:$G,Sheet1!$F:$F,"")),"NOT FOUND"))</f>
        <v>GETKRTSFUT6098</v>
      </c>
      <c r="AF471" s="9" t="str">
        <f t="shared" si="28"/>
        <v>MAROON</v>
      </c>
      <c r="AG471" s="10" t="str">
        <f t="shared" si="29"/>
        <v>Bangalore</v>
      </c>
      <c r="AH471" s="8" t="str" cm="1">
        <f t="array" ref="AH471">IF(OR(J471="",AE471="",AE471="NOT FOUND"),"",IF(Y471="RP",_xlfn.LET(_xlpm.desc,_xlfn.XLOOKUP(1,(--(Sheet1!$F$2:$F$754=AE471))*(--ISNUMBER(FIND("-",Sheet1!$W$2:$W$754,FIND("-",Sheet1!$W$2:$W$754)+1))),Sheet1!$W$2:$W$754,""),IF(_xlpm.desc="","NOT FOUND",LEFT(_xlpm.desc,FIND("-",_xlpm.desc,FIND("-",_xlpm.desc)+1))&amp;AE471)),LEFT(J471,FIND("-",J471,FIND("-",J471)+1))&amp;AE471))</f>
        <v>KRTS-APWN26-GETKRTSFUT6098</v>
      </c>
    </row>
    <row r="472" spans="1:34" ht="15.75" customHeight="1" x14ac:dyDescent="0.2">
      <c r="A472" t="s">
        <v>59</v>
      </c>
      <c r="B472" t="s">
        <v>238</v>
      </c>
      <c r="C472" t="s">
        <v>64</v>
      </c>
      <c r="D472" t="s">
        <v>1157</v>
      </c>
      <c r="E472" t="s">
        <v>34</v>
      </c>
      <c r="F472" t="s">
        <v>35</v>
      </c>
      <c r="G472" t="s">
        <v>36</v>
      </c>
      <c r="H472" t="s">
        <v>193</v>
      </c>
      <c r="I472" t="s">
        <v>194</v>
      </c>
      <c r="J472" t="s">
        <v>195</v>
      </c>
      <c r="K472" t="s">
        <v>474</v>
      </c>
      <c r="L472" t="s">
        <v>40</v>
      </c>
      <c r="M472">
        <v>1</v>
      </c>
      <c r="N472">
        <v>30</v>
      </c>
      <c r="O472">
        <v>30</v>
      </c>
      <c r="P472" t="s">
        <v>41</v>
      </c>
      <c r="Q472">
        <v>312.7</v>
      </c>
      <c r="R472">
        <v>312.7</v>
      </c>
      <c r="S472">
        <v>469.05</v>
      </c>
      <c r="T472">
        <v>9381</v>
      </c>
      <c r="U472">
        <v>5</v>
      </c>
      <c r="V472" t="s">
        <v>42</v>
      </c>
      <c r="W472" t="s">
        <v>474</v>
      </c>
      <c r="X472" s="6" t="str">
        <f t="shared" si="15"/>
        <v>441811099</v>
      </c>
      <c r="Y472" s="7" t="str">
        <f t="shared" si="16"/>
        <v>DC</v>
      </c>
      <c r="Z472" s="7">
        <f t="shared" si="17"/>
        <v>0</v>
      </c>
      <c r="AA472" s="7">
        <f t="shared" si="18"/>
        <v>0</v>
      </c>
      <c r="AB472" s="7">
        <f t="shared" si="19"/>
        <v>0</v>
      </c>
      <c r="AC472" s="7">
        <f t="shared" si="20"/>
        <v>0</v>
      </c>
      <c r="AD472" s="7">
        <f t="shared" si="21"/>
        <v>30</v>
      </c>
      <c r="AE472" s="8" t="str" cm="1">
        <f t="array" ref="AE472">IFERROR(_xlfn.XLOOKUP(H472,Sheet1!$G:$G,Sheet1!$F:$F),IFERROR(_xlfn.XLOOKUP(1,(--($X$2:$X$1074=X472))*(--ISNUMBER(MATCH($H$2:$H$1074,Sheet1!$G:$G,0))),_xlfn.XLOOKUP($H$2:$H$1074,Sheet1!$G:$G,Sheet1!$F:$F,"")),"NOT FOUND"))</f>
        <v>GETKRTSFUT6100</v>
      </c>
      <c r="AF472" s="9" t="str">
        <f t="shared" si="28"/>
        <v>MUSTARD</v>
      </c>
      <c r="AG472" s="10" t="str">
        <f t="shared" si="29"/>
        <v>JHAJJAR</v>
      </c>
      <c r="AH472" s="8" t="str" cm="1">
        <f t="array" ref="AH472">IF(OR(J472="",AE472="",AE472="NOT FOUND"),"",IF(Y472="RP",_xlfn.LET(_xlpm.desc,_xlfn.XLOOKUP(1,(--(Sheet1!$F$2:$F$754=AE472))*(--ISNUMBER(FIND("-",Sheet1!$W$2:$W$754,FIND("-",Sheet1!$W$2:$W$754)+1))),Sheet1!$W$2:$W$754,""),IF(_xlpm.desc="","NOT FOUND",LEFT(_xlpm.desc,FIND("-",_xlpm.desc,FIND("-",_xlpm.desc)+1))&amp;AE472)),LEFT(J472,FIND("-",J472,FIND("-",J472)+1))&amp;AE472))</f>
        <v>KRTS-APWN26-GETKRTSFUT6100</v>
      </c>
    </row>
    <row r="473" spans="1:34" ht="15.75" customHeight="1" x14ac:dyDescent="0.2">
      <c r="A473" t="s">
        <v>59</v>
      </c>
      <c r="B473" t="s">
        <v>238</v>
      </c>
      <c r="C473" t="s">
        <v>64</v>
      </c>
      <c r="D473" t="s">
        <v>1157</v>
      </c>
      <c r="E473" t="s">
        <v>34</v>
      </c>
      <c r="F473" t="s">
        <v>35</v>
      </c>
      <c r="G473" t="s">
        <v>51</v>
      </c>
      <c r="H473" t="s">
        <v>202</v>
      </c>
      <c r="I473" t="s">
        <v>203</v>
      </c>
      <c r="J473" t="s">
        <v>204</v>
      </c>
      <c r="K473" t="s">
        <v>474</v>
      </c>
      <c r="L473" t="s">
        <v>40</v>
      </c>
      <c r="M473">
        <v>1</v>
      </c>
      <c r="N473">
        <v>30</v>
      </c>
      <c r="O473">
        <v>30</v>
      </c>
      <c r="P473" t="s">
        <v>41</v>
      </c>
      <c r="Q473">
        <v>312.7</v>
      </c>
      <c r="R473">
        <v>312.7</v>
      </c>
      <c r="S473">
        <v>469.05</v>
      </c>
      <c r="T473">
        <v>9381</v>
      </c>
      <c r="U473">
        <v>5</v>
      </c>
      <c r="V473" t="s">
        <v>42</v>
      </c>
      <c r="W473" t="s">
        <v>474</v>
      </c>
      <c r="X473" s="6" t="str">
        <f t="shared" si="15"/>
        <v>441811099</v>
      </c>
      <c r="Y473" s="7" t="str">
        <f t="shared" si="16"/>
        <v>DC</v>
      </c>
      <c r="Z473" s="7">
        <f t="shared" si="17"/>
        <v>30</v>
      </c>
      <c r="AA473" s="7">
        <f t="shared" si="18"/>
        <v>0</v>
      </c>
      <c r="AB473" s="7">
        <f t="shared" si="19"/>
        <v>0</v>
      </c>
      <c r="AC473" s="7">
        <f t="shared" si="20"/>
        <v>0</v>
      </c>
      <c r="AD473" s="7">
        <f t="shared" si="21"/>
        <v>0</v>
      </c>
      <c r="AE473" s="8" t="str" cm="1">
        <f t="array" ref="AE473">IFERROR(_xlfn.XLOOKUP(H473,Sheet1!$G:$G,Sheet1!$F:$F),IFERROR(_xlfn.XLOOKUP(1,(--($X$2:$X$1074=X473))*(--ISNUMBER(MATCH($H$2:$H$1074,Sheet1!$G:$G,0))),_xlfn.XLOOKUP($H$2:$H$1074,Sheet1!$G:$G,Sheet1!$F:$F,"")),"NOT FOUND"))</f>
        <v>GETKRTSFUT6100</v>
      </c>
      <c r="AF473" s="9" t="str">
        <f t="shared" si="28"/>
        <v>MUSTARD</v>
      </c>
      <c r="AG473" s="10" t="str">
        <f t="shared" si="29"/>
        <v>JHAJJAR</v>
      </c>
      <c r="AH473" s="8" t="str" cm="1">
        <f t="array" ref="AH473">IF(OR(J473="",AE473="",AE473="NOT FOUND"),"",IF(Y473="RP",_xlfn.LET(_xlpm.desc,_xlfn.XLOOKUP(1,(--(Sheet1!$F$2:$F$754=AE473))*(--ISNUMBER(FIND("-",Sheet1!$W$2:$W$754,FIND("-",Sheet1!$W$2:$W$754)+1))),Sheet1!$W$2:$W$754,""),IF(_xlpm.desc="","NOT FOUND",LEFT(_xlpm.desc,FIND("-",_xlpm.desc,FIND("-",_xlpm.desc)+1))&amp;AE473)),LEFT(J473,FIND("-",J473,FIND("-",J473)+1))&amp;AE473))</f>
        <v>KRTS-APWN26-GETKRTSFUT6100</v>
      </c>
    </row>
    <row r="474" spans="1:34" ht="15.75" customHeight="1" x14ac:dyDescent="0.2">
      <c r="A474" t="s">
        <v>61</v>
      </c>
      <c r="B474" t="s">
        <v>239</v>
      </c>
      <c r="C474" t="s">
        <v>64</v>
      </c>
      <c r="D474" t="s">
        <v>81</v>
      </c>
      <c r="E474" t="s">
        <v>34</v>
      </c>
      <c r="F474" t="s">
        <v>35</v>
      </c>
      <c r="G474" t="s">
        <v>36</v>
      </c>
      <c r="H474" t="s">
        <v>174</v>
      </c>
      <c r="I474" t="s">
        <v>175</v>
      </c>
      <c r="J474" t="s">
        <v>176</v>
      </c>
      <c r="K474" t="s">
        <v>474</v>
      </c>
      <c r="L474" t="s">
        <v>40</v>
      </c>
      <c r="M474">
        <v>1</v>
      </c>
      <c r="N474">
        <v>30</v>
      </c>
      <c r="O474">
        <v>30</v>
      </c>
      <c r="P474" t="s">
        <v>41</v>
      </c>
      <c r="Q474">
        <v>404.7</v>
      </c>
      <c r="R474">
        <v>404.7</v>
      </c>
      <c r="S474">
        <v>607.04999999999995</v>
      </c>
      <c r="T474">
        <v>12141</v>
      </c>
      <c r="U474">
        <v>5</v>
      </c>
      <c r="V474" t="s">
        <v>42</v>
      </c>
      <c r="W474" t="s">
        <v>474</v>
      </c>
      <c r="X474" s="6" t="str">
        <f t="shared" si="15"/>
        <v>441811101</v>
      </c>
      <c r="Y474" s="7" t="str">
        <f t="shared" si="16"/>
        <v>DC</v>
      </c>
      <c r="Z474" s="7">
        <f t="shared" si="17"/>
        <v>0</v>
      </c>
      <c r="AA474" s="7">
        <f t="shared" si="18"/>
        <v>0</v>
      </c>
      <c r="AB474" s="7">
        <f t="shared" si="19"/>
        <v>0</v>
      </c>
      <c r="AC474" s="7">
        <f t="shared" si="20"/>
        <v>0</v>
      </c>
      <c r="AD474" s="7">
        <f t="shared" si="21"/>
        <v>30</v>
      </c>
      <c r="AE474" s="8" t="str" cm="1">
        <f t="array" ref="AE474">IFERROR(_xlfn.XLOOKUP(H474,Sheet1!$G:$G,Sheet1!$F:$F),IFERROR(_xlfn.XLOOKUP(1,(--($X$2:$X$1074=X474))*(--ISNUMBER(MATCH($H$2:$H$1074,Sheet1!$G:$G,0))),_xlfn.XLOOKUP($H$2:$H$1074,Sheet1!$G:$G,Sheet1!$F:$F,"")),"NOT FOUND"))</f>
        <v>GETKRTSFUT6103</v>
      </c>
      <c r="AF474" s="9" t="str">
        <f t="shared" si="28"/>
        <v>LIME GREEN</v>
      </c>
      <c r="AG474" s="10" t="str">
        <f t="shared" si="29"/>
        <v>HARIPAL</v>
      </c>
      <c r="AH474" s="8" t="str" cm="1">
        <f t="array" ref="AH474">IF(OR(J474="",AE474="",AE474="NOT FOUND"),"",IF(Y474="RP",_xlfn.LET(_xlpm.desc,_xlfn.XLOOKUP(1,(--(Sheet1!$F$2:$F$754=AE474))*(--ISNUMBER(FIND("-",Sheet1!$W$2:$W$754,FIND("-",Sheet1!$W$2:$W$754)+1))),Sheet1!$W$2:$W$754,""),IF(_xlpm.desc="","NOT FOUND",LEFT(_xlpm.desc,FIND("-",_xlpm.desc,FIND("-",_xlpm.desc)+1))&amp;AE474)),LEFT(J474,FIND("-",J474,FIND("-",J474)+1))&amp;AE474))</f>
        <v>KRTS-APWN26-GETKRTSFUT6103</v>
      </c>
    </row>
    <row r="475" spans="1:34" ht="15.75" customHeight="1" x14ac:dyDescent="0.2">
      <c r="A475" t="s">
        <v>61</v>
      </c>
      <c r="B475" t="s">
        <v>239</v>
      </c>
      <c r="C475" t="s">
        <v>64</v>
      </c>
      <c r="D475" t="s">
        <v>81</v>
      </c>
      <c r="E475" t="s">
        <v>34</v>
      </c>
      <c r="F475" t="s">
        <v>35</v>
      </c>
      <c r="G475" t="s">
        <v>43</v>
      </c>
      <c r="H475" t="s">
        <v>177</v>
      </c>
      <c r="I475" t="s">
        <v>178</v>
      </c>
      <c r="J475" t="s">
        <v>179</v>
      </c>
      <c r="K475" t="s">
        <v>474</v>
      </c>
      <c r="L475" t="s">
        <v>40</v>
      </c>
      <c r="M475">
        <v>1</v>
      </c>
      <c r="N475">
        <v>135</v>
      </c>
      <c r="O475">
        <v>135</v>
      </c>
      <c r="P475" t="s">
        <v>41</v>
      </c>
      <c r="Q475">
        <v>404.7</v>
      </c>
      <c r="R475">
        <v>404.7</v>
      </c>
      <c r="S475">
        <v>2731.73</v>
      </c>
      <c r="T475">
        <v>54634.5</v>
      </c>
      <c r="U475">
        <v>5</v>
      </c>
      <c r="V475" t="s">
        <v>42</v>
      </c>
      <c r="W475" t="s">
        <v>474</v>
      </c>
      <c r="X475" s="6" t="str">
        <f t="shared" si="15"/>
        <v>441811101</v>
      </c>
      <c r="Y475" s="7" t="str">
        <f t="shared" si="16"/>
        <v>DC</v>
      </c>
      <c r="Z475" s="7">
        <f t="shared" si="17"/>
        <v>0</v>
      </c>
      <c r="AA475" s="7">
        <f t="shared" si="18"/>
        <v>0</v>
      </c>
      <c r="AB475" s="7">
        <f t="shared" si="19"/>
        <v>135</v>
      </c>
      <c r="AC475" s="7">
        <f t="shared" si="20"/>
        <v>0</v>
      </c>
      <c r="AD475" s="7">
        <f t="shared" si="21"/>
        <v>0</v>
      </c>
      <c r="AE475" s="8" t="str" cm="1">
        <f t="array" ref="AE475">IFERROR(_xlfn.XLOOKUP(H475,Sheet1!$G:$G,Sheet1!$F:$F),IFERROR(_xlfn.XLOOKUP(1,(--($X$2:$X$1074=X475))*(--ISNUMBER(MATCH($H$2:$H$1074,Sheet1!$G:$G,0))),_xlfn.XLOOKUP($H$2:$H$1074,Sheet1!$G:$G,Sheet1!$F:$F,"")),"NOT FOUND"))</f>
        <v>GETKRTSFUT6103</v>
      </c>
      <c r="AF475" s="9" t="str">
        <f t="shared" si="28"/>
        <v>LIME GREEN</v>
      </c>
      <c r="AG475" s="10" t="str">
        <f t="shared" si="29"/>
        <v>HARIPAL</v>
      </c>
      <c r="AH475" s="8" t="str" cm="1">
        <f t="array" ref="AH475">IF(OR(J475="",AE475="",AE475="NOT FOUND"),"",IF(Y475="RP",_xlfn.LET(_xlpm.desc,_xlfn.XLOOKUP(1,(--(Sheet1!$F$2:$F$754=AE475))*(--ISNUMBER(FIND("-",Sheet1!$W$2:$W$754,FIND("-",Sheet1!$W$2:$W$754)+1))),Sheet1!$W$2:$W$754,""),IF(_xlpm.desc="","NOT FOUND",LEFT(_xlpm.desc,FIND("-",_xlpm.desc,FIND("-",_xlpm.desc)+1))&amp;AE475)),LEFT(J475,FIND("-",J475,FIND("-",J475)+1))&amp;AE475))</f>
        <v>KRTS-APWN26-GETKRTSFUT6103</v>
      </c>
    </row>
    <row r="476" spans="1:34" ht="15.75" customHeight="1" x14ac:dyDescent="0.2">
      <c r="A476" t="s">
        <v>59</v>
      </c>
      <c r="B476" t="s">
        <v>240</v>
      </c>
      <c r="C476" t="s">
        <v>64</v>
      </c>
      <c r="D476" t="s">
        <v>192</v>
      </c>
      <c r="E476" t="s">
        <v>34</v>
      </c>
      <c r="F476" t="s">
        <v>35</v>
      </c>
      <c r="G476" t="s">
        <v>51</v>
      </c>
      <c r="H476" t="s">
        <v>216</v>
      </c>
      <c r="I476" t="s">
        <v>217</v>
      </c>
      <c r="J476" t="s">
        <v>218</v>
      </c>
      <c r="K476" t="s">
        <v>474</v>
      </c>
      <c r="L476" t="s">
        <v>40</v>
      </c>
      <c r="M476">
        <v>1</v>
      </c>
      <c r="N476">
        <v>30</v>
      </c>
      <c r="O476">
        <v>30</v>
      </c>
      <c r="P476" t="s">
        <v>41</v>
      </c>
      <c r="Q476">
        <v>304.7</v>
      </c>
      <c r="R476">
        <v>304.7</v>
      </c>
      <c r="S476">
        <v>457.05</v>
      </c>
      <c r="T476">
        <v>9141</v>
      </c>
      <c r="U476">
        <v>5</v>
      </c>
      <c r="V476" t="s">
        <v>42</v>
      </c>
      <c r="W476" t="s">
        <v>474</v>
      </c>
      <c r="X476" s="6" t="str">
        <f t="shared" si="15"/>
        <v>441811098</v>
      </c>
      <c r="Y476" s="7" t="str">
        <f t="shared" si="16"/>
        <v>DC</v>
      </c>
      <c r="Z476" s="7">
        <f t="shared" si="17"/>
        <v>30</v>
      </c>
      <c r="AA476" s="7">
        <f t="shared" si="18"/>
        <v>0</v>
      </c>
      <c r="AB476" s="7">
        <f t="shared" si="19"/>
        <v>0</v>
      </c>
      <c r="AC476" s="7">
        <f t="shared" si="20"/>
        <v>0</v>
      </c>
      <c r="AD476" s="7">
        <f t="shared" si="21"/>
        <v>0</v>
      </c>
      <c r="AE476" s="8" t="str" cm="1">
        <f t="array" ref="AE476">IFERROR(_xlfn.XLOOKUP(H476,Sheet1!$G:$G,Sheet1!$F:$F),IFERROR(_xlfn.XLOOKUP(1,(--($X$2:$X$1074=X476))*(--ISNUMBER(MATCH($H$2:$H$1074,Sheet1!$G:$G,0))),_xlfn.XLOOKUP($H$2:$H$1074,Sheet1!$G:$G,Sheet1!$F:$F,"")),"NOT FOUND"))</f>
        <v>GETKRTSFUT6098</v>
      </c>
      <c r="AF476" s="9" t="str">
        <f t="shared" si="28"/>
        <v>MUSTARD</v>
      </c>
      <c r="AG476" s="10" t="str">
        <f t="shared" si="29"/>
        <v>JHAJJAR</v>
      </c>
      <c r="AH476" s="8" t="str" cm="1">
        <f t="array" ref="AH476">IF(OR(J476="",AE476="",AE476="NOT FOUND"),"",IF(Y476="RP",_xlfn.LET(_xlpm.desc,_xlfn.XLOOKUP(1,(--(Sheet1!$F$2:$F$754=AE476))*(--ISNUMBER(FIND("-",Sheet1!$W$2:$W$754,FIND("-",Sheet1!$W$2:$W$754)+1))),Sheet1!$W$2:$W$754,""),IF(_xlpm.desc="","NOT FOUND",LEFT(_xlpm.desc,FIND("-",_xlpm.desc,FIND("-",_xlpm.desc)+1))&amp;AE476)),LEFT(J476,FIND("-",J476,FIND("-",J476)+1))&amp;AE476))</f>
        <v>KRTS-APWN26-GETKRTSFUT6098</v>
      </c>
    </row>
    <row r="477" spans="1:34" ht="15.75" customHeight="1" x14ac:dyDescent="0.2">
      <c r="A477" t="s">
        <v>59</v>
      </c>
      <c r="B477" t="s">
        <v>241</v>
      </c>
      <c r="C477" t="s">
        <v>64</v>
      </c>
      <c r="D477" t="s">
        <v>192</v>
      </c>
      <c r="E477" t="s">
        <v>34</v>
      </c>
      <c r="F477" t="s">
        <v>35</v>
      </c>
      <c r="G477" t="s">
        <v>36</v>
      </c>
      <c r="H477" t="s">
        <v>223</v>
      </c>
      <c r="I477" t="s">
        <v>224</v>
      </c>
      <c r="J477" t="s">
        <v>225</v>
      </c>
      <c r="K477" t="s">
        <v>474</v>
      </c>
      <c r="L477" t="s">
        <v>40</v>
      </c>
      <c r="M477">
        <v>1</v>
      </c>
      <c r="N477">
        <v>30</v>
      </c>
      <c r="O477">
        <v>30</v>
      </c>
      <c r="P477" t="s">
        <v>41</v>
      </c>
      <c r="Q477">
        <v>304.7</v>
      </c>
      <c r="R477">
        <v>304.7</v>
      </c>
      <c r="S477">
        <v>457.05</v>
      </c>
      <c r="T477">
        <v>9141</v>
      </c>
      <c r="U477">
        <v>5</v>
      </c>
      <c r="V477" t="s">
        <v>42</v>
      </c>
      <c r="W477" t="s">
        <v>474</v>
      </c>
      <c r="X477" s="6" t="str">
        <f t="shared" si="15"/>
        <v>441811098</v>
      </c>
      <c r="Y477" s="7" t="str">
        <f t="shared" si="16"/>
        <v>DC</v>
      </c>
      <c r="Z477" s="7">
        <f t="shared" si="17"/>
        <v>0</v>
      </c>
      <c r="AA477" s="7">
        <f t="shared" si="18"/>
        <v>0</v>
      </c>
      <c r="AB477" s="7">
        <f t="shared" si="19"/>
        <v>0</v>
      </c>
      <c r="AC477" s="7">
        <f t="shared" si="20"/>
        <v>0</v>
      </c>
      <c r="AD477" s="7">
        <f t="shared" si="21"/>
        <v>30</v>
      </c>
      <c r="AE477" s="8" t="str" cm="1">
        <f t="array" ref="AE477">IFERROR(_xlfn.XLOOKUP(H477,Sheet1!$G:$G,Sheet1!$F:$F),IFERROR(_xlfn.XLOOKUP(1,(--($X$2:$X$1074=X477))*(--ISNUMBER(MATCH($H$2:$H$1074,Sheet1!$G:$G,0))),_xlfn.XLOOKUP($H$2:$H$1074,Sheet1!$G:$G,Sheet1!$F:$F,"")),"NOT FOUND"))</f>
        <v>GETKRTSFUT6098</v>
      </c>
      <c r="AF477" s="9" t="str">
        <f t="shared" si="28"/>
        <v>MAROON</v>
      </c>
      <c r="AG477" s="10" t="str">
        <f t="shared" si="29"/>
        <v>JHAJJAR</v>
      </c>
      <c r="AH477" s="8" t="str" cm="1">
        <f t="array" ref="AH477">IF(OR(J477="",AE477="",AE477="NOT FOUND"),"",IF(Y477="RP",_xlfn.LET(_xlpm.desc,_xlfn.XLOOKUP(1,(--(Sheet1!$F$2:$F$754=AE477))*(--ISNUMBER(FIND("-",Sheet1!$W$2:$W$754,FIND("-",Sheet1!$W$2:$W$754)+1))),Sheet1!$W$2:$W$754,""),IF(_xlpm.desc="","NOT FOUND",LEFT(_xlpm.desc,FIND("-",_xlpm.desc,FIND("-",_xlpm.desc)+1))&amp;AE477)),LEFT(J477,FIND("-",J477,FIND("-",J477)+1))&amp;AE477))</f>
        <v>KRTS-APWN26-GETKRTSFUT6098</v>
      </c>
    </row>
    <row r="478" spans="1:34" ht="15.75" customHeight="1" x14ac:dyDescent="0.2">
      <c r="A478" t="s">
        <v>59</v>
      </c>
      <c r="B478" t="s">
        <v>241</v>
      </c>
      <c r="C478" t="s">
        <v>64</v>
      </c>
      <c r="D478" t="s">
        <v>192</v>
      </c>
      <c r="E478" t="s">
        <v>34</v>
      </c>
      <c r="F478" t="s">
        <v>35</v>
      </c>
      <c r="G478" t="s">
        <v>51</v>
      </c>
      <c r="H478" t="s">
        <v>232</v>
      </c>
      <c r="I478" t="s">
        <v>233</v>
      </c>
      <c r="J478" t="s">
        <v>234</v>
      </c>
      <c r="K478" t="s">
        <v>474</v>
      </c>
      <c r="L478" t="s">
        <v>40</v>
      </c>
      <c r="M478">
        <v>1</v>
      </c>
      <c r="N478">
        <v>30</v>
      </c>
      <c r="O478">
        <v>30</v>
      </c>
      <c r="P478" t="s">
        <v>41</v>
      </c>
      <c r="Q478">
        <v>304.7</v>
      </c>
      <c r="R478">
        <v>304.7</v>
      </c>
      <c r="S478">
        <v>457.05</v>
      </c>
      <c r="T478">
        <v>9141</v>
      </c>
      <c r="U478">
        <v>5</v>
      </c>
      <c r="V478" t="s">
        <v>42</v>
      </c>
      <c r="W478" t="s">
        <v>474</v>
      </c>
      <c r="X478" s="6" t="str">
        <f t="shared" si="15"/>
        <v>441811098</v>
      </c>
      <c r="Y478" s="7" t="str">
        <f t="shared" si="16"/>
        <v>DC</v>
      </c>
      <c r="Z478" s="7">
        <f t="shared" si="17"/>
        <v>30</v>
      </c>
      <c r="AA478" s="7">
        <f t="shared" si="18"/>
        <v>0</v>
      </c>
      <c r="AB478" s="7">
        <f t="shared" si="19"/>
        <v>0</v>
      </c>
      <c r="AC478" s="7">
        <f t="shared" si="20"/>
        <v>0</v>
      </c>
      <c r="AD478" s="7">
        <f t="shared" si="21"/>
        <v>0</v>
      </c>
      <c r="AE478" s="8" t="str" cm="1">
        <f t="array" ref="AE478">IFERROR(_xlfn.XLOOKUP(H478,Sheet1!$G:$G,Sheet1!$F:$F),IFERROR(_xlfn.XLOOKUP(1,(--($X$2:$X$1074=X478))*(--ISNUMBER(MATCH($H$2:$H$1074,Sheet1!$G:$G,0))),_xlfn.XLOOKUP($H$2:$H$1074,Sheet1!$G:$G,Sheet1!$F:$F,"")),"NOT FOUND"))</f>
        <v>GETKRTSFUT6098</v>
      </c>
      <c r="AF478" s="9" t="str">
        <f t="shared" si="28"/>
        <v>MAROON</v>
      </c>
      <c r="AG478" s="10" t="str">
        <f t="shared" si="29"/>
        <v>JHAJJAR</v>
      </c>
      <c r="AH478" s="8" t="str" cm="1">
        <f t="array" ref="AH478">IF(OR(J478="",AE478="",AE478="NOT FOUND"),"",IF(Y478="RP",_xlfn.LET(_xlpm.desc,_xlfn.XLOOKUP(1,(--(Sheet1!$F$2:$F$754=AE478))*(--ISNUMBER(FIND("-",Sheet1!$W$2:$W$754,FIND("-",Sheet1!$W$2:$W$754)+1))),Sheet1!$W$2:$W$754,""),IF(_xlpm.desc="","NOT FOUND",LEFT(_xlpm.desc,FIND("-",_xlpm.desc,FIND("-",_xlpm.desc)+1))&amp;AE478)),LEFT(J478,FIND("-",J478,FIND("-",J478)+1))&amp;AE478))</f>
        <v>KRTS-APWN26-GETKRTSFUT6098</v>
      </c>
    </row>
    <row r="479" spans="1:34" ht="15.75" customHeight="1" x14ac:dyDescent="0.2">
      <c r="A479" t="s">
        <v>61</v>
      </c>
      <c r="B479" t="s">
        <v>242</v>
      </c>
      <c r="C479" t="s">
        <v>64</v>
      </c>
      <c r="D479" t="s">
        <v>1157</v>
      </c>
      <c r="E479" t="s">
        <v>34</v>
      </c>
      <c r="F479" t="s">
        <v>35</v>
      </c>
      <c r="G479" t="s">
        <v>36</v>
      </c>
      <c r="H479" t="s">
        <v>193</v>
      </c>
      <c r="I479" t="s">
        <v>194</v>
      </c>
      <c r="J479" t="s">
        <v>195</v>
      </c>
      <c r="K479" t="s">
        <v>474</v>
      </c>
      <c r="L479" t="s">
        <v>40</v>
      </c>
      <c r="M479">
        <v>1</v>
      </c>
      <c r="N479">
        <v>30</v>
      </c>
      <c r="O479">
        <v>30</v>
      </c>
      <c r="P479" t="s">
        <v>41</v>
      </c>
      <c r="Q479">
        <v>312.7</v>
      </c>
      <c r="R479">
        <v>312.7</v>
      </c>
      <c r="S479">
        <v>469.05</v>
      </c>
      <c r="T479">
        <v>9381</v>
      </c>
      <c r="U479">
        <v>5</v>
      </c>
      <c r="V479" t="s">
        <v>42</v>
      </c>
      <c r="W479" t="s">
        <v>474</v>
      </c>
      <c r="X479" s="6" t="str">
        <f t="shared" si="15"/>
        <v>441811099</v>
      </c>
      <c r="Y479" s="7" t="str">
        <f t="shared" si="16"/>
        <v>DC</v>
      </c>
      <c r="Z479" s="7">
        <f t="shared" si="17"/>
        <v>0</v>
      </c>
      <c r="AA479" s="7">
        <f t="shared" si="18"/>
        <v>0</v>
      </c>
      <c r="AB479" s="7">
        <f t="shared" si="19"/>
        <v>0</v>
      </c>
      <c r="AC479" s="7">
        <f t="shared" si="20"/>
        <v>0</v>
      </c>
      <c r="AD479" s="7">
        <f t="shared" si="21"/>
        <v>30</v>
      </c>
      <c r="AE479" s="8" t="str" cm="1">
        <f t="array" ref="AE479">IFERROR(_xlfn.XLOOKUP(H479,Sheet1!$G:$G,Sheet1!$F:$F),IFERROR(_xlfn.XLOOKUP(1,(--($X$2:$X$1074=X479))*(--ISNUMBER(MATCH($H$2:$H$1074,Sheet1!$G:$G,0))),_xlfn.XLOOKUP($H$2:$H$1074,Sheet1!$G:$G,Sheet1!$F:$F,"")),"NOT FOUND"))</f>
        <v>GETKRTSFUT6100</v>
      </c>
      <c r="AF479" s="9" t="str">
        <f t="shared" si="28"/>
        <v>MUSTARD</v>
      </c>
      <c r="AG479" s="10" t="str">
        <f t="shared" si="29"/>
        <v>HARIPAL</v>
      </c>
      <c r="AH479" s="8" t="str" cm="1">
        <f t="array" ref="AH479">IF(OR(J479="",AE479="",AE479="NOT FOUND"),"",IF(Y479="RP",_xlfn.LET(_xlpm.desc,_xlfn.XLOOKUP(1,(--(Sheet1!$F$2:$F$754=AE479))*(--ISNUMBER(FIND("-",Sheet1!$W$2:$W$754,FIND("-",Sheet1!$W$2:$W$754)+1))),Sheet1!$W$2:$W$754,""),IF(_xlpm.desc="","NOT FOUND",LEFT(_xlpm.desc,FIND("-",_xlpm.desc,FIND("-",_xlpm.desc)+1))&amp;AE479)),LEFT(J479,FIND("-",J479,FIND("-",J479)+1))&amp;AE479))</f>
        <v>KRTS-APWN26-GETKRTSFUT6100</v>
      </c>
    </row>
    <row r="480" spans="1:34" ht="15.75" customHeight="1" x14ac:dyDescent="0.2">
      <c r="A480" t="s">
        <v>61</v>
      </c>
      <c r="B480" t="s">
        <v>242</v>
      </c>
      <c r="C480" t="s">
        <v>64</v>
      </c>
      <c r="D480" t="s">
        <v>1157</v>
      </c>
      <c r="E480" t="s">
        <v>34</v>
      </c>
      <c r="F480" t="s">
        <v>35</v>
      </c>
      <c r="G480" t="s">
        <v>43</v>
      </c>
      <c r="H480" t="s">
        <v>196</v>
      </c>
      <c r="I480" t="s">
        <v>197</v>
      </c>
      <c r="J480" t="s">
        <v>198</v>
      </c>
      <c r="K480" t="s">
        <v>474</v>
      </c>
      <c r="L480" t="s">
        <v>40</v>
      </c>
      <c r="M480">
        <v>1</v>
      </c>
      <c r="N480">
        <v>186</v>
      </c>
      <c r="O480">
        <v>186</v>
      </c>
      <c r="P480" t="s">
        <v>41</v>
      </c>
      <c r="Q480">
        <v>312.7</v>
      </c>
      <c r="R480">
        <v>312.7</v>
      </c>
      <c r="S480">
        <v>2908.11</v>
      </c>
      <c r="T480">
        <v>58162.2</v>
      </c>
      <c r="U480">
        <v>5</v>
      </c>
      <c r="V480" t="s">
        <v>42</v>
      </c>
      <c r="W480" t="s">
        <v>474</v>
      </c>
      <c r="X480" s="6" t="str">
        <f t="shared" si="15"/>
        <v>441811099</v>
      </c>
      <c r="Y480" s="7" t="str">
        <f t="shared" si="16"/>
        <v>DC</v>
      </c>
      <c r="Z480" s="7">
        <f t="shared" si="17"/>
        <v>0</v>
      </c>
      <c r="AA480" s="7">
        <f t="shared" si="18"/>
        <v>0</v>
      </c>
      <c r="AB480" s="7">
        <f t="shared" si="19"/>
        <v>186</v>
      </c>
      <c r="AC480" s="7">
        <f t="shared" si="20"/>
        <v>0</v>
      </c>
      <c r="AD480" s="7">
        <f t="shared" si="21"/>
        <v>0</v>
      </c>
      <c r="AE480" s="8" t="str" cm="1">
        <f t="array" ref="AE480">IFERROR(_xlfn.XLOOKUP(H480,Sheet1!$G:$G,Sheet1!$F:$F),IFERROR(_xlfn.XLOOKUP(1,(--($X$2:$X$1074=X480))*(--ISNUMBER(MATCH($H$2:$H$1074,Sheet1!$G:$G,0))),_xlfn.XLOOKUP($H$2:$H$1074,Sheet1!$G:$G,Sheet1!$F:$F,"")),"NOT FOUND"))</f>
        <v>GETKRTSFUT6100</v>
      </c>
      <c r="AF480" s="9" t="str">
        <f t="shared" si="28"/>
        <v>MUSTARD</v>
      </c>
      <c r="AG480" s="10" t="str">
        <f t="shared" si="29"/>
        <v>HARIPAL</v>
      </c>
      <c r="AH480" s="8" t="str" cm="1">
        <f t="array" ref="AH480">IF(OR(J480="",AE480="",AE480="NOT FOUND"),"",IF(Y480="RP",_xlfn.LET(_xlpm.desc,_xlfn.XLOOKUP(1,(--(Sheet1!$F$2:$F$754=AE480))*(--ISNUMBER(FIND("-",Sheet1!$W$2:$W$754,FIND("-",Sheet1!$W$2:$W$754)+1))),Sheet1!$W$2:$W$754,""),IF(_xlpm.desc="","NOT FOUND",LEFT(_xlpm.desc,FIND("-",_xlpm.desc,FIND("-",_xlpm.desc)+1))&amp;AE480)),LEFT(J480,FIND("-",J480,FIND("-",J480)+1))&amp;AE480))</f>
        <v>KRTS-APWN26-GETKRTSFUT6100</v>
      </c>
    </row>
    <row r="481" spans="1:34" ht="15.75" customHeight="1" x14ac:dyDescent="0.2">
      <c r="A481" t="s">
        <v>61</v>
      </c>
      <c r="B481" t="s">
        <v>242</v>
      </c>
      <c r="C481" t="s">
        <v>64</v>
      </c>
      <c r="D481" t="s">
        <v>1157</v>
      </c>
      <c r="E481" t="s">
        <v>34</v>
      </c>
      <c r="F481" t="s">
        <v>35</v>
      </c>
      <c r="G481" t="s">
        <v>47</v>
      </c>
      <c r="H481" t="s">
        <v>199</v>
      </c>
      <c r="I481" t="s">
        <v>200</v>
      </c>
      <c r="J481" t="s">
        <v>201</v>
      </c>
      <c r="K481" t="s">
        <v>474</v>
      </c>
      <c r="L481" t="s">
        <v>40</v>
      </c>
      <c r="M481">
        <v>1</v>
      </c>
      <c r="N481">
        <v>186</v>
      </c>
      <c r="O481">
        <v>186</v>
      </c>
      <c r="P481" t="s">
        <v>41</v>
      </c>
      <c r="Q481">
        <v>312.7</v>
      </c>
      <c r="R481">
        <v>312.7</v>
      </c>
      <c r="S481">
        <v>2908.11</v>
      </c>
      <c r="T481">
        <v>58162.2</v>
      </c>
      <c r="U481">
        <v>5</v>
      </c>
      <c r="V481" t="s">
        <v>42</v>
      </c>
      <c r="W481" t="s">
        <v>474</v>
      </c>
      <c r="X481" s="6" t="str">
        <f t="shared" si="15"/>
        <v>441811099</v>
      </c>
      <c r="Y481" s="7" t="str">
        <f t="shared" si="16"/>
        <v>DC</v>
      </c>
      <c r="Z481" s="7">
        <f t="shared" si="17"/>
        <v>0</v>
      </c>
      <c r="AA481" s="7">
        <f t="shared" si="18"/>
        <v>186</v>
      </c>
      <c r="AB481" s="7">
        <f t="shared" si="19"/>
        <v>0</v>
      </c>
      <c r="AC481" s="7">
        <f t="shared" si="20"/>
        <v>0</v>
      </c>
      <c r="AD481" s="7">
        <f t="shared" si="21"/>
        <v>0</v>
      </c>
      <c r="AE481" s="8" t="str" cm="1">
        <f t="array" ref="AE481">IFERROR(_xlfn.XLOOKUP(H481,Sheet1!$G:$G,Sheet1!$F:$F),IFERROR(_xlfn.XLOOKUP(1,(--($X$2:$X$1074=X481))*(--ISNUMBER(MATCH($H$2:$H$1074,Sheet1!$G:$G,0))),_xlfn.XLOOKUP($H$2:$H$1074,Sheet1!$G:$G,Sheet1!$F:$F,"")),"NOT FOUND"))</f>
        <v>GETKRTSFUT6100</v>
      </c>
      <c r="AF481" s="9" t="str">
        <f t="shared" si="28"/>
        <v>MUSTARD</v>
      </c>
      <c r="AG481" s="10" t="str">
        <f t="shared" si="29"/>
        <v>HARIPAL</v>
      </c>
      <c r="AH481" s="8" t="str" cm="1">
        <f t="array" ref="AH481">IF(OR(J481="",AE481="",AE481="NOT FOUND"),"",IF(Y481="RP",_xlfn.LET(_xlpm.desc,_xlfn.XLOOKUP(1,(--(Sheet1!$F$2:$F$754=AE481))*(--ISNUMBER(FIND("-",Sheet1!$W$2:$W$754,FIND("-",Sheet1!$W$2:$W$754)+1))),Sheet1!$W$2:$W$754,""),IF(_xlpm.desc="","NOT FOUND",LEFT(_xlpm.desc,FIND("-",_xlpm.desc,FIND("-",_xlpm.desc)+1))&amp;AE481)),LEFT(J481,FIND("-",J481,FIND("-",J481)+1))&amp;AE481))</f>
        <v>KRTS-APWN26-GETKRTSFUT6100</v>
      </c>
    </row>
    <row r="482" spans="1:34" ht="15.75" customHeight="1" x14ac:dyDescent="0.2">
      <c r="A482" t="s">
        <v>61</v>
      </c>
      <c r="B482" t="s">
        <v>242</v>
      </c>
      <c r="C482" t="s">
        <v>64</v>
      </c>
      <c r="D482" t="s">
        <v>1157</v>
      </c>
      <c r="E482" t="s">
        <v>34</v>
      </c>
      <c r="F482" t="s">
        <v>35</v>
      </c>
      <c r="G482" t="s">
        <v>51</v>
      </c>
      <c r="H482" t="s">
        <v>202</v>
      </c>
      <c r="I482" t="s">
        <v>203</v>
      </c>
      <c r="J482" t="s">
        <v>204</v>
      </c>
      <c r="K482" t="s">
        <v>474</v>
      </c>
      <c r="L482" t="s">
        <v>40</v>
      </c>
      <c r="M482">
        <v>1</v>
      </c>
      <c r="N482">
        <v>30</v>
      </c>
      <c r="O482">
        <v>30</v>
      </c>
      <c r="P482" t="s">
        <v>41</v>
      </c>
      <c r="Q482">
        <v>312.7</v>
      </c>
      <c r="R482">
        <v>312.7</v>
      </c>
      <c r="S482">
        <v>469.05</v>
      </c>
      <c r="T482">
        <v>9381</v>
      </c>
      <c r="U482">
        <v>5</v>
      </c>
      <c r="V482" t="s">
        <v>42</v>
      </c>
      <c r="W482" t="s">
        <v>474</v>
      </c>
      <c r="X482" s="6" t="str">
        <f t="shared" si="15"/>
        <v>441811099</v>
      </c>
      <c r="Y482" s="7" t="str">
        <f t="shared" si="16"/>
        <v>DC</v>
      </c>
      <c r="Z482" s="7">
        <f t="shared" si="17"/>
        <v>30</v>
      </c>
      <c r="AA482" s="7">
        <f t="shared" si="18"/>
        <v>0</v>
      </c>
      <c r="AB482" s="7">
        <f t="shared" si="19"/>
        <v>0</v>
      </c>
      <c r="AC482" s="7">
        <f t="shared" si="20"/>
        <v>0</v>
      </c>
      <c r="AD482" s="7">
        <f t="shared" si="21"/>
        <v>0</v>
      </c>
      <c r="AE482" s="8" t="str" cm="1">
        <f t="array" ref="AE482">IFERROR(_xlfn.XLOOKUP(H482,Sheet1!$G:$G,Sheet1!$F:$F),IFERROR(_xlfn.XLOOKUP(1,(--($X$2:$X$1074=X482))*(--ISNUMBER(MATCH($H$2:$H$1074,Sheet1!$G:$G,0))),_xlfn.XLOOKUP($H$2:$H$1074,Sheet1!$G:$G,Sheet1!$F:$F,"")),"NOT FOUND"))</f>
        <v>GETKRTSFUT6100</v>
      </c>
      <c r="AF482" s="9" t="str">
        <f t="shared" si="28"/>
        <v>MUSTARD</v>
      </c>
      <c r="AG482" s="10" t="str">
        <f t="shared" si="29"/>
        <v>HARIPAL</v>
      </c>
      <c r="AH482" s="8" t="str" cm="1">
        <f t="array" ref="AH482">IF(OR(J482="",AE482="",AE482="NOT FOUND"),"",IF(Y482="RP",_xlfn.LET(_xlpm.desc,_xlfn.XLOOKUP(1,(--(Sheet1!$F$2:$F$754=AE482))*(--ISNUMBER(FIND("-",Sheet1!$W$2:$W$754,FIND("-",Sheet1!$W$2:$W$754)+1))),Sheet1!$W$2:$W$754,""),IF(_xlpm.desc="","NOT FOUND",LEFT(_xlpm.desc,FIND("-",_xlpm.desc,FIND("-",_xlpm.desc)+1))&amp;AE482)),LEFT(J482,FIND("-",J482,FIND("-",J482)+1))&amp;AE482))</f>
        <v>KRTS-APWN26-GETKRTSFUT6100</v>
      </c>
    </row>
    <row r="483" spans="1:34" ht="15.75" customHeight="1" x14ac:dyDescent="0.2">
      <c r="A483" t="s">
        <v>61</v>
      </c>
      <c r="B483" t="s">
        <v>242</v>
      </c>
      <c r="C483" t="s">
        <v>64</v>
      </c>
      <c r="D483" t="s">
        <v>1157</v>
      </c>
      <c r="E483" t="s">
        <v>34</v>
      </c>
      <c r="F483" t="s">
        <v>35</v>
      </c>
      <c r="G483" t="s">
        <v>55</v>
      </c>
      <c r="H483" t="s">
        <v>205</v>
      </c>
      <c r="I483" t="s">
        <v>206</v>
      </c>
      <c r="J483" t="s">
        <v>207</v>
      </c>
      <c r="K483" t="s">
        <v>474</v>
      </c>
      <c r="L483" t="s">
        <v>40</v>
      </c>
      <c r="M483">
        <v>1</v>
      </c>
      <c r="N483">
        <v>157</v>
      </c>
      <c r="O483">
        <v>157</v>
      </c>
      <c r="P483" t="s">
        <v>41</v>
      </c>
      <c r="Q483">
        <v>312.7</v>
      </c>
      <c r="R483">
        <v>312.7</v>
      </c>
      <c r="S483">
        <v>2454.6999999999998</v>
      </c>
      <c r="T483">
        <v>49093.9</v>
      </c>
      <c r="U483">
        <v>5</v>
      </c>
      <c r="V483" t="s">
        <v>42</v>
      </c>
      <c r="W483" t="s">
        <v>474</v>
      </c>
      <c r="X483" s="6" t="str">
        <f t="shared" si="15"/>
        <v>441811099</v>
      </c>
      <c r="Y483" s="7" t="str">
        <f t="shared" si="16"/>
        <v>DC</v>
      </c>
      <c r="Z483" s="7">
        <f t="shared" si="17"/>
        <v>0</v>
      </c>
      <c r="AA483" s="7">
        <f t="shared" si="18"/>
        <v>0</v>
      </c>
      <c r="AB483" s="7">
        <f t="shared" si="19"/>
        <v>0</v>
      </c>
      <c r="AC483" s="7">
        <f t="shared" si="20"/>
        <v>157</v>
      </c>
      <c r="AD483" s="7">
        <f t="shared" si="21"/>
        <v>0</v>
      </c>
      <c r="AE483" s="8" t="str" cm="1">
        <f t="array" ref="AE483">IFERROR(_xlfn.XLOOKUP(H483,Sheet1!$G:$G,Sheet1!$F:$F),IFERROR(_xlfn.XLOOKUP(1,(--($X$2:$X$1074=X483))*(--ISNUMBER(MATCH($H$2:$H$1074,Sheet1!$G:$G,0))),_xlfn.XLOOKUP($H$2:$H$1074,Sheet1!$G:$G,Sheet1!$F:$F,"")),"NOT FOUND"))</f>
        <v>GETKRTSFUT6100</v>
      </c>
      <c r="AF483" s="9" t="str">
        <f t="shared" si="28"/>
        <v>MUSTARD</v>
      </c>
      <c r="AG483" s="10" t="str">
        <f t="shared" si="29"/>
        <v>HARIPAL</v>
      </c>
      <c r="AH483" s="8" t="str" cm="1">
        <f t="array" ref="AH483">IF(OR(J483="",AE483="",AE483="NOT FOUND"),"",IF(Y483="RP",_xlfn.LET(_xlpm.desc,_xlfn.XLOOKUP(1,(--(Sheet1!$F$2:$F$754=AE483))*(--ISNUMBER(FIND("-",Sheet1!$W$2:$W$754,FIND("-",Sheet1!$W$2:$W$754)+1))),Sheet1!$W$2:$W$754,""),IF(_xlpm.desc="","NOT FOUND",LEFT(_xlpm.desc,FIND("-",_xlpm.desc,FIND("-",_xlpm.desc)+1))&amp;AE483)),LEFT(J483,FIND("-",J483,FIND("-",J483)+1))&amp;AE483))</f>
        <v>KRTS-APWN26-GETKRTSFUT6100</v>
      </c>
    </row>
    <row r="484" spans="1:34" ht="15.75" customHeight="1" x14ac:dyDescent="0.2">
      <c r="A484" t="s">
        <v>61</v>
      </c>
      <c r="B484" t="s">
        <v>243</v>
      </c>
      <c r="C484" t="s">
        <v>64</v>
      </c>
      <c r="D484" t="s">
        <v>1152</v>
      </c>
      <c r="E484" t="s">
        <v>34</v>
      </c>
      <c r="F484" t="s">
        <v>35</v>
      </c>
      <c r="G484" t="s">
        <v>43</v>
      </c>
      <c r="H484" t="s">
        <v>210</v>
      </c>
      <c r="I484" t="s">
        <v>211</v>
      </c>
      <c r="J484" t="s">
        <v>212</v>
      </c>
      <c r="K484" t="s">
        <v>474</v>
      </c>
      <c r="L484" t="s">
        <v>40</v>
      </c>
      <c r="M484">
        <v>1</v>
      </c>
      <c r="N484">
        <v>186</v>
      </c>
      <c r="O484">
        <v>186</v>
      </c>
      <c r="P484" t="s">
        <v>41</v>
      </c>
      <c r="Q484">
        <v>304.7</v>
      </c>
      <c r="R484">
        <v>304.7</v>
      </c>
      <c r="S484">
        <v>2833.71</v>
      </c>
      <c r="T484">
        <v>56674.2</v>
      </c>
      <c r="U484">
        <v>5</v>
      </c>
      <c r="V484" t="s">
        <v>42</v>
      </c>
      <c r="W484" t="s">
        <v>474</v>
      </c>
      <c r="X484" s="6" t="str">
        <f t="shared" si="15"/>
        <v>441811098</v>
      </c>
      <c r="Y484" s="7" t="str">
        <f t="shared" si="16"/>
        <v>DC</v>
      </c>
      <c r="Z484" s="7">
        <f t="shared" si="17"/>
        <v>0</v>
      </c>
      <c r="AA484" s="7">
        <f t="shared" si="18"/>
        <v>0</v>
      </c>
      <c r="AB484" s="7">
        <f t="shared" si="19"/>
        <v>186</v>
      </c>
      <c r="AC484" s="7">
        <f t="shared" si="20"/>
        <v>0</v>
      </c>
      <c r="AD484" s="7">
        <f t="shared" si="21"/>
        <v>0</v>
      </c>
      <c r="AE484" s="8" t="str" cm="1">
        <f t="array" ref="AE484">IFERROR(_xlfn.XLOOKUP(H484,Sheet1!$G:$G,Sheet1!$F:$F),IFERROR(_xlfn.XLOOKUP(1,(--($X$2:$X$1074=X484))*(--ISNUMBER(MATCH($H$2:$H$1074,Sheet1!$G:$G,0))),_xlfn.XLOOKUP($H$2:$H$1074,Sheet1!$G:$G,Sheet1!$F:$F,"")),"NOT FOUND"))</f>
        <v>GETKRTSFUT6098</v>
      </c>
      <c r="AF484" s="9" t="str">
        <f t="shared" si="28"/>
        <v>MUSTARD</v>
      </c>
      <c r="AG484" s="10" t="str">
        <f t="shared" si="29"/>
        <v>HARIPAL</v>
      </c>
      <c r="AH484" s="8" t="str" cm="1">
        <f t="array" ref="AH484">IF(OR(J484="",AE484="",AE484="NOT FOUND"),"",IF(Y484="RP",_xlfn.LET(_xlpm.desc,_xlfn.XLOOKUP(1,(--(Sheet1!$F$2:$F$754=AE484))*(--ISNUMBER(FIND("-",Sheet1!$W$2:$W$754,FIND("-",Sheet1!$W$2:$W$754)+1))),Sheet1!$W$2:$W$754,""),IF(_xlpm.desc="","NOT FOUND",LEFT(_xlpm.desc,FIND("-",_xlpm.desc,FIND("-",_xlpm.desc)+1))&amp;AE484)),LEFT(J484,FIND("-",J484,FIND("-",J484)+1))&amp;AE484))</f>
        <v>KRTS-APWN26-GETKRTSFUT6098</v>
      </c>
    </row>
    <row r="485" spans="1:34" ht="15.75" customHeight="1" x14ac:dyDescent="0.2">
      <c r="A485" t="s">
        <v>61</v>
      </c>
      <c r="B485" t="s">
        <v>243</v>
      </c>
      <c r="C485" t="s">
        <v>64</v>
      </c>
      <c r="D485" t="s">
        <v>1152</v>
      </c>
      <c r="E485" t="s">
        <v>34</v>
      </c>
      <c r="F485" t="s">
        <v>35</v>
      </c>
      <c r="G485" t="s">
        <v>51</v>
      </c>
      <c r="H485" t="s">
        <v>216</v>
      </c>
      <c r="I485" t="s">
        <v>217</v>
      </c>
      <c r="J485" t="s">
        <v>218</v>
      </c>
      <c r="K485" t="s">
        <v>474</v>
      </c>
      <c r="L485" t="s">
        <v>40</v>
      </c>
      <c r="M485">
        <v>1</v>
      </c>
      <c r="N485">
        <v>30</v>
      </c>
      <c r="O485">
        <v>30</v>
      </c>
      <c r="P485" t="s">
        <v>41</v>
      </c>
      <c r="Q485">
        <v>304.7</v>
      </c>
      <c r="R485">
        <v>304.7</v>
      </c>
      <c r="S485">
        <v>457.05</v>
      </c>
      <c r="T485">
        <v>9141</v>
      </c>
      <c r="U485">
        <v>5</v>
      </c>
      <c r="V485" t="s">
        <v>42</v>
      </c>
      <c r="W485" t="s">
        <v>474</v>
      </c>
      <c r="X485" s="6" t="str">
        <f t="shared" si="15"/>
        <v>441811098</v>
      </c>
      <c r="Y485" s="7" t="str">
        <f t="shared" si="16"/>
        <v>DC</v>
      </c>
      <c r="Z485" s="7">
        <f t="shared" si="17"/>
        <v>30</v>
      </c>
      <c r="AA485" s="7">
        <f t="shared" si="18"/>
        <v>0</v>
      </c>
      <c r="AB485" s="7">
        <f t="shared" si="19"/>
        <v>0</v>
      </c>
      <c r="AC485" s="7">
        <f t="shared" si="20"/>
        <v>0</v>
      </c>
      <c r="AD485" s="7">
        <f t="shared" si="21"/>
        <v>0</v>
      </c>
      <c r="AE485" s="8" t="str" cm="1">
        <f t="array" ref="AE485">IFERROR(_xlfn.XLOOKUP(H485,Sheet1!$G:$G,Sheet1!$F:$F),IFERROR(_xlfn.XLOOKUP(1,(--($X$2:$X$1074=X485))*(--ISNUMBER(MATCH($H$2:$H$1074,Sheet1!$G:$G,0))),_xlfn.XLOOKUP($H$2:$H$1074,Sheet1!$G:$G,Sheet1!$F:$F,"")),"NOT FOUND"))</f>
        <v>GETKRTSFUT6098</v>
      </c>
      <c r="AF485" s="9" t="str">
        <f t="shared" si="28"/>
        <v>MUSTARD</v>
      </c>
      <c r="AG485" s="10" t="str">
        <f t="shared" si="29"/>
        <v>HARIPAL</v>
      </c>
      <c r="AH485" s="8" t="str" cm="1">
        <f t="array" ref="AH485">IF(OR(J485="",AE485="",AE485="NOT FOUND"),"",IF(Y485="RP",_xlfn.LET(_xlpm.desc,_xlfn.XLOOKUP(1,(--(Sheet1!$F$2:$F$754=AE485))*(--ISNUMBER(FIND("-",Sheet1!$W$2:$W$754,FIND("-",Sheet1!$W$2:$W$754)+1))),Sheet1!$W$2:$W$754,""),IF(_xlpm.desc="","NOT FOUND",LEFT(_xlpm.desc,FIND("-",_xlpm.desc,FIND("-",_xlpm.desc)+1))&amp;AE485)),LEFT(J485,FIND("-",J485,FIND("-",J485)+1))&amp;AE485))</f>
        <v>KRTS-APWN26-GETKRTSFUT6098</v>
      </c>
    </row>
    <row r="486" spans="1:34" ht="15.75" customHeight="1" x14ac:dyDescent="0.2">
      <c r="A486" t="s">
        <v>61</v>
      </c>
      <c r="B486" t="s">
        <v>244</v>
      </c>
      <c r="C486" t="s">
        <v>64</v>
      </c>
      <c r="D486" t="s">
        <v>192</v>
      </c>
      <c r="E486" t="s">
        <v>34</v>
      </c>
      <c r="F486" t="s">
        <v>35</v>
      </c>
      <c r="G486" t="s">
        <v>36</v>
      </c>
      <c r="H486" t="s">
        <v>223</v>
      </c>
      <c r="I486" t="s">
        <v>224</v>
      </c>
      <c r="J486" t="s">
        <v>225</v>
      </c>
      <c r="K486" t="s">
        <v>474</v>
      </c>
      <c r="L486" t="s">
        <v>40</v>
      </c>
      <c r="M486">
        <v>1</v>
      </c>
      <c r="N486">
        <v>30</v>
      </c>
      <c r="O486">
        <v>30</v>
      </c>
      <c r="P486" t="s">
        <v>41</v>
      </c>
      <c r="Q486">
        <v>304.7</v>
      </c>
      <c r="R486">
        <v>304.7</v>
      </c>
      <c r="S486">
        <v>457.05</v>
      </c>
      <c r="T486">
        <v>9141</v>
      </c>
      <c r="U486">
        <v>5</v>
      </c>
      <c r="V486" t="s">
        <v>42</v>
      </c>
      <c r="W486" t="s">
        <v>474</v>
      </c>
      <c r="X486" s="6" t="str">
        <f t="shared" si="15"/>
        <v>441811098</v>
      </c>
      <c r="Y486" s="7" t="str">
        <f t="shared" si="16"/>
        <v>DC</v>
      </c>
      <c r="Z486" s="7">
        <f t="shared" si="17"/>
        <v>0</v>
      </c>
      <c r="AA486" s="7">
        <f t="shared" si="18"/>
        <v>0</v>
      </c>
      <c r="AB486" s="7">
        <f t="shared" si="19"/>
        <v>0</v>
      </c>
      <c r="AC486" s="7">
        <f t="shared" si="20"/>
        <v>0</v>
      </c>
      <c r="AD486" s="7">
        <f t="shared" si="21"/>
        <v>30</v>
      </c>
      <c r="AE486" s="8" t="str" cm="1">
        <f t="array" ref="AE486">IFERROR(_xlfn.XLOOKUP(H486,Sheet1!$G:$G,Sheet1!$F:$F),IFERROR(_xlfn.XLOOKUP(1,(--($X$2:$X$1074=X486))*(--ISNUMBER(MATCH($H$2:$H$1074,Sheet1!$G:$G,0))),_xlfn.XLOOKUP($H$2:$H$1074,Sheet1!$G:$G,Sheet1!$F:$F,"")),"NOT FOUND"))</f>
        <v>GETKRTSFUT6098</v>
      </c>
      <c r="AF486" s="9" t="str">
        <f t="shared" si="28"/>
        <v>MAROON</v>
      </c>
      <c r="AG486" s="10" t="str">
        <f t="shared" si="29"/>
        <v>HARIPAL</v>
      </c>
      <c r="AH486" s="8" t="str" cm="1">
        <f t="array" ref="AH486">IF(OR(J486="",AE486="",AE486="NOT FOUND"),"",IF(Y486="RP",_xlfn.LET(_xlpm.desc,_xlfn.XLOOKUP(1,(--(Sheet1!$F$2:$F$754=AE486))*(--ISNUMBER(FIND("-",Sheet1!$W$2:$W$754,FIND("-",Sheet1!$W$2:$W$754)+1))),Sheet1!$W$2:$W$754,""),IF(_xlpm.desc="","NOT FOUND",LEFT(_xlpm.desc,FIND("-",_xlpm.desc,FIND("-",_xlpm.desc)+1))&amp;AE486)),LEFT(J486,FIND("-",J486,FIND("-",J486)+1))&amp;AE486))</f>
        <v>KRTS-APWN26-GETKRTSFUT6098</v>
      </c>
    </row>
    <row r="487" spans="1:34" ht="15.75" customHeight="1" x14ac:dyDescent="0.2">
      <c r="A487" t="s">
        <v>61</v>
      </c>
      <c r="B487" t="s">
        <v>244</v>
      </c>
      <c r="C487" t="s">
        <v>64</v>
      </c>
      <c r="D487" t="s">
        <v>192</v>
      </c>
      <c r="E487" t="s">
        <v>34</v>
      </c>
      <c r="F487" t="s">
        <v>35</v>
      </c>
      <c r="G487" t="s">
        <v>43</v>
      </c>
      <c r="H487" t="s">
        <v>226</v>
      </c>
      <c r="I487" t="s">
        <v>227</v>
      </c>
      <c r="J487" t="s">
        <v>228</v>
      </c>
      <c r="K487" t="s">
        <v>474</v>
      </c>
      <c r="L487" t="s">
        <v>40</v>
      </c>
      <c r="M487">
        <v>1</v>
      </c>
      <c r="N487">
        <v>186</v>
      </c>
      <c r="O487">
        <v>186</v>
      </c>
      <c r="P487" t="s">
        <v>41</v>
      </c>
      <c r="Q487">
        <v>304.7</v>
      </c>
      <c r="R487">
        <v>304.7</v>
      </c>
      <c r="S487">
        <v>2833.71</v>
      </c>
      <c r="T487">
        <v>56674.2</v>
      </c>
      <c r="U487">
        <v>5</v>
      </c>
      <c r="V487" t="s">
        <v>42</v>
      </c>
      <c r="W487" t="s">
        <v>474</v>
      </c>
      <c r="X487" s="6" t="str">
        <f t="shared" si="15"/>
        <v>441811098</v>
      </c>
      <c r="Y487" s="7" t="str">
        <f t="shared" si="16"/>
        <v>DC</v>
      </c>
      <c r="Z487" s="7">
        <f t="shared" si="17"/>
        <v>0</v>
      </c>
      <c r="AA487" s="7">
        <f t="shared" si="18"/>
        <v>0</v>
      </c>
      <c r="AB487" s="7">
        <f t="shared" si="19"/>
        <v>186</v>
      </c>
      <c r="AC487" s="7">
        <f t="shared" si="20"/>
        <v>0</v>
      </c>
      <c r="AD487" s="7">
        <f t="shared" si="21"/>
        <v>0</v>
      </c>
      <c r="AE487" s="8" t="str" cm="1">
        <f t="array" ref="AE487">IFERROR(_xlfn.XLOOKUP(H487,Sheet1!$G:$G,Sheet1!$F:$F),IFERROR(_xlfn.XLOOKUP(1,(--($X$2:$X$1074=X487))*(--ISNUMBER(MATCH($H$2:$H$1074,Sheet1!$G:$G,0))),_xlfn.XLOOKUP($H$2:$H$1074,Sheet1!$G:$G,Sheet1!$F:$F,"")),"NOT FOUND"))</f>
        <v>GETKRTSFUT6098</v>
      </c>
      <c r="AF487" s="9" t="str">
        <f t="shared" si="28"/>
        <v>MAROON</v>
      </c>
      <c r="AG487" s="10" t="str">
        <f t="shared" si="29"/>
        <v>HARIPAL</v>
      </c>
      <c r="AH487" s="8" t="str" cm="1">
        <f t="array" ref="AH487">IF(OR(J487="",AE487="",AE487="NOT FOUND"),"",IF(Y487="RP",_xlfn.LET(_xlpm.desc,_xlfn.XLOOKUP(1,(--(Sheet1!$F$2:$F$754=AE487))*(--ISNUMBER(FIND("-",Sheet1!$W$2:$W$754,FIND("-",Sheet1!$W$2:$W$754)+1))),Sheet1!$W$2:$W$754,""),IF(_xlpm.desc="","NOT FOUND",LEFT(_xlpm.desc,FIND("-",_xlpm.desc,FIND("-",_xlpm.desc)+1))&amp;AE487)),LEFT(J487,FIND("-",J487,FIND("-",J487)+1))&amp;AE487))</f>
        <v>KRTS-APWN26-GETKRTSFUT6098</v>
      </c>
    </row>
    <row r="488" spans="1:34" ht="15.75" customHeight="1" x14ac:dyDescent="0.2">
      <c r="A488" t="s">
        <v>61</v>
      </c>
      <c r="B488" t="s">
        <v>244</v>
      </c>
      <c r="C488" t="s">
        <v>64</v>
      </c>
      <c r="D488" t="s">
        <v>192</v>
      </c>
      <c r="E488" t="s">
        <v>34</v>
      </c>
      <c r="F488" t="s">
        <v>35</v>
      </c>
      <c r="G488" t="s">
        <v>51</v>
      </c>
      <c r="H488" t="s">
        <v>232</v>
      </c>
      <c r="I488" t="s">
        <v>233</v>
      </c>
      <c r="J488" t="s">
        <v>234</v>
      </c>
      <c r="K488" t="s">
        <v>474</v>
      </c>
      <c r="L488" t="s">
        <v>40</v>
      </c>
      <c r="M488">
        <v>1</v>
      </c>
      <c r="N488">
        <v>30</v>
      </c>
      <c r="O488">
        <v>30</v>
      </c>
      <c r="P488" t="s">
        <v>41</v>
      </c>
      <c r="Q488">
        <v>304.7</v>
      </c>
      <c r="R488">
        <v>304.7</v>
      </c>
      <c r="S488">
        <v>457.05</v>
      </c>
      <c r="T488">
        <v>9141</v>
      </c>
      <c r="U488">
        <v>5</v>
      </c>
      <c r="V488" t="s">
        <v>42</v>
      </c>
      <c r="W488" t="s">
        <v>474</v>
      </c>
      <c r="X488" s="6" t="str">
        <f t="shared" si="15"/>
        <v>441811098</v>
      </c>
      <c r="Y488" s="7" t="str">
        <f t="shared" si="16"/>
        <v>DC</v>
      </c>
      <c r="Z488" s="7">
        <f t="shared" si="17"/>
        <v>30</v>
      </c>
      <c r="AA488" s="7">
        <f t="shared" si="18"/>
        <v>0</v>
      </c>
      <c r="AB488" s="7">
        <f t="shared" si="19"/>
        <v>0</v>
      </c>
      <c r="AC488" s="7">
        <f t="shared" si="20"/>
        <v>0</v>
      </c>
      <c r="AD488" s="7">
        <f t="shared" si="21"/>
        <v>0</v>
      </c>
      <c r="AE488" s="8" t="str" cm="1">
        <f t="array" ref="AE488">IFERROR(_xlfn.XLOOKUP(H488,Sheet1!$G:$G,Sheet1!$F:$F),IFERROR(_xlfn.XLOOKUP(1,(--($X$2:$X$1074=X488))*(--ISNUMBER(MATCH($H$2:$H$1074,Sheet1!$G:$G,0))),_xlfn.XLOOKUP($H$2:$H$1074,Sheet1!$G:$G,Sheet1!$F:$F,"")),"NOT FOUND"))</f>
        <v>GETKRTSFUT6098</v>
      </c>
      <c r="AF488" s="9" t="str">
        <f t="shared" si="28"/>
        <v>MAROON</v>
      </c>
      <c r="AG488" s="10" t="str">
        <f t="shared" si="29"/>
        <v>HARIPAL</v>
      </c>
      <c r="AH488" s="8" t="str" cm="1">
        <f t="array" ref="AH488">IF(OR(J488="",AE488="",AE488="NOT FOUND"),"",IF(Y488="RP",_xlfn.LET(_xlpm.desc,_xlfn.XLOOKUP(1,(--(Sheet1!$F$2:$F$754=AE488))*(--ISNUMBER(FIND("-",Sheet1!$W$2:$W$754,FIND("-",Sheet1!$W$2:$W$754)+1))),Sheet1!$W$2:$W$754,""),IF(_xlpm.desc="","NOT FOUND",LEFT(_xlpm.desc,FIND("-",_xlpm.desc,FIND("-",_xlpm.desc)+1))&amp;AE488)),LEFT(J488,FIND("-",J488,FIND("-",J488)+1))&amp;AE488))</f>
        <v>KRTS-APWN26-GETKRTSFUT6098</v>
      </c>
    </row>
    <row r="489" spans="1:34" ht="15.75" customHeight="1" x14ac:dyDescent="0.2">
      <c r="A489" t="s">
        <v>61</v>
      </c>
      <c r="B489" t="s">
        <v>244</v>
      </c>
      <c r="C489" t="s">
        <v>64</v>
      </c>
      <c r="D489" t="s">
        <v>192</v>
      </c>
      <c r="E489" t="s">
        <v>34</v>
      </c>
      <c r="F489" t="s">
        <v>35</v>
      </c>
      <c r="G489" t="s">
        <v>55</v>
      </c>
      <c r="H489" t="s">
        <v>235</v>
      </c>
      <c r="I489" t="s">
        <v>236</v>
      </c>
      <c r="J489" t="s">
        <v>237</v>
      </c>
      <c r="K489" t="s">
        <v>474</v>
      </c>
      <c r="L489" t="s">
        <v>40</v>
      </c>
      <c r="M489">
        <v>1</v>
      </c>
      <c r="N489">
        <v>157</v>
      </c>
      <c r="O489">
        <v>157</v>
      </c>
      <c r="P489" t="s">
        <v>41</v>
      </c>
      <c r="Q489">
        <v>304.7</v>
      </c>
      <c r="R489">
        <v>304.7</v>
      </c>
      <c r="S489">
        <v>2391.9</v>
      </c>
      <c r="T489">
        <v>47837.9</v>
      </c>
      <c r="U489">
        <v>5</v>
      </c>
      <c r="V489" t="s">
        <v>42</v>
      </c>
      <c r="W489" t="s">
        <v>474</v>
      </c>
      <c r="X489" s="6" t="str">
        <f t="shared" si="15"/>
        <v>441811098</v>
      </c>
      <c r="Y489" s="7" t="str">
        <f t="shared" si="16"/>
        <v>DC</v>
      </c>
      <c r="Z489" s="7">
        <f t="shared" si="17"/>
        <v>0</v>
      </c>
      <c r="AA489" s="7">
        <f t="shared" si="18"/>
        <v>0</v>
      </c>
      <c r="AB489" s="7">
        <f t="shared" si="19"/>
        <v>0</v>
      </c>
      <c r="AC489" s="7">
        <f t="shared" si="20"/>
        <v>157</v>
      </c>
      <c r="AD489" s="7">
        <f t="shared" si="21"/>
        <v>0</v>
      </c>
      <c r="AE489" s="8" t="str" cm="1">
        <f t="array" ref="AE489">IFERROR(_xlfn.XLOOKUP(H489,Sheet1!$G:$G,Sheet1!$F:$F),IFERROR(_xlfn.XLOOKUP(1,(--($X$2:$X$1074=X489))*(--ISNUMBER(MATCH($H$2:$H$1074,Sheet1!$G:$G,0))),_xlfn.XLOOKUP($H$2:$H$1074,Sheet1!$G:$G,Sheet1!$F:$F,"")),"NOT FOUND"))</f>
        <v>GETKRTSFUT6098</v>
      </c>
      <c r="AF489" s="9" t="str">
        <f t="shared" si="28"/>
        <v>MAROON</v>
      </c>
      <c r="AG489" s="10" t="str">
        <f t="shared" si="29"/>
        <v>HARIPAL</v>
      </c>
      <c r="AH489" s="8" t="str" cm="1">
        <f t="array" ref="AH489">IF(OR(J489="",AE489="",AE489="NOT FOUND"),"",IF(Y489="RP",_xlfn.LET(_xlpm.desc,_xlfn.XLOOKUP(1,(--(Sheet1!$F$2:$F$754=AE489))*(--ISNUMBER(FIND("-",Sheet1!$W$2:$W$754,FIND("-",Sheet1!$W$2:$W$754)+1))),Sheet1!$W$2:$W$754,""),IF(_xlpm.desc="","NOT FOUND",LEFT(_xlpm.desc,FIND("-",_xlpm.desc,FIND("-",_xlpm.desc)+1))&amp;AE489)),LEFT(J489,FIND("-",J489,FIND("-",J489)+1))&amp;AE489))</f>
        <v>KRTS-APWN26-GETKRTSFUT6098</v>
      </c>
    </row>
    <row r="490" spans="1:34" ht="15.75" customHeight="1" x14ac:dyDescent="0.2">
      <c r="A490" t="s">
        <v>30</v>
      </c>
      <c r="B490" t="s">
        <v>245</v>
      </c>
      <c r="C490" t="s">
        <v>64</v>
      </c>
      <c r="D490" t="s">
        <v>192</v>
      </c>
      <c r="E490" t="s">
        <v>34</v>
      </c>
      <c r="F490" t="s">
        <v>35</v>
      </c>
      <c r="G490" t="s">
        <v>36</v>
      </c>
      <c r="H490" t="s">
        <v>246</v>
      </c>
      <c r="I490" t="s">
        <v>247</v>
      </c>
      <c r="J490" t="s">
        <v>248</v>
      </c>
      <c r="K490" t="s">
        <v>474</v>
      </c>
      <c r="L490" t="s">
        <v>40</v>
      </c>
      <c r="M490">
        <v>1</v>
      </c>
      <c r="N490">
        <v>30</v>
      </c>
      <c r="O490">
        <v>30</v>
      </c>
      <c r="P490" t="s">
        <v>41</v>
      </c>
      <c r="Q490">
        <v>374.7</v>
      </c>
      <c r="R490">
        <v>374.7</v>
      </c>
      <c r="S490">
        <v>562.04999999999995</v>
      </c>
      <c r="T490">
        <v>11241</v>
      </c>
      <c r="U490">
        <v>5</v>
      </c>
      <c r="V490" t="s">
        <v>42</v>
      </c>
      <c r="W490" t="s">
        <v>474</v>
      </c>
      <c r="X490" s="6" t="str">
        <f t="shared" si="15"/>
        <v>441811097</v>
      </c>
      <c r="Y490" s="7" t="str">
        <f t="shared" si="16"/>
        <v>DC</v>
      </c>
      <c r="Z490" s="7">
        <f t="shared" si="17"/>
        <v>0</v>
      </c>
      <c r="AA490" s="7">
        <f t="shared" si="18"/>
        <v>0</v>
      </c>
      <c r="AB490" s="7">
        <f t="shared" si="19"/>
        <v>0</v>
      </c>
      <c r="AC490" s="7">
        <f t="shared" si="20"/>
        <v>0</v>
      </c>
      <c r="AD490" s="7">
        <f t="shared" si="21"/>
        <v>30</v>
      </c>
      <c r="AE490" s="8" t="str" cm="1">
        <f t="array" ref="AE490">IFERROR(_xlfn.XLOOKUP(H490,Sheet1!$G:$G,Sheet1!$F:$F),IFERROR(_xlfn.XLOOKUP(1,(--($X$2:$X$1074=X490))*(--ISNUMBER(MATCH($H$2:$H$1074,Sheet1!$G:$G,0))),_xlfn.XLOOKUP($H$2:$H$1074,Sheet1!$G:$G,Sheet1!$F:$F,"")),"NOT FOUND"))</f>
        <v>GETKRTSFUT6089</v>
      </c>
      <c r="AF490" s="9" t="str">
        <f t="shared" si="28"/>
        <v>PINK</v>
      </c>
      <c r="AG490" s="10" t="str">
        <f t="shared" si="29"/>
        <v>Bangalore</v>
      </c>
      <c r="AH490" s="8" t="str" cm="1">
        <f t="array" ref="AH490">IF(OR(J490="",AE490="",AE490="NOT FOUND"),"",IF(Y490="RP",_xlfn.LET(_xlpm.desc,_xlfn.XLOOKUP(1,(--(Sheet1!$F$2:$F$754=AE490))*(--ISNUMBER(FIND("-",Sheet1!$W$2:$W$754,FIND("-",Sheet1!$W$2:$W$754)+1))),Sheet1!$W$2:$W$754,""),IF(_xlpm.desc="","NOT FOUND",LEFT(_xlpm.desc,FIND("-",_xlpm.desc,FIND("-",_xlpm.desc)+1))&amp;AE490)),LEFT(J490,FIND("-",J490,FIND("-",J490)+1))&amp;AE490))</f>
        <v>KRTS-APWN26-GETKRTSFUT6089</v>
      </c>
    </row>
    <row r="491" spans="1:34" ht="15.75" customHeight="1" x14ac:dyDescent="0.2">
      <c r="A491" t="s">
        <v>30</v>
      </c>
      <c r="B491" t="s">
        <v>245</v>
      </c>
      <c r="C491" t="s">
        <v>64</v>
      </c>
      <c r="D491" t="s">
        <v>192</v>
      </c>
      <c r="E491" t="s">
        <v>34</v>
      </c>
      <c r="F491" t="s">
        <v>35</v>
      </c>
      <c r="G491" t="s">
        <v>43</v>
      </c>
      <c r="H491" t="s">
        <v>249</v>
      </c>
      <c r="I491" t="s">
        <v>250</v>
      </c>
      <c r="J491" t="s">
        <v>251</v>
      </c>
      <c r="K491" t="s">
        <v>474</v>
      </c>
      <c r="L491" t="s">
        <v>40</v>
      </c>
      <c r="M491">
        <v>1</v>
      </c>
      <c r="N491">
        <v>187</v>
      </c>
      <c r="O491">
        <v>187</v>
      </c>
      <c r="P491" t="s">
        <v>41</v>
      </c>
      <c r="Q491">
        <v>374.7</v>
      </c>
      <c r="R491">
        <v>374.7</v>
      </c>
      <c r="S491">
        <v>3503.45</v>
      </c>
      <c r="T491">
        <v>70068.899999999994</v>
      </c>
      <c r="U491">
        <v>5</v>
      </c>
      <c r="V491" t="s">
        <v>42</v>
      </c>
      <c r="W491" t="s">
        <v>474</v>
      </c>
      <c r="X491" s="6" t="str">
        <f t="shared" si="15"/>
        <v>441811097</v>
      </c>
      <c r="Y491" s="7" t="str">
        <f t="shared" si="16"/>
        <v>DC</v>
      </c>
      <c r="Z491" s="7">
        <f t="shared" si="17"/>
        <v>0</v>
      </c>
      <c r="AA491" s="7">
        <f t="shared" si="18"/>
        <v>0</v>
      </c>
      <c r="AB491" s="7">
        <f t="shared" si="19"/>
        <v>187</v>
      </c>
      <c r="AC491" s="7">
        <f t="shared" si="20"/>
        <v>0</v>
      </c>
      <c r="AD491" s="7">
        <f t="shared" si="21"/>
        <v>0</v>
      </c>
      <c r="AE491" s="8" t="str" cm="1">
        <f t="array" ref="AE491">IFERROR(_xlfn.XLOOKUP(H491,Sheet1!$G:$G,Sheet1!$F:$F),IFERROR(_xlfn.XLOOKUP(1,(--($X$2:$X$1074=X491))*(--ISNUMBER(MATCH($H$2:$H$1074,Sheet1!$G:$G,0))),_xlfn.XLOOKUP($H$2:$H$1074,Sheet1!$G:$G,Sheet1!$F:$F,"")),"NOT FOUND"))</f>
        <v>GETKRTSFUT6089</v>
      </c>
      <c r="AF491" s="9" t="str">
        <f t="shared" si="28"/>
        <v>PINK</v>
      </c>
      <c r="AG491" s="10" t="str">
        <f t="shared" si="29"/>
        <v>Bangalore</v>
      </c>
      <c r="AH491" s="8" t="str" cm="1">
        <f t="array" ref="AH491">IF(OR(J491="",AE491="",AE491="NOT FOUND"),"",IF(Y491="RP",_xlfn.LET(_xlpm.desc,_xlfn.XLOOKUP(1,(--(Sheet1!$F$2:$F$754=AE491))*(--ISNUMBER(FIND("-",Sheet1!$W$2:$W$754,FIND("-",Sheet1!$W$2:$W$754)+1))),Sheet1!$W$2:$W$754,""),IF(_xlpm.desc="","NOT FOUND",LEFT(_xlpm.desc,FIND("-",_xlpm.desc,FIND("-",_xlpm.desc)+1))&amp;AE491)),LEFT(J491,FIND("-",J491,FIND("-",J491)+1))&amp;AE491))</f>
        <v>KRTS-APWN26-GETKRTSFUT6089</v>
      </c>
    </row>
    <row r="492" spans="1:34" ht="15.75" customHeight="1" x14ac:dyDescent="0.2">
      <c r="A492" t="s">
        <v>30</v>
      </c>
      <c r="B492" t="s">
        <v>245</v>
      </c>
      <c r="C492" t="s">
        <v>64</v>
      </c>
      <c r="D492" t="s">
        <v>192</v>
      </c>
      <c r="E492" t="s">
        <v>34</v>
      </c>
      <c r="F492" t="s">
        <v>35</v>
      </c>
      <c r="G492" t="s">
        <v>47</v>
      </c>
      <c r="H492" t="s">
        <v>252</v>
      </c>
      <c r="I492" t="s">
        <v>253</v>
      </c>
      <c r="J492" t="s">
        <v>254</v>
      </c>
      <c r="K492" t="s">
        <v>474</v>
      </c>
      <c r="L492" t="s">
        <v>40</v>
      </c>
      <c r="M492">
        <v>1</v>
      </c>
      <c r="N492">
        <v>187</v>
      </c>
      <c r="O492">
        <v>187</v>
      </c>
      <c r="P492" t="s">
        <v>41</v>
      </c>
      <c r="Q492">
        <v>374.7</v>
      </c>
      <c r="R492">
        <v>374.7</v>
      </c>
      <c r="S492">
        <v>3503.45</v>
      </c>
      <c r="T492">
        <v>70068.899999999994</v>
      </c>
      <c r="U492">
        <v>5</v>
      </c>
      <c r="V492" t="s">
        <v>42</v>
      </c>
      <c r="W492" t="s">
        <v>474</v>
      </c>
      <c r="X492" s="6" t="str">
        <f t="shared" si="15"/>
        <v>441811097</v>
      </c>
      <c r="Y492" s="7" t="str">
        <f t="shared" si="16"/>
        <v>DC</v>
      </c>
      <c r="Z492" s="7">
        <f t="shared" si="17"/>
        <v>0</v>
      </c>
      <c r="AA492" s="7">
        <f t="shared" si="18"/>
        <v>187</v>
      </c>
      <c r="AB492" s="7">
        <f t="shared" si="19"/>
        <v>0</v>
      </c>
      <c r="AC492" s="7">
        <f t="shared" si="20"/>
        <v>0</v>
      </c>
      <c r="AD492" s="7">
        <f t="shared" si="21"/>
        <v>0</v>
      </c>
      <c r="AE492" s="8" t="str" cm="1">
        <f t="array" ref="AE492">IFERROR(_xlfn.XLOOKUP(H492,Sheet1!$G:$G,Sheet1!$F:$F),IFERROR(_xlfn.XLOOKUP(1,(--($X$2:$X$1074=X492))*(--ISNUMBER(MATCH($H$2:$H$1074,Sheet1!$G:$G,0))),_xlfn.XLOOKUP($H$2:$H$1074,Sheet1!$G:$G,Sheet1!$F:$F,"")),"NOT FOUND"))</f>
        <v>GETKRTSFUT6089</v>
      </c>
      <c r="AF492" s="9" t="str">
        <f t="shared" si="28"/>
        <v>PINK</v>
      </c>
      <c r="AG492" s="10" t="str">
        <f t="shared" si="29"/>
        <v>Bangalore</v>
      </c>
      <c r="AH492" s="8" t="str" cm="1">
        <f t="array" ref="AH492">IF(OR(J492="",AE492="",AE492="NOT FOUND"),"",IF(Y492="RP",_xlfn.LET(_xlpm.desc,_xlfn.XLOOKUP(1,(--(Sheet1!$F$2:$F$754=AE492))*(--ISNUMBER(FIND("-",Sheet1!$W$2:$W$754,FIND("-",Sheet1!$W$2:$W$754)+1))),Sheet1!$W$2:$W$754,""),IF(_xlpm.desc="","NOT FOUND",LEFT(_xlpm.desc,FIND("-",_xlpm.desc,FIND("-",_xlpm.desc)+1))&amp;AE492)),LEFT(J492,FIND("-",J492,FIND("-",J492)+1))&amp;AE492))</f>
        <v>KRTS-APWN26-GETKRTSFUT6089</v>
      </c>
    </row>
    <row r="493" spans="1:34" ht="15.75" customHeight="1" x14ac:dyDescent="0.2">
      <c r="A493" t="s">
        <v>30</v>
      </c>
      <c r="B493" t="s">
        <v>245</v>
      </c>
      <c r="C493" t="s">
        <v>64</v>
      </c>
      <c r="D493" t="s">
        <v>192</v>
      </c>
      <c r="E493" t="s">
        <v>34</v>
      </c>
      <c r="F493" t="s">
        <v>35</v>
      </c>
      <c r="G493" t="s">
        <v>51</v>
      </c>
      <c r="H493" t="s">
        <v>255</v>
      </c>
      <c r="I493" t="s">
        <v>256</v>
      </c>
      <c r="J493" t="s">
        <v>257</v>
      </c>
      <c r="K493" t="s">
        <v>474</v>
      </c>
      <c r="L493" t="s">
        <v>40</v>
      </c>
      <c r="M493">
        <v>1</v>
      </c>
      <c r="N493">
        <v>30</v>
      </c>
      <c r="O493">
        <v>30</v>
      </c>
      <c r="P493" t="s">
        <v>41</v>
      </c>
      <c r="Q493">
        <v>374.7</v>
      </c>
      <c r="R493">
        <v>374.7</v>
      </c>
      <c r="S493">
        <v>562.04999999999995</v>
      </c>
      <c r="T493">
        <v>11241</v>
      </c>
      <c r="U493">
        <v>5</v>
      </c>
      <c r="V493" t="s">
        <v>42</v>
      </c>
      <c r="W493" t="s">
        <v>474</v>
      </c>
      <c r="X493" s="6" t="str">
        <f t="shared" si="15"/>
        <v>441811097</v>
      </c>
      <c r="Y493" s="7" t="str">
        <f t="shared" si="16"/>
        <v>DC</v>
      </c>
      <c r="Z493" s="7">
        <f t="shared" si="17"/>
        <v>30</v>
      </c>
      <c r="AA493" s="7">
        <f t="shared" si="18"/>
        <v>0</v>
      </c>
      <c r="AB493" s="7">
        <f t="shared" si="19"/>
        <v>0</v>
      </c>
      <c r="AC493" s="7">
        <f t="shared" si="20"/>
        <v>0</v>
      </c>
      <c r="AD493" s="7">
        <f t="shared" si="21"/>
        <v>0</v>
      </c>
      <c r="AE493" s="8" t="str" cm="1">
        <f t="array" ref="AE493">IFERROR(_xlfn.XLOOKUP(H493,Sheet1!$G:$G,Sheet1!$F:$F),IFERROR(_xlfn.XLOOKUP(1,(--($X$2:$X$1074=X493))*(--ISNUMBER(MATCH($H$2:$H$1074,Sheet1!$G:$G,0))),_xlfn.XLOOKUP($H$2:$H$1074,Sheet1!$G:$G,Sheet1!$F:$F,"")),"NOT FOUND"))</f>
        <v>GETKRTSFUT6089</v>
      </c>
      <c r="AF493" s="9" t="str">
        <f t="shared" si="28"/>
        <v>PINK</v>
      </c>
      <c r="AG493" s="10" t="str">
        <f t="shared" si="29"/>
        <v>Bangalore</v>
      </c>
      <c r="AH493" s="8" t="str" cm="1">
        <f t="array" ref="AH493">IF(OR(J493="",AE493="",AE493="NOT FOUND"),"",IF(Y493="RP",_xlfn.LET(_xlpm.desc,_xlfn.XLOOKUP(1,(--(Sheet1!$F$2:$F$754=AE493))*(--ISNUMBER(FIND("-",Sheet1!$W$2:$W$754,FIND("-",Sheet1!$W$2:$W$754)+1))),Sheet1!$W$2:$W$754,""),IF(_xlpm.desc="","NOT FOUND",LEFT(_xlpm.desc,FIND("-",_xlpm.desc,FIND("-",_xlpm.desc)+1))&amp;AE493)),LEFT(J493,FIND("-",J493,FIND("-",J493)+1))&amp;AE493))</f>
        <v>KRTS-APWN26-GETKRTSFUT6089</v>
      </c>
    </row>
    <row r="494" spans="1:34" ht="15.75" customHeight="1" x14ac:dyDescent="0.2">
      <c r="A494" t="s">
        <v>30</v>
      </c>
      <c r="B494" t="s">
        <v>245</v>
      </c>
      <c r="C494" t="s">
        <v>64</v>
      </c>
      <c r="D494" t="s">
        <v>192</v>
      </c>
      <c r="E494" t="s">
        <v>34</v>
      </c>
      <c r="F494" t="s">
        <v>35</v>
      </c>
      <c r="G494" t="s">
        <v>55</v>
      </c>
      <c r="H494" t="s">
        <v>258</v>
      </c>
      <c r="I494" t="s">
        <v>259</v>
      </c>
      <c r="J494" t="s">
        <v>260</v>
      </c>
      <c r="K494" t="s">
        <v>474</v>
      </c>
      <c r="L494" t="s">
        <v>40</v>
      </c>
      <c r="M494">
        <v>1</v>
      </c>
      <c r="N494">
        <v>158</v>
      </c>
      <c r="O494">
        <v>158</v>
      </c>
      <c r="P494" t="s">
        <v>41</v>
      </c>
      <c r="Q494">
        <v>374.7</v>
      </c>
      <c r="R494">
        <v>374.7</v>
      </c>
      <c r="S494">
        <v>2960.13</v>
      </c>
      <c r="T494">
        <v>59202.6</v>
      </c>
      <c r="U494">
        <v>5</v>
      </c>
      <c r="V494" t="s">
        <v>42</v>
      </c>
      <c r="W494" t="s">
        <v>474</v>
      </c>
      <c r="X494" s="6" t="str">
        <f t="shared" si="15"/>
        <v>441811097</v>
      </c>
      <c r="Y494" s="7" t="str">
        <f t="shared" si="16"/>
        <v>DC</v>
      </c>
      <c r="Z494" s="7">
        <f t="shared" si="17"/>
        <v>0</v>
      </c>
      <c r="AA494" s="7">
        <f t="shared" si="18"/>
        <v>0</v>
      </c>
      <c r="AB494" s="7">
        <f t="shared" si="19"/>
        <v>0</v>
      </c>
      <c r="AC494" s="7">
        <f t="shared" si="20"/>
        <v>158</v>
      </c>
      <c r="AD494" s="7">
        <f t="shared" si="21"/>
        <v>0</v>
      </c>
      <c r="AE494" s="8" t="str" cm="1">
        <f t="array" ref="AE494">IFERROR(_xlfn.XLOOKUP(H494,Sheet1!$G:$G,Sheet1!$F:$F),IFERROR(_xlfn.XLOOKUP(1,(--($X$2:$X$1074=X494))*(--ISNUMBER(MATCH($H$2:$H$1074,Sheet1!$G:$G,0))),_xlfn.XLOOKUP($H$2:$H$1074,Sheet1!$G:$G,Sheet1!$F:$F,"")),"NOT FOUND"))</f>
        <v>GETKRTSFUT6089</v>
      </c>
      <c r="AF494" s="9" t="str">
        <f t="shared" si="28"/>
        <v>PINK</v>
      </c>
      <c r="AG494" s="10" t="str">
        <f t="shared" si="29"/>
        <v>Bangalore</v>
      </c>
      <c r="AH494" s="8" t="str" cm="1">
        <f t="array" ref="AH494">IF(OR(J494="",AE494="",AE494="NOT FOUND"),"",IF(Y494="RP",_xlfn.LET(_xlpm.desc,_xlfn.XLOOKUP(1,(--(Sheet1!$F$2:$F$754=AE494))*(--ISNUMBER(FIND("-",Sheet1!$W$2:$W$754,FIND("-",Sheet1!$W$2:$W$754)+1))),Sheet1!$W$2:$W$754,""),IF(_xlpm.desc="","NOT FOUND",LEFT(_xlpm.desc,FIND("-",_xlpm.desc,FIND("-",_xlpm.desc)+1))&amp;AE494)),LEFT(J494,FIND("-",J494,FIND("-",J494)+1))&amp;AE494))</f>
        <v>KRTS-APWN26-GETKRTSFUT6089</v>
      </c>
    </row>
    <row r="495" spans="1:34" ht="15.75" customHeight="1" x14ac:dyDescent="0.2">
      <c r="A495" t="s">
        <v>30</v>
      </c>
      <c r="B495" t="s">
        <v>261</v>
      </c>
      <c r="C495" t="s">
        <v>64</v>
      </c>
      <c r="D495" t="s">
        <v>98</v>
      </c>
      <c r="E495" t="s">
        <v>34</v>
      </c>
      <c r="F495" t="s">
        <v>35</v>
      </c>
      <c r="G495" t="s">
        <v>36</v>
      </c>
      <c r="H495" t="s">
        <v>262</v>
      </c>
      <c r="I495" t="s">
        <v>263</v>
      </c>
      <c r="J495" t="s">
        <v>264</v>
      </c>
      <c r="K495" t="s">
        <v>474</v>
      </c>
      <c r="L495" t="s">
        <v>40</v>
      </c>
      <c r="M495">
        <v>1</v>
      </c>
      <c r="N495">
        <v>30</v>
      </c>
      <c r="O495">
        <v>30</v>
      </c>
      <c r="P495" t="s">
        <v>41</v>
      </c>
      <c r="Q495">
        <v>324.7</v>
      </c>
      <c r="R495">
        <v>324.7</v>
      </c>
      <c r="S495">
        <v>487.05</v>
      </c>
      <c r="T495">
        <v>9741</v>
      </c>
      <c r="U495">
        <v>5</v>
      </c>
      <c r="V495" t="s">
        <v>42</v>
      </c>
      <c r="W495" t="s">
        <v>474</v>
      </c>
      <c r="X495" s="6" t="str">
        <f t="shared" si="15"/>
        <v>441811096</v>
      </c>
      <c r="Y495" s="7" t="str">
        <f t="shared" si="16"/>
        <v>DC</v>
      </c>
      <c r="Z495" s="7">
        <f t="shared" si="17"/>
        <v>0</v>
      </c>
      <c r="AA495" s="7">
        <f t="shared" si="18"/>
        <v>0</v>
      </c>
      <c r="AB495" s="7">
        <f t="shared" si="19"/>
        <v>0</v>
      </c>
      <c r="AC495" s="7">
        <f t="shared" si="20"/>
        <v>0</v>
      </c>
      <c r="AD495" s="7">
        <f t="shared" si="21"/>
        <v>30</v>
      </c>
      <c r="AE495" s="8" t="str" cm="1">
        <f t="array" ref="AE495">IFERROR(_xlfn.XLOOKUP(H495,Sheet1!$G:$G,Sheet1!$F:$F),IFERROR(_xlfn.XLOOKUP(1,(--($X$2:$X$1074=X495))*(--ISNUMBER(MATCH($H$2:$H$1074,Sheet1!$G:$G,0))),_xlfn.XLOOKUP($H$2:$H$1074,Sheet1!$G:$G,Sheet1!$F:$F,"")),"NOT FOUND"))</f>
        <v>GETKRTSFUT6087</v>
      </c>
      <c r="AF495" s="9" t="str">
        <f t="shared" si="28"/>
        <v>CORAL</v>
      </c>
      <c r="AG495" s="10" t="str">
        <f t="shared" si="29"/>
        <v>Bangalore</v>
      </c>
      <c r="AH495" s="8" t="str" cm="1">
        <f t="array" ref="AH495">IF(OR(J495="",AE495="",AE495="NOT FOUND"),"",IF(Y495="RP",_xlfn.LET(_xlpm.desc,_xlfn.XLOOKUP(1,(--(Sheet1!$F$2:$F$754=AE495))*(--ISNUMBER(FIND("-",Sheet1!$W$2:$W$754,FIND("-",Sheet1!$W$2:$W$754)+1))),Sheet1!$W$2:$W$754,""),IF(_xlpm.desc="","NOT FOUND",LEFT(_xlpm.desc,FIND("-",_xlpm.desc,FIND("-",_xlpm.desc)+1))&amp;AE495)),LEFT(J495,FIND("-",J495,FIND("-",J495)+1))&amp;AE495))</f>
        <v>KRTS-APWN26-GETKRTSFUT6087</v>
      </c>
    </row>
    <row r="496" spans="1:34" ht="15.75" customHeight="1" x14ac:dyDescent="0.2">
      <c r="A496" t="s">
        <v>30</v>
      </c>
      <c r="B496" t="s">
        <v>261</v>
      </c>
      <c r="C496" t="s">
        <v>64</v>
      </c>
      <c r="D496" t="s">
        <v>98</v>
      </c>
      <c r="E496" t="s">
        <v>34</v>
      </c>
      <c r="F496" t="s">
        <v>35</v>
      </c>
      <c r="G496" t="s">
        <v>43</v>
      </c>
      <c r="H496" t="s">
        <v>265</v>
      </c>
      <c r="I496" t="s">
        <v>266</v>
      </c>
      <c r="J496" t="s">
        <v>267</v>
      </c>
      <c r="K496" t="s">
        <v>474</v>
      </c>
      <c r="L496" t="s">
        <v>40</v>
      </c>
      <c r="M496">
        <v>1</v>
      </c>
      <c r="N496">
        <v>257</v>
      </c>
      <c r="O496">
        <v>257</v>
      </c>
      <c r="P496" t="s">
        <v>41</v>
      </c>
      <c r="Q496">
        <v>324.7</v>
      </c>
      <c r="R496">
        <v>324.7</v>
      </c>
      <c r="S496">
        <v>4172.3999999999996</v>
      </c>
      <c r="T496">
        <v>83447.899999999994</v>
      </c>
      <c r="U496">
        <v>5</v>
      </c>
      <c r="V496" t="s">
        <v>42</v>
      </c>
      <c r="W496" t="s">
        <v>474</v>
      </c>
      <c r="X496" s="6" t="str">
        <f t="shared" si="15"/>
        <v>441811096</v>
      </c>
      <c r="Y496" s="7" t="str">
        <f t="shared" si="16"/>
        <v>DC</v>
      </c>
      <c r="Z496" s="7">
        <f t="shared" si="17"/>
        <v>0</v>
      </c>
      <c r="AA496" s="7">
        <f t="shared" si="18"/>
        <v>0</v>
      </c>
      <c r="AB496" s="7">
        <f t="shared" si="19"/>
        <v>257</v>
      </c>
      <c r="AC496" s="7">
        <f t="shared" si="20"/>
        <v>0</v>
      </c>
      <c r="AD496" s="7">
        <f t="shared" si="21"/>
        <v>0</v>
      </c>
      <c r="AE496" s="8" t="str" cm="1">
        <f t="array" ref="AE496">IFERROR(_xlfn.XLOOKUP(H496,Sheet1!$G:$G,Sheet1!$F:$F),IFERROR(_xlfn.XLOOKUP(1,(--($X$2:$X$1074=X496))*(--ISNUMBER(MATCH($H$2:$H$1074,Sheet1!$G:$G,0))),_xlfn.XLOOKUP($H$2:$H$1074,Sheet1!$G:$G,Sheet1!$F:$F,"")),"NOT FOUND"))</f>
        <v>GETKRTSFUT6087</v>
      </c>
      <c r="AF496" s="9" t="str">
        <f t="shared" si="28"/>
        <v>CORAL</v>
      </c>
      <c r="AG496" s="10" t="str">
        <f t="shared" si="29"/>
        <v>Bangalore</v>
      </c>
      <c r="AH496" s="8" t="str" cm="1">
        <f t="array" ref="AH496">IF(OR(J496="",AE496="",AE496="NOT FOUND"),"",IF(Y496="RP",_xlfn.LET(_xlpm.desc,_xlfn.XLOOKUP(1,(--(Sheet1!$F$2:$F$754=AE496))*(--ISNUMBER(FIND("-",Sheet1!$W$2:$W$754,FIND("-",Sheet1!$W$2:$W$754)+1))),Sheet1!$W$2:$W$754,""),IF(_xlpm.desc="","NOT FOUND",LEFT(_xlpm.desc,FIND("-",_xlpm.desc,FIND("-",_xlpm.desc)+1))&amp;AE496)),LEFT(J496,FIND("-",J496,FIND("-",J496)+1))&amp;AE496))</f>
        <v>KRTS-APWN26-GETKRTSFUT6087</v>
      </c>
    </row>
    <row r="497" spans="1:34" ht="15.75" customHeight="1" x14ac:dyDescent="0.2">
      <c r="A497" t="s">
        <v>30</v>
      </c>
      <c r="B497" t="s">
        <v>261</v>
      </c>
      <c r="C497" t="s">
        <v>64</v>
      </c>
      <c r="D497" t="s">
        <v>98</v>
      </c>
      <c r="E497" t="s">
        <v>34</v>
      </c>
      <c r="F497" t="s">
        <v>35</v>
      </c>
      <c r="G497" t="s">
        <v>47</v>
      </c>
      <c r="H497" t="s">
        <v>268</v>
      </c>
      <c r="I497" t="s">
        <v>269</v>
      </c>
      <c r="J497" t="s">
        <v>270</v>
      </c>
      <c r="K497" t="s">
        <v>474</v>
      </c>
      <c r="L497" t="s">
        <v>40</v>
      </c>
      <c r="M497">
        <v>1</v>
      </c>
      <c r="N497">
        <v>257</v>
      </c>
      <c r="O497">
        <v>257</v>
      </c>
      <c r="P497" t="s">
        <v>41</v>
      </c>
      <c r="Q497">
        <v>324.7</v>
      </c>
      <c r="R497">
        <v>324.7</v>
      </c>
      <c r="S497">
        <v>4172.3999999999996</v>
      </c>
      <c r="T497">
        <v>83447.899999999994</v>
      </c>
      <c r="U497">
        <v>5</v>
      </c>
      <c r="V497" t="s">
        <v>42</v>
      </c>
      <c r="W497" t="s">
        <v>474</v>
      </c>
      <c r="X497" s="6" t="str">
        <f t="shared" si="15"/>
        <v>441811096</v>
      </c>
      <c r="Y497" s="7" t="str">
        <f t="shared" si="16"/>
        <v>DC</v>
      </c>
      <c r="Z497" s="7">
        <f t="shared" si="17"/>
        <v>0</v>
      </c>
      <c r="AA497" s="7">
        <f t="shared" si="18"/>
        <v>257</v>
      </c>
      <c r="AB497" s="7">
        <f t="shared" si="19"/>
        <v>0</v>
      </c>
      <c r="AC497" s="7">
        <f t="shared" si="20"/>
        <v>0</v>
      </c>
      <c r="AD497" s="7">
        <f t="shared" si="21"/>
        <v>0</v>
      </c>
      <c r="AE497" s="8" t="str" cm="1">
        <f t="array" ref="AE497">IFERROR(_xlfn.XLOOKUP(H497,Sheet1!$G:$G,Sheet1!$F:$F),IFERROR(_xlfn.XLOOKUP(1,(--($X$2:$X$1074=X497))*(--ISNUMBER(MATCH($H$2:$H$1074,Sheet1!$G:$G,0))),_xlfn.XLOOKUP($H$2:$H$1074,Sheet1!$G:$G,Sheet1!$F:$F,"")),"NOT FOUND"))</f>
        <v>GETKRTSFUT6087</v>
      </c>
      <c r="AF497" s="9" t="str">
        <f t="shared" si="28"/>
        <v>CORAL</v>
      </c>
      <c r="AG497" s="10" t="str">
        <f t="shared" si="29"/>
        <v>Bangalore</v>
      </c>
      <c r="AH497" s="8" t="str" cm="1">
        <f t="array" ref="AH497">IF(OR(J497="",AE497="",AE497="NOT FOUND"),"",IF(Y497="RP",_xlfn.LET(_xlpm.desc,_xlfn.XLOOKUP(1,(--(Sheet1!$F$2:$F$754=AE497))*(--ISNUMBER(FIND("-",Sheet1!$W$2:$W$754,FIND("-",Sheet1!$W$2:$W$754)+1))),Sheet1!$W$2:$W$754,""),IF(_xlpm.desc="","NOT FOUND",LEFT(_xlpm.desc,FIND("-",_xlpm.desc,FIND("-",_xlpm.desc)+1))&amp;AE497)),LEFT(J497,FIND("-",J497,FIND("-",J497)+1))&amp;AE497))</f>
        <v>KRTS-APWN26-GETKRTSFUT6087</v>
      </c>
    </row>
    <row r="498" spans="1:34" ht="15.75" customHeight="1" x14ac:dyDescent="0.2">
      <c r="A498" t="s">
        <v>30</v>
      </c>
      <c r="B498" t="s">
        <v>261</v>
      </c>
      <c r="C498" t="s">
        <v>64</v>
      </c>
      <c r="D498" t="s">
        <v>98</v>
      </c>
      <c r="E498" t="s">
        <v>34</v>
      </c>
      <c r="F498" t="s">
        <v>35</v>
      </c>
      <c r="G498" t="s">
        <v>51</v>
      </c>
      <c r="H498" t="s">
        <v>271</v>
      </c>
      <c r="I498" t="s">
        <v>272</v>
      </c>
      <c r="J498" t="s">
        <v>273</v>
      </c>
      <c r="K498" t="s">
        <v>474</v>
      </c>
      <c r="L498" t="s">
        <v>40</v>
      </c>
      <c r="M498">
        <v>1</v>
      </c>
      <c r="N498">
        <v>30</v>
      </c>
      <c r="O498">
        <v>30</v>
      </c>
      <c r="P498" t="s">
        <v>41</v>
      </c>
      <c r="Q498">
        <v>324.7</v>
      </c>
      <c r="R498">
        <v>324.7</v>
      </c>
      <c r="S498">
        <v>487.05</v>
      </c>
      <c r="T498">
        <v>9741</v>
      </c>
      <c r="U498">
        <v>5</v>
      </c>
      <c r="V498" t="s">
        <v>42</v>
      </c>
      <c r="W498" t="s">
        <v>474</v>
      </c>
      <c r="X498" s="6" t="str">
        <f t="shared" si="15"/>
        <v>441811096</v>
      </c>
      <c r="Y498" s="7" t="str">
        <f t="shared" si="16"/>
        <v>DC</v>
      </c>
      <c r="Z498" s="7">
        <f t="shared" si="17"/>
        <v>30</v>
      </c>
      <c r="AA498" s="7">
        <f t="shared" si="18"/>
        <v>0</v>
      </c>
      <c r="AB498" s="7">
        <f t="shared" si="19"/>
        <v>0</v>
      </c>
      <c r="AC498" s="7">
        <f t="shared" si="20"/>
        <v>0</v>
      </c>
      <c r="AD498" s="7">
        <f t="shared" si="21"/>
        <v>0</v>
      </c>
      <c r="AE498" s="8" t="str" cm="1">
        <f t="array" ref="AE498">IFERROR(_xlfn.XLOOKUP(H498,Sheet1!$G:$G,Sheet1!$F:$F),IFERROR(_xlfn.XLOOKUP(1,(--($X$2:$X$1074=X498))*(--ISNUMBER(MATCH($H$2:$H$1074,Sheet1!$G:$G,0))),_xlfn.XLOOKUP($H$2:$H$1074,Sheet1!$G:$G,Sheet1!$F:$F,"")),"NOT FOUND"))</f>
        <v>GETKRTSFUT6087</v>
      </c>
      <c r="AF498" s="9" t="str">
        <f t="shared" si="28"/>
        <v>CORAL</v>
      </c>
      <c r="AG498" s="10" t="str">
        <f t="shared" si="29"/>
        <v>Bangalore</v>
      </c>
      <c r="AH498" s="8" t="str" cm="1">
        <f t="array" ref="AH498">IF(OR(J498="",AE498="",AE498="NOT FOUND"),"",IF(Y498="RP",_xlfn.LET(_xlpm.desc,_xlfn.XLOOKUP(1,(--(Sheet1!$F$2:$F$754=AE498))*(--ISNUMBER(FIND("-",Sheet1!$W$2:$W$754,FIND("-",Sheet1!$W$2:$W$754)+1))),Sheet1!$W$2:$W$754,""),IF(_xlpm.desc="","NOT FOUND",LEFT(_xlpm.desc,FIND("-",_xlpm.desc,FIND("-",_xlpm.desc)+1))&amp;AE498)),LEFT(J498,FIND("-",J498,FIND("-",J498)+1))&amp;AE498))</f>
        <v>KRTS-APWN26-GETKRTSFUT6087</v>
      </c>
    </row>
    <row r="499" spans="1:34" ht="15.75" customHeight="1" x14ac:dyDescent="0.2">
      <c r="A499" t="s">
        <v>30</v>
      </c>
      <c r="B499" t="s">
        <v>261</v>
      </c>
      <c r="C499" t="s">
        <v>64</v>
      </c>
      <c r="D499" t="s">
        <v>98</v>
      </c>
      <c r="E499" t="s">
        <v>34</v>
      </c>
      <c r="F499" t="s">
        <v>35</v>
      </c>
      <c r="G499" t="s">
        <v>55</v>
      </c>
      <c r="H499" t="s">
        <v>274</v>
      </c>
      <c r="I499" t="s">
        <v>275</v>
      </c>
      <c r="J499" t="s">
        <v>276</v>
      </c>
      <c r="K499" t="s">
        <v>474</v>
      </c>
      <c r="L499" t="s">
        <v>40</v>
      </c>
      <c r="M499">
        <v>1</v>
      </c>
      <c r="N499">
        <v>217</v>
      </c>
      <c r="O499">
        <v>217</v>
      </c>
      <c r="P499" t="s">
        <v>41</v>
      </c>
      <c r="Q499">
        <v>324.7</v>
      </c>
      <c r="R499">
        <v>324.7</v>
      </c>
      <c r="S499">
        <v>3523</v>
      </c>
      <c r="T499">
        <v>70459.899999999994</v>
      </c>
      <c r="U499">
        <v>5</v>
      </c>
      <c r="V499" t="s">
        <v>42</v>
      </c>
      <c r="W499" t="s">
        <v>474</v>
      </c>
      <c r="X499" s="6" t="str">
        <f t="shared" si="15"/>
        <v>441811096</v>
      </c>
      <c r="Y499" s="7" t="str">
        <f t="shared" si="16"/>
        <v>DC</v>
      </c>
      <c r="Z499" s="7">
        <f t="shared" si="17"/>
        <v>0</v>
      </c>
      <c r="AA499" s="7">
        <f t="shared" si="18"/>
        <v>0</v>
      </c>
      <c r="AB499" s="7">
        <f t="shared" si="19"/>
        <v>0</v>
      </c>
      <c r="AC499" s="7">
        <f t="shared" si="20"/>
        <v>217</v>
      </c>
      <c r="AD499" s="7">
        <f t="shared" si="21"/>
        <v>0</v>
      </c>
      <c r="AE499" s="8" t="str" cm="1">
        <f t="array" ref="AE499">IFERROR(_xlfn.XLOOKUP(H499,Sheet1!$G:$G,Sheet1!$F:$F),IFERROR(_xlfn.XLOOKUP(1,(--($X$2:$X$1074=X499))*(--ISNUMBER(MATCH($H$2:$H$1074,Sheet1!$G:$G,0))),_xlfn.XLOOKUP($H$2:$H$1074,Sheet1!$G:$G,Sheet1!$F:$F,"")),"NOT FOUND"))</f>
        <v>GETKRTSFUT6087</v>
      </c>
      <c r="AF499" s="9" t="str">
        <f t="shared" si="28"/>
        <v>CORAL</v>
      </c>
      <c r="AG499" s="10" t="str">
        <f t="shared" si="29"/>
        <v>Bangalore</v>
      </c>
      <c r="AH499" s="8" t="str" cm="1">
        <f t="array" ref="AH499">IF(OR(J499="",AE499="",AE499="NOT FOUND"),"",IF(Y499="RP",_xlfn.LET(_xlpm.desc,_xlfn.XLOOKUP(1,(--(Sheet1!$F$2:$F$754=AE499))*(--ISNUMBER(FIND("-",Sheet1!$W$2:$W$754,FIND("-",Sheet1!$W$2:$W$754)+1))),Sheet1!$W$2:$W$754,""),IF(_xlpm.desc="","NOT FOUND",LEFT(_xlpm.desc,FIND("-",_xlpm.desc,FIND("-",_xlpm.desc)+1))&amp;AE499)),LEFT(J499,FIND("-",J499,FIND("-",J499)+1))&amp;AE499))</f>
        <v>KRTS-APWN26-GETKRTSFUT6087</v>
      </c>
    </row>
    <row r="500" spans="1:34" ht="15.75" customHeight="1" x14ac:dyDescent="0.2">
      <c r="A500" t="s">
        <v>30</v>
      </c>
      <c r="B500" t="s">
        <v>277</v>
      </c>
      <c r="C500" t="s">
        <v>64</v>
      </c>
      <c r="D500" t="s">
        <v>33</v>
      </c>
      <c r="E500" t="s">
        <v>34</v>
      </c>
      <c r="F500" t="s">
        <v>35</v>
      </c>
      <c r="G500" t="s">
        <v>43</v>
      </c>
      <c r="H500" t="s">
        <v>278</v>
      </c>
      <c r="I500" t="s">
        <v>279</v>
      </c>
      <c r="J500" t="s">
        <v>280</v>
      </c>
      <c r="K500" t="s">
        <v>474</v>
      </c>
      <c r="L500" t="s">
        <v>40</v>
      </c>
      <c r="M500">
        <v>1</v>
      </c>
      <c r="N500">
        <v>257</v>
      </c>
      <c r="O500">
        <v>257</v>
      </c>
      <c r="P500" t="s">
        <v>41</v>
      </c>
      <c r="Q500">
        <v>324.7</v>
      </c>
      <c r="R500">
        <v>324.7</v>
      </c>
      <c r="S500">
        <v>4172.3999999999996</v>
      </c>
      <c r="T500">
        <v>83447.899999999994</v>
      </c>
      <c r="U500">
        <v>5</v>
      </c>
      <c r="V500" t="s">
        <v>42</v>
      </c>
      <c r="W500" t="s">
        <v>474</v>
      </c>
      <c r="X500" s="6" t="str">
        <f t="shared" si="15"/>
        <v>441811095</v>
      </c>
      <c r="Y500" s="7" t="str">
        <f t="shared" si="16"/>
        <v>DC</v>
      </c>
      <c r="Z500" s="7">
        <f t="shared" si="17"/>
        <v>0</v>
      </c>
      <c r="AA500" s="7">
        <f t="shared" si="18"/>
        <v>0</v>
      </c>
      <c r="AB500" s="7">
        <f t="shared" si="19"/>
        <v>257</v>
      </c>
      <c r="AC500" s="7">
        <f t="shared" si="20"/>
        <v>0</v>
      </c>
      <c r="AD500" s="7">
        <f t="shared" si="21"/>
        <v>0</v>
      </c>
      <c r="AE500" s="8" t="str" cm="1">
        <f t="array" ref="AE500">IFERROR(_xlfn.XLOOKUP(H500,Sheet1!$G:$G,Sheet1!$F:$F),IFERROR(_xlfn.XLOOKUP(1,(--($X$2:$X$1074=X500))*(--ISNUMBER(MATCH($H$2:$H$1074,Sheet1!$G:$G,0))),_xlfn.XLOOKUP($H$2:$H$1074,Sheet1!$G:$G,Sheet1!$F:$F,"")),"NOT FOUND"))</f>
        <v>GETKRTSFUT6012</v>
      </c>
      <c r="AF500" s="9" t="str">
        <f t="shared" si="28"/>
        <v>MAROON</v>
      </c>
      <c r="AG500" s="10" t="str">
        <f t="shared" si="29"/>
        <v>Bangalore</v>
      </c>
      <c r="AH500" s="8" t="str" cm="1">
        <f t="array" ref="AH500">IF(OR(J500="",AE500="",AE500="NOT FOUND"),"",IF(Y500="RP",_xlfn.LET(_xlpm.desc,_xlfn.XLOOKUP(1,(--(Sheet1!$F$2:$F$754=AE500))*(--ISNUMBER(FIND("-",Sheet1!$W$2:$W$754,FIND("-",Sheet1!$W$2:$W$754)+1))),Sheet1!$W$2:$W$754,""),IF(_xlpm.desc="","NOT FOUND",LEFT(_xlpm.desc,FIND("-",_xlpm.desc,FIND("-",_xlpm.desc)+1))&amp;AE500)),LEFT(J500,FIND("-",J500,FIND("-",J500)+1))&amp;AE500))</f>
        <v>KRTS-APWN26-GETKRTSFUT6012</v>
      </c>
    </row>
    <row r="501" spans="1:34" ht="15.75" customHeight="1" x14ac:dyDescent="0.2">
      <c r="A501" t="s">
        <v>30</v>
      </c>
      <c r="B501" t="s">
        <v>277</v>
      </c>
      <c r="C501" t="s">
        <v>64</v>
      </c>
      <c r="D501" t="s">
        <v>33</v>
      </c>
      <c r="E501" t="s">
        <v>34</v>
      </c>
      <c r="F501" t="s">
        <v>35</v>
      </c>
      <c r="G501" t="s">
        <v>47</v>
      </c>
      <c r="H501" t="s">
        <v>281</v>
      </c>
      <c r="I501" t="s">
        <v>282</v>
      </c>
      <c r="J501" t="s">
        <v>283</v>
      </c>
      <c r="K501" t="s">
        <v>474</v>
      </c>
      <c r="L501" t="s">
        <v>40</v>
      </c>
      <c r="M501">
        <v>1</v>
      </c>
      <c r="N501">
        <v>257</v>
      </c>
      <c r="O501">
        <v>257</v>
      </c>
      <c r="P501" t="s">
        <v>41</v>
      </c>
      <c r="Q501">
        <v>324.7</v>
      </c>
      <c r="R501">
        <v>324.7</v>
      </c>
      <c r="S501">
        <v>4172.3999999999996</v>
      </c>
      <c r="T501">
        <v>83447.899999999994</v>
      </c>
      <c r="U501">
        <v>5</v>
      </c>
      <c r="V501" t="s">
        <v>42</v>
      </c>
      <c r="W501" t="s">
        <v>474</v>
      </c>
      <c r="X501" s="6" t="str">
        <f t="shared" si="15"/>
        <v>441811095</v>
      </c>
      <c r="Y501" s="7" t="str">
        <f t="shared" si="16"/>
        <v>DC</v>
      </c>
      <c r="Z501" s="7">
        <f t="shared" si="17"/>
        <v>0</v>
      </c>
      <c r="AA501" s="7">
        <f t="shared" si="18"/>
        <v>257</v>
      </c>
      <c r="AB501" s="7">
        <f t="shared" si="19"/>
        <v>0</v>
      </c>
      <c r="AC501" s="7">
        <f t="shared" si="20"/>
        <v>0</v>
      </c>
      <c r="AD501" s="7">
        <f t="shared" si="21"/>
        <v>0</v>
      </c>
      <c r="AE501" s="8" t="str" cm="1">
        <f t="array" ref="AE501">IFERROR(_xlfn.XLOOKUP(H501,Sheet1!$G:$G,Sheet1!$F:$F),IFERROR(_xlfn.XLOOKUP(1,(--($X$2:$X$1074=X501))*(--ISNUMBER(MATCH($H$2:$H$1074,Sheet1!$G:$G,0))),_xlfn.XLOOKUP($H$2:$H$1074,Sheet1!$G:$G,Sheet1!$F:$F,"")),"NOT FOUND"))</f>
        <v>GETKRTSFUT6012</v>
      </c>
      <c r="AF501" s="9" t="str">
        <f t="shared" si="28"/>
        <v>MAROON</v>
      </c>
      <c r="AG501" s="10" t="str">
        <f t="shared" si="29"/>
        <v>Bangalore</v>
      </c>
      <c r="AH501" s="8" t="str" cm="1">
        <f t="array" ref="AH501">IF(OR(J501="",AE501="",AE501="NOT FOUND"),"",IF(Y501="RP",_xlfn.LET(_xlpm.desc,_xlfn.XLOOKUP(1,(--(Sheet1!$F$2:$F$754=AE501))*(--ISNUMBER(FIND("-",Sheet1!$W$2:$W$754,FIND("-",Sheet1!$W$2:$W$754)+1))),Sheet1!$W$2:$W$754,""),IF(_xlpm.desc="","NOT FOUND",LEFT(_xlpm.desc,FIND("-",_xlpm.desc,FIND("-",_xlpm.desc)+1))&amp;AE501)),LEFT(J501,FIND("-",J501,FIND("-",J501)+1))&amp;AE501))</f>
        <v>KRTS-APWN26-GETKRTSFUT6012</v>
      </c>
    </row>
    <row r="502" spans="1:34" ht="15.75" customHeight="1" x14ac:dyDescent="0.2">
      <c r="A502" t="s">
        <v>30</v>
      </c>
      <c r="B502" t="s">
        <v>277</v>
      </c>
      <c r="C502" t="s">
        <v>64</v>
      </c>
      <c r="D502" t="s">
        <v>33</v>
      </c>
      <c r="E502" t="s">
        <v>34</v>
      </c>
      <c r="F502" t="s">
        <v>35</v>
      </c>
      <c r="G502" t="s">
        <v>51</v>
      </c>
      <c r="H502" t="s">
        <v>284</v>
      </c>
      <c r="I502" t="s">
        <v>285</v>
      </c>
      <c r="J502" t="s">
        <v>286</v>
      </c>
      <c r="K502" t="s">
        <v>474</v>
      </c>
      <c r="L502" t="s">
        <v>40</v>
      </c>
      <c r="M502">
        <v>1</v>
      </c>
      <c r="N502">
        <v>30</v>
      </c>
      <c r="O502">
        <v>30</v>
      </c>
      <c r="P502" t="s">
        <v>41</v>
      </c>
      <c r="Q502">
        <v>324.7</v>
      </c>
      <c r="R502">
        <v>324.7</v>
      </c>
      <c r="S502">
        <v>487.05</v>
      </c>
      <c r="T502">
        <v>9741</v>
      </c>
      <c r="U502">
        <v>5</v>
      </c>
      <c r="V502" t="s">
        <v>42</v>
      </c>
      <c r="W502" t="s">
        <v>474</v>
      </c>
      <c r="X502" s="6" t="str">
        <f t="shared" si="15"/>
        <v>441811095</v>
      </c>
      <c r="Y502" s="7" t="str">
        <f t="shared" si="16"/>
        <v>DC</v>
      </c>
      <c r="Z502" s="7">
        <f t="shared" si="17"/>
        <v>30</v>
      </c>
      <c r="AA502" s="7">
        <f t="shared" si="18"/>
        <v>0</v>
      </c>
      <c r="AB502" s="7">
        <f t="shared" si="19"/>
        <v>0</v>
      </c>
      <c r="AC502" s="7">
        <f t="shared" si="20"/>
        <v>0</v>
      </c>
      <c r="AD502" s="7">
        <f t="shared" si="21"/>
        <v>0</v>
      </c>
      <c r="AE502" s="8" t="str" cm="1">
        <f t="array" ref="AE502">IFERROR(_xlfn.XLOOKUP(H502,Sheet1!$G:$G,Sheet1!$F:$F),IFERROR(_xlfn.XLOOKUP(1,(--($X$2:$X$1074=X502))*(--ISNUMBER(MATCH($H$2:$H$1074,Sheet1!$G:$G,0))),_xlfn.XLOOKUP($H$2:$H$1074,Sheet1!$G:$G,Sheet1!$F:$F,"")),"NOT FOUND"))</f>
        <v>GETKRTSFUT6012</v>
      </c>
      <c r="AF502" s="9" t="str">
        <f t="shared" si="28"/>
        <v>MAROON</v>
      </c>
      <c r="AG502" s="10" t="str">
        <f t="shared" si="29"/>
        <v>Bangalore</v>
      </c>
      <c r="AH502" s="8" t="str" cm="1">
        <f t="array" ref="AH502">IF(OR(J502="",AE502="",AE502="NOT FOUND"),"",IF(Y502="RP",_xlfn.LET(_xlpm.desc,_xlfn.XLOOKUP(1,(--(Sheet1!$F$2:$F$754=AE502))*(--ISNUMBER(FIND("-",Sheet1!$W$2:$W$754,FIND("-",Sheet1!$W$2:$W$754)+1))),Sheet1!$W$2:$W$754,""),IF(_xlpm.desc="","NOT FOUND",LEFT(_xlpm.desc,FIND("-",_xlpm.desc,FIND("-",_xlpm.desc)+1))&amp;AE502)),LEFT(J502,FIND("-",J502,FIND("-",J502)+1))&amp;AE502))</f>
        <v>KRTS-APWN26-GETKRTSFUT6012</v>
      </c>
    </row>
    <row r="503" spans="1:34" ht="15.75" customHeight="1" x14ac:dyDescent="0.2">
      <c r="A503" t="s">
        <v>59</v>
      </c>
      <c r="B503" t="s">
        <v>290</v>
      </c>
      <c r="C503" t="s">
        <v>64</v>
      </c>
      <c r="D503" t="s">
        <v>192</v>
      </c>
      <c r="E503" t="s">
        <v>34</v>
      </c>
      <c r="F503" t="s">
        <v>35</v>
      </c>
      <c r="G503" t="s">
        <v>51</v>
      </c>
      <c r="H503" t="s">
        <v>255</v>
      </c>
      <c r="I503" t="s">
        <v>256</v>
      </c>
      <c r="J503" t="s">
        <v>257</v>
      </c>
      <c r="K503" t="s">
        <v>474</v>
      </c>
      <c r="L503" t="s">
        <v>40</v>
      </c>
      <c r="M503">
        <v>1</v>
      </c>
      <c r="N503">
        <v>30</v>
      </c>
      <c r="O503">
        <v>30</v>
      </c>
      <c r="P503" t="s">
        <v>41</v>
      </c>
      <c r="Q503">
        <v>374.7</v>
      </c>
      <c r="R503">
        <v>374.7</v>
      </c>
      <c r="S503">
        <v>562.04999999999995</v>
      </c>
      <c r="T503">
        <v>11241</v>
      </c>
      <c r="U503">
        <v>5</v>
      </c>
      <c r="V503" t="s">
        <v>42</v>
      </c>
      <c r="W503" t="s">
        <v>474</v>
      </c>
      <c r="X503" s="6" t="str">
        <f t="shared" si="15"/>
        <v>441811097</v>
      </c>
      <c r="Y503" s="7" t="str">
        <f t="shared" si="16"/>
        <v>DC</v>
      </c>
      <c r="Z503" s="7">
        <f t="shared" si="17"/>
        <v>30</v>
      </c>
      <c r="AA503" s="7">
        <f t="shared" si="18"/>
        <v>0</v>
      </c>
      <c r="AB503" s="7">
        <f t="shared" si="19"/>
        <v>0</v>
      </c>
      <c r="AC503" s="7">
        <f t="shared" si="20"/>
        <v>0</v>
      </c>
      <c r="AD503" s="7">
        <f t="shared" si="21"/>
        <v>0</v>
      </c>
      <c r="AE503" s="8" t="str" cm="1">
        <f t="array" ref="AE503">IFERROR(_xlfn.XLOOKUP(H503,Sheet1!$G:$G,Sheet1!$F:$F),IFERROR(_xlfn.XLOOKUP(1,(--($X$2:$X$1074=X503))*(--ISNUMBER(MATCH($H$2:$H$1074,Sheet1!$G:$G,0))),_xlfn.XLOOKUP($H$2:$H$1074,Sheet1!$G:$G,Sheet1!$F:$F,"")),"NOT FOUND"))</f>
        <v>GETKRTSFUT6089</v>
      </c>
      <c r="AF503" s="9" t="str">
        <f t="shared" si="28"/>
        <v>PINK</v>
      </c>
      <c r="AG503" s="10" t="str">
        <f t="shared" si="29"/>
        <v>JHAJJAR</v>
      </c>
      <c r="AH503" s="8" t="str" cm="1">
        <f t="array" ref="AH503">IF(OR(J503="",AE503="",AE503="NOT FOUND"),"",IF(Y503="RP",_xlfn.LET(_xlpm.desc,_xlfn.XLOOKUP(1,(--(Sheet1!$F$2:$F$754=AE503))*(--ISNUMBER(FIND("-",Sheet1!$W$2:$W$754,FIND("-",Sheet1!$W$2:$W$754)+1))),Sheet1!$W$2:$W$754,""),IF(_xlpm.desc="","NOT FOUND",LEFT(_xlpm.desc,FIND("-",_xlpm.desc,FIND("-",_xlpm.desc)+1))&amp;AE503)),LEFT(J503,FIND("-",J503,FIND("-",J503)+1))&amp;AE503))</f>
        <v>KRTS-APWN26-GETKRTSFUT6089</v>
      </c>
    </row>
    <row r="504" spans="1:34" ht="15.75" customHeight="1" x14ac:dyDescent="0.2">
      <c r="A504" t="s">
        <v>30</v>
      </c>
      <c r="B504" t="s">
        <v>291</v>
      </c>
      <c r="C504" t="s">
        <v>64</v>
      </c>
      <c r="D504" t="s">
        <v>1158</v>
      </c>
      <c r="E504" t="s">
        <v>34</v>
      </c>
      <c r="F504" t="s">
        <v>35</v>
      </c>
      <c r="G504" t="s">
        <v>36</v>
      </c>
      <c r="H504" t="s">
        <v>293</v>
      </c>
      <c r="I504" t="s">
        <v>294</v>
      </c>
      <c r="J504" t="s">
        <v>295</v>
      </c>
      <c r="K504" t="s">
        <v>474</v>
      </c>
      <c r="L504" t="s">
        <v>40</v>
      </c>
      <c r="M504">
        <v>1</v>
      </c>
      <c r="N504">
        <v>30</v>
      </c>
      <c r="O504">
        <v>30</v>
      </c>
      <c r="P504" t="s">
        <v>41</v>
      </c>
      <c r="Q504">
        <v>374.7</v>
      </c>
      <c r="R504">
        <v>374.7</v>
      </c>
      <c r="S504">
        <v>562.04999999999995</v>
      </c>
      <c r="T504">
        <v>11241</v>
      </c>
      <c r="U504">
        <v>5</v>
      </c>
      <c r="V504" t="s">
        <v>42</v>
      </c>
      <c r="W504" t="s">
        <v>474</v>
      </c>
      <c r="X504" s="6" t="str">
        <f t="shared" si="15"/>
        <v>441811094</v>
      </c>
      <c r="Y504" s="7" t="str">
        <f t="shared" si="16"/>
        <v>DC</v>
      </c>
      <c r="Z504" s="7">
        <f t="shared" si="17"/>
        <v>0</v>
      </c>
      <c r="AA504" s="7">
        <f t="shared" si="18"/>
        <v>0</v>
      </c>
      <c r="AB504" s="7">
        <f t="shared" si="19"/>
        <v>0</v>
      </c>
      <c r="AC504" s="7">
        <f t="shared" si="20"/>
        <v>0</v>
      </c>
      <c r="AD504" s="7">
        <f t="shared" si="21"/>
        <v>30</v>
      </c>
      <c r="AE504" s="8" t="str" cm="1">
        <f t="array" ref="AE504">IFERROR(_xlfn.XLOOKUP(H504,Sheet1!$G:$G,Sheet1!$F:$F),IFERROR(_xlfn.XLOOKUP(1,(--($X$2:$X$1074=X504))*(--ISNUMBER(MATCH($H$2:$H$1074,Sheet1!$G:$G,0))),_xlfn.XLOOKUP($H$2:$H$1074,Sheet1!$G:$G,Sheet1!$F:$F,"")),"NOT FOUND"))</f>
        <v>GETKRTSFUT6002</v>
      </c>
      <c r="AF504" s="9" t="str">
        <f t="shared" si="28"/>
        <v>MUSTARD</v>
      </c>
      <c r="AG504" s="10" t="str">
        <f t="shared" si="29"/>
        <v>Bangalore</v>
      </c>
      <c r="AH504" s="8" t="str" cm="1">
        <f t="array" ref="AH504">IF(OR(J504="",AE504="",AE504="NOT FOUND"),"",IF(Y504="RP",_xlfn.LET(_xlpm.desc,_xlfn.XLOOKUP(1,(--(Sheet1!$F$2:$F$754=AE504))*(--ISNUMBER(FIND("-",Sheet1!$W$2:$W$754,FIND("-",Sheet1!$W$2:$W$754)+1))),Sheet1!$W$2:$W$754,""),IF(_xlpm.desc="","NOT FOUND",LEFT(_xlpm.desc,FIND("-",_xlpm.desc,FIND("-",_xlpm.desc)+1))&amp;AE504)),LEFT(J504,FIND("-",J504,FIND("-",J504)+1))&amp;AE504))</f>
        <v>KRTS-APWN26-GETKRTSFUT6002</v>
      </c>
    </row>
    <row r="505" spans="1:34" ht="15.75" customHeight="1" x14ac:dyDescent="0.2">
      <c r="A505" t="s">
        <v>30</v>
      </c>
      <c r="B505" t="s">
        <v>291</v>
      </c>
      <c r="C505" t="s">
        <v>64</v>
      </c>
      <c r="D505" t="s">
        <v>1158</v>
      </c>
      <c r="E505" t="s">
        <v>34</v>
      </c>
      <c r="F505" t="s">
        <v>35</v>
      </c>
      <c r="G505" t="s">
        <v>43</v>
      </c>
      <c r="H505" t="s">
        <v>296</v>
      </c>
      <c r="I505" t="s">
        <v>297</v>
      </c>
      <c r="J505" t="s">
        <v>298</v>
      </c>
      <c r="K505" t="s">
        <v>474</v>
      </c>
      <c r="L505" t="s">
        <v>40</v>
      </c>
      <c r="M505">
        <v>1</v>
      </c>
      <c r="N505">
        <v>197</v>
      </c>
      <c r="O505">
        <v>197</v>
      </c>
      <c r="P505" t="s">
        <v>41</v>
      </c>
      <c r="Q505">
        <v>374.7</v>
      </c>
      <c r="R505">
        <v>374.7</v>
      </c>
      <c r="S505">
        <v>3690.8</v>
      </c>
      <c r="T505">
        <v>73815.899999999994</v>
      </c>
      <c r="U505">
        <v>5</v>
      </c>
      <c r="V505" t="s">
        <v>42</v>
      </c>
      <c r="W505" t="s">
        <v>474</v>
      </c>
      <c r="X505" s="6" t="str">
        <f t="shared" si="15"/>
        <v>441811094</v>
      </c>
      <c r="Y505" s="7" t="str">
        <f t="shared" si="16"/>
        <v>DC</v>
      </c>
      <c r="Z505" s="7">
        <f t="shared" si="17"/>
        <v>0</v>
      </c>
      <c r="AA505" s="7">
        <f t="shared" si="18"/>
        <v>0</v>
      </c>
      <c r="AB505" s="7">
        <f t="shared" si="19"/>
        <v>197</v>
      </c>
      <c r="AC505" s="7">
        <f t="shared" si="20"/>
        <v>0</v>
      </c>
      <c r="AD505" s="7">
        <f t="shared" si="21"/>
        <v>0</v>
      </c>
      <c r="AE505" s="8" t="str" cm="1">
        <f t="array" ref="AE505">IFERROR(_xlfn.XLOOKUP(H505,Sheet1!$G:$G,Sheet1!$F:$F),IFERROR(_xlfn.XLOOKUP(1,(--($X$2:$X$1074=X505))*(--ISNUMBER(MATCH($H$2:$H$1074,Sheet1!$G:$G,0))),_xlfn.XLOOKUP($H$2:$H$1074,Sheet1!$G:$G,Sheet1!$F:$F,"")),"NOT FOUND"))</f>
        <v>GETKRTSFUT6002</v>
      </c>
      <c r="AF505" s="9" t="str">
        <f t="shared" si="28"/>
        <v>MUSTARD</v>
      </c>
      <c r="AG505" s="10" t="str">
        <f t="shared" si="29"/>
        <v>Bangalore</v>
      </c>
      <c r="AH505" s="8" t="str" cm="1">
        <f t="array" ref="AH505">IF(OR(J505="",AE505="",AE505="NOT FOUND"),"",IF(Y505="RP",_xlfn.LET(_xlpm.desc,_xlfn.XLOOKUP(1,(--(Sheet1!$F$2:$F$754=AE505))*(--ISNUMBER(FIND("-",Sheet1!$W$2:$W$754,FIND("-",Sheet1!$W$2:$W$754)+1))),Sheet1!$W$2:$W$754,""),IF(_xlpm.desc="","NOT FOUND",LEFT(_xlpm.desc,FIND("-",_xlpm.desc,FIND("-",_xlpm.desc)+1))&amp;AE505)),LEFT(J505,FIND("-",J505,FIND("-",J505)+1))&amp;AE505))</f>
        <v>KRTS-APWN26-GETKRTSFUT6002</v>
      </c>
    </row>
    <row r="506" spans="1:34" ht="15.75" customHeight="1" x14ac:dyDescent="0.2">
      <c r="A506" t="s">
        <v>30</v>
      </c>
      <c r="B506" t="s">
        <v>291</v>
      </c>
      <c r="C506" t="s">
        <v>64</v>
      </c>
      <c r="D506" t="s">
        <v>1158</v>
      </c>
      <c r="E506" t="s">
        <v>34</v>
      </c>
      <c r="F506" t="s">
        <v>35</v>
      </c>
      <c r="G506" t="s">
        <v>47</v>
      </c>
      <c r="H506" t="s">
        <v>299</v>
      </c>
      <c r="I506" t="s">
        <v>300</v>
      </c>
      <c r="J506" t="s">
        <v>301</v>
      </c>
      <c r="K506" t="s">
        <v>474</v>
      </c>
      <c r="L506" t="s">
        <v>40</v>
      </c>
      <c r="M506">
        <v>1</v>
      </c>
      <c r="N506">
        <v>197</v>
      </c>
      <c r="O506">
        <v>197</v>
      </c>
      <c r="P506" t="s">
        <v>41</v>
      </c>
      <c r="Q506">
        <v>374.7</v>
      </c>
      <c r="R506">
        <v>374.7</v>
      </c>
      <c r="S506">
        <v>3690.8</v>
      </c>
      <c r="T506">
        <v>73815.899999999994</v>
      </c>
      <c r="U506">
        <v>5</v>
      </c>
      <c r="V506" t="s">
        <v>42</v>
      </c>
      <c r="W506" t="s">
        <v>474</v>
      </c>
      <c r="X506" s="6" t="str">
        <f t="shared" si="15"/>
        <v>441811094</v>
      </c>
      <c r="Y506" s="7" t="str">
        <f t="shared" si="16"/>
        <v>DC</v>
      </c>
      <c r="Z506" s="7">
        <f t="shared" si="17"/>
        <v>0</v>
      </c>
      <c r="AA506" s="7">
        <f t="shared" si="18"/>
        <v>197</v>
      </c>
      <c r="AB506" s="7">
        <f t="shared" si="19"/>
        <v>0</v>
      </c>
      <c r="AC506" s="7">
        <f t="shared" si="20"/>
        <v>0</v>
      </c>
      <c r="AD506" s="7">
        <f t="shared" si="21"/>
        <v>0</v>
      </c>
      <c r="AE506" s="8" t="str" cm="1">
        <f t="array" ref="AE506">IFERROR(_xlfn.XLOOKUP(H506,Sheet1!$G:$G,Sheet1!$F:$F),IFERROR(_xlfn.XLOOKUP(1,(--($X$2:$X$1074=X506))*(--ISNUMBER(MATCH($H$2:$H$1074,Sheet1!$G:$G,0))),_xlfn.XLOOKUP($H$2:$H$1074,Sheet1!$G:$G,Sheet1!$F:$F,"")),"NOT FOUND"))</f>
        <v>GETKRTSFUT6002</v>
      </c>
      <c r="AF506" s="9" t="str">
        <f t="shared" si="28"/>
        <v>MUSTARD</v>
      </c>
      <c r="AG506" s="10" t="str">
        <f t="shared" si="29"/>
        <v>Bangalore</v>
      </c>
      <c r="AH506" s="8" t="str" cm="1">
        <f t="array" ref="AH506">IF(OR(J506="",AE506="",AE506="NOT FOUND"),"",IF(Y506="RP",_xlfn.LET(_xlpm.desc,_xlfn.XLOOKUP(1,(--(Sheet1!$F$2:$F$754=AE506))*(--ISNUMBER(FIND("-",Sheet1!$W$2:$W$754,FIND("-",Sheet1!$W$2:$W$754)+1))),Sheet1!$W$2:$W$754,""),IF(_xlpm.desc="","NOT FOUND",LEFT(_xlpm.desc,FIND("-",_xlpm.desc,FIND("-",_xlpm.desc)+1))&amp;AE506)),LEFT(J506,FIND("-",J506,FIND("-",J506)+1))&amp;AE506))</f>
        <v>KRTS-APWN26-GETKRTSFUT6002</v>
      </c>
    </row>
    <row r="507" spans="1:34" ht="15.75" customHeight="1" x14ac:dyDescent="0.2">
      <c r="A507" t="s">
        <v>30</v>
      </c>
      <c r="B507" t="s">
        <v>291</v>
      </c>
      <c r="C507" t="s">
        <v>64</v>
      </c>
      <c r="D507" t="s">
        <v>1158</v>
      </c>
      <c r="E507" t="s">
        <v>34</v>
      </c>
      <c r="F507" t="s">
        <v>35</v>
      </c>
      <c r="G507" t="s">
        <v>51</v>
      </c>
      <c r="H507" t="s">
        <v>302</v>
      </c>
      <c r="I507" t="s">
        <v>303</v>
      </c>
      <c r="J507" t="s">
        <v>304</v>
      </c>
      <c r="K507" t="s">
        <v>474</v>
      </c>
      <c r="L507" t="s">
        <v>40</v>
      </c>
      <c r="M507">
        <v>1</v>
      </c>
      <c r="N507">
        <v>30</v>
      </c>
      <c r="O507">
        <v>30</v>
      </c>
      <c r="P507" t="s">
        <v>41</v>
      </c>
      <c r="Q507">
        <v>374.7</v>
      </c>
      <c r="R507">
        <v>374.7</v>
      </c>
      <c r="S507">
        <v>562.04999999999995</v>
      </c>
      <c r="T507">
        <v>11241</v>
      </c>
      <c r="U507">
        <v>5</v>
      </c>
      <c r="V507" t="s">
        <v>42</v>
      </c>
      <c r="W507" t="s">
        <v>474</v>
      </c>
      <c r="X507" s="6" t="str">
        <f t="shared" si="15"/>
        <v>441811094</v>
      </c>
      <c r="Y507" s="7" t="str">
        <f t="shared" si="16"/>
        <v>DC</v>
      </c>
      <c r="Z507" s="7">
        <f t="shared" si="17"/>
        <v>30</v>
      </c>
      <c r="AA507" s="7">
        <f t="shared" si="18"/>
        <v>0</v>
      </c>
      <c r="AB507" s="7">
        <f t="shared" si="19"/>
        <v>0</v>
      </c>
      <c r="AC507" s="7">
        <f t="shared" si="20"/>
        <v>0</v>
      </c>
      <c r="AD507" s="7">
        <f t="shared" si="21"/>
        <v>0</v>
      </c>
      <c r="AE507" s="8" t="str" cm="1">
        <f t="array" ref="AE507">IFERROR(_xlfn.XLOOKUP(H507,Sheet1!$G:$G,Sheet1!$F:$F),IFERROR(_xlfn.XLOOKUP(1,(--($X$2:$X$1074=X507))*(--ISNUMBER(MATCH($H$2:$H$1074,Sheet1!$G:$G,0))),_xlfn.XLOOKUP($H$2:$H$1074,Sheet1!$G:$G,Sheet1!$F:$F,"")),"NOT FOUND"))</f>
        <v>GETKRTSFUT6002</v>
      </c>
      <c r="AF507" s="9" t="str">
        <f t="shared" si="28"/>
        <v>MUSTARD</v>
      </c>
      <c r="AG507" s="10" t="str">
        <f t="shared" si="29"/>
        <v>Bangalore</v>
      </c>
      <c r="AH507" s="8" t="str" cm="1">
        <f t="array" ref="AH507">IF(OR(J507="",AE507="",AE507="NOT FOUND"),"",IF(Y507="RP",_xlfn.LET(_xlpm.desc,_xlfn.XLOOKUP(1,(--(Sheet1!$F$2:$F$754=AE507))*(--ISNUMBER(FIND("-",Sheet1!$W$2:$W$754,FIND("-",Sheet1!$W$2:$W$754)+1))),Sheet1!$W$2:$W$754,""),IF(_xlpm.desc="","NOT FOUND",LEFT(_xlpm.desc,FIND("-",_xlpm.desc,FIND("-",_xlpm.desc)+1))&amp;AE507)),LEFT(J507,FIND("-",J507,FIND("-",J507)+1))&amp;AE507))</f>
        <v>KRTS-APWN26-GETKRTSFUT6002</v>
      </c>
    </row>
    <row r="508" spans="1:34" ht="15.75" customHeight="1" x14ac:dyDescent="0.2">
      <c r="A508" t="s">
        <v>30</v>
      </c>
      <c r="B508" t="s">
        <v>291</v>
      </c>
      <c r="C508" t="s">
        <v>64</v>
      </c>
      <c r="D508" t="s">
        <v>1158</v>
      </c>
      <c r="E508" t="s">
        <v>34</v>
      </c>
      <c r="F508" t="s">
        <v>35</v>
      </c>
      <c r="G508" t="s">
        <v>55</v>
      </c>
      <c r="H508" t="s">
        <v>305</v>
      </c>
      <c r="I508" t="s">
        <v>306</v>
      </c>
      <c r="J508" t="s">
        <v>307</v>
      </c>
      <c r="K508" t="s">
        <v>474</v>
      </c>
      <c r="L508" t="s">
        <v>40</v>
      </c>
      <c r="M508">
        <v>1</v>
      </c>
      <c r="N508">
        <v>166</v>
      </c>
      <c r="O508">
        <v>166</v>
      </c>
      <c r="P508" t="s">
        <v>41</v>
      </c>
      <c r="Q508">
        <v>374.7</v>
      </c>
      <c r="R508">
        <v>374.7</v>
      </c>
      <c r="S508">
        <v>3110.01</v>
      </c>
      <c r="T508">
        <v>62200.2</v>
      </c>
      <c r="U508">
        <v>5</v>
      </c>
      <c r="V508" t="s">
        <v>42</v>
      </c>
      <c r="W508" t="s">
        <v>474</v>
      </c>
      <c r="X508" s="6" t="str">
        <f t="shared" si="15"/>
        <v>441811094</v>
      </c>
      <c r="Y508" s="7" t="str">
        <f t="shared" si="16"/>
        <v>DC</v>
      </c>
      <c r="Z508" s="7">
        <f t="shared" si="17"/>
        <v>0</v>
      </c>
      <c r="AA508" s="7">
        <f t="shared" si="18"/>
        <v>0</v>
      </c>
      <c r="AB508" s="7">
        <f t="shared" si="19"/>
        <v>0</v>
      </c>
      <c r="AC508" s="7">
        <f t="shared" si="20"/>
        <v>166</v>
      </c>
      <c r="AD508" s="7">
        <f t="shared" si="21"/>
        <v>0</v>
      </c>
      <c r="AE508" s="8" t="str" cm="1">
        <f t="array" ref="AE508">IFERROR(_xlfn.XLOOKUP(H508,Sheet1!$G:$G,Sheet1!$F:$F),IFERROR(_xlfn.XLOOKUP(1,(--($X$2:$X$1074=X508))*(--ISNUMBER(MATCH($H$2:$H$1074,Sheet1!$G:$G,0))),_xlfn.XLOOKUP($H$2:$H$1074,Sheet1!$G:$G,Sheet1!$F:$F,"")),"NOT FOUND"))</f>
        <v>GETKRTSFUT6002</v>
      </c>
      <c r="AF508" s="9" t="str">
        <f t="shared" si="28"/>
        <v>MUSTARD</v>
      </c>
      <c r="AG508" s="10" t="str">
        <f t="shared" si="29"/>
        <v>Bangalore</v>
      </c>
      <c r="AH508" s="8" t="str" cm="1">
        <f t="array" ref="AH508">IF(OR(J508="",AE508="",AE508="NOT FOUND"),"",IF(Y508="RP",_xlfn.LET(_xlpm.desc,_xlfn.XLOOKUP(1,(--(Sheet1!$F$2:$F$754=AE508))*(--ISNUMBER(FIND("-",Sheet1!$W$2:$W$754,FIND("-",Sheet1!$W$2:$W$754)+1))),Sheet1!$W$2:$W$754,""),IF(_xlpm.desc="","NOT FOUND",LEFT(_xlpm.desc,FIND("-",_xlpm.desc,FIND("-",_xlpm.desc)+1))&amp;AE508)),LEFT(J508,FIND("-",J508,FIND("-",J508)+1))&amp;AE508))</f>
        <v>KRTS-APWN26-GETKRTSFUT6002</v>
      </c>
    </row>
    <row r="509" spans="1:34" ht="15.75" customHeight="1" x14ac:dyDescent="0.2">
      <c r="A509" t="s">
        <v>30</v>
      </c>
      <c r="B509" t="s">
        <v>308</v>
      </c>
      <c r="C509" t="s">
        <v>64</v>
      </c>
      <c r="D509" t="s">
        <v>292</v>
      </c>
      <c r="E509" t="s">
        <v>34</v>
      </c>
      <c r="F509" t="s">
        <v>35</v>
      </c>
      <c r="G509" t="s">
        <v>36</v>
      </c>
      <c r="H509" t="s">
        <v>309</v>
      </c>
      <c r="I509" t="s">
        <v>310</v>
      </c>
      <c r="J509" t="s">
        <v>311</v>
      </c>
      <c r="K509" t="s">
        <v>474</v>
      </c>
      <c r="L509" t="s">
        <v>40</v>
      </c>
      <c r="M509">
        <v>1</v>
      </c>
      <c r="N509">
        <v>30</v>
      </c>
      <c r="O509">
        <v>30</v>
      </c>
      <c r="P509" t="s">
        <v>41</v>
      </c>
      <c r="Q509">
        <v>374.7</v>
      </c>
      <c r="R509">
        <v>374.7</v>
      </c>
      <c r="S509">
        <v>562.04999999999995</v>
      </c>
      <c r="T509">
        <v>11241</v>
      </c>
      <c r="U509">
        <v>5</v>
      </c>
      <c r="V509" t="s">
        <v>42</v>
      </c>
      <c r="W509" t="s">
        <v>474</v>
      </c>
      <c r="X509" s="6" t="str">
        <f t="shared" si="15"/>
        <v>441811094</v>
      </c>
      <c r="Y509" s="7" t="str">
        <f t="shared" si="16"/>
        <v>DC</v>
      </c>
      <c r="Z509" s="7">
        <f t="shared" si="17"/>
        <v>0</v>
      </c>
      <c r="AA509" s="7">
        <f t="shared" si="18"/>
        <v>0</v>
      </c>
      <c r="AB509" s="7">
        <f t="shared" si="19"/>
        <v>0</v>
      </c>
      <c r="AC509" s="7">
        <f t="shared" si="20"/>
        <v>0</v>
      </c>
      <c r="AD509" s="7">
        <f t="shared" si="21"/>
        <v>30</v>
      </c>
      <c r="AE509" s="8" t="str" cm="1">
        <f t="array" ref="AE509">IFERROR(_xlfn.XLOOKUP(H509,Sheet1!$G:$G,Sheet1!$F:$F),IFERROR(_xlfn.XLOOKUP(1,(--($X$2:$X$1074=X509))*(--ISNUMBER(MATCH($H$2:$H$1074,Sheet1!$G:$G,0))),_xlfn.XLOOKUP($H$2:$H$1074,Sheet1!$G:$G,Sheet1!$F:$F,"")),"NOT FOUND"))</f>
        <v>GETKRTSFUT6002</v>
      </c>
      <c r="AF509" s="9" t="str">
        <f t="shared" si="28"/>
        <v>MAROON</v>
      </c>
      <c r="AG509" s="10" t="str">
        <f t="shared" si="29"/>
        <v>Bangalore</v>
      </c>
      <c r="AH509" s="8" t="str" cm="1">
        <f t="array" ref="AH509">IF(OR(J509="",AE509="",AE509="NOT FOUND"),"",IF(Y509="RP",_xlfn.LET(_xlpm.desc,_xlfn.XLOOKUP(1,(--(Sheet1!$F$2:$F$754=AE509))*(--ISNUMBER(FIND("-",Sheet1!$W$2:$W$754,FIND("-",Sheet1!$W$2:$W$754)+1))),Sheet1!$W$2:$W$754,""),IF(_xlpm.desc="","NOT FOUND",LEFT(_xlpm.desc,FIND("-",_xlpm.desc,FIND("-",_xlpm.desc)+1))&amp;AE509)),LEFT(J509,FIND("-",J509,FIND("-",J509)+1))&amp;AE509))</f>
        <v>KRTS-APWN26-GETKRTSFUT6002</v>
      </c>
    </row>
    <row r="510" spans="1:34" ht="15.75" customHeight="1" x14ac:dyDescent="0.2">
      <c r="A510" t="s">
        <v>30</v>
      </c>
      <c r="B510" t="s">
        <v>308</v>
      </c>
      <c r="C510" t="s">
        <v>64</v>
      </c>
      <c r="D510" t="s">
        <v>292</v>
      </c>
      <c r="E510" t="s">
        <v>34</v>
      </c>
      <c r="F510" t="s">
        <v>35</v>
      </c>
      <c r="G510" t="s">
        <v>43</v>
      </c>
      <c r="H510" t="s">
        <v>312</v>
      </c>
      <c r="I510" t="s">
        <v>313</v>
      </c>
      <c r="J510" t="s">
        <v>314</v>
      </c>
      <c r="K510" t="s">
        <v>474</v>
      </c>
      <c r="L510" t="s">
        <v>40</v>
      </c>
      <c r="M510">
        <v>1</v>
      </c>
      <c r="N510">
        <v>197</v>
      </c>
      <c r="O510">
        <v>197</v>
      </c>
      <c r="P510" t="s">
        <v>41</v>
      </c>
      <c r="Q510">
        <v>374.7</v>
      </c>
      <c r="R510">
        <v>374.7</v>
      </c>
      <c r="S510">
        <v>3690.8</v>
      </c>
      <c r="T510">
        <v>73815.899999999994</v>
      </c>
      <c r="U510">
        <v>5</v>
      </c>
      <c r="V510" t="s">
        <v>42</v>
      </c>
      <c r="W510" t="s">
        <v>474</v>
      </c>
      <c r="X510" s="6" t="str">
        <f t="shared" si="15"/>
        <v>441811094</v>
      </c>
      <c r="Y510" s="7" t="str">
        <f t="shared" si="16"/>
        <v>DC</v>
      </c>
      <c r="Z510" s="7">
        <f t="shared" si="17"/>
        <v>0</v>
      </c>
      <c r="AA510" s="7">
        <f t="shared" si="18"/>
        <v>0</v>
      </c>
      <c r="AB510" s="7">
        <f t="shared" si="19"/>
        <v>197</v>
      </c>
      <c r="AC510" s="7">
        <f t="shared" si="20"/>
        <v>0</v>
      </c>
      <c r="AD510" s="7">
        <f t="shared" si="21"/>
        <v>0</v>
      </c>
      <c r="AE510" s="8" t="str" cm="1">
        <f t="array" ref="AE510">IFERROR(_xlfn.XLOOKUP(H510,Sheet1!$G:$G,Sheet1!$F:$F),IFERROR(_xlfn.XLOOKUP(1,(--($X$2:$X$1074=X510))*(--ISNUMBER(MATCH($H$2:$H$1074,Sheet1!$G:$G,0))),_xlfn.XLOOKUP($H$2:$H$1074,Sheet1!$G:$G,Sheet1!$F:$F,"")),"NOT FOUND"))</f>
        <v>GETKRTSFUT6002</v>
      </c>
      <c r="AF510" s="9" t="str">
        <f t="shared" si="28"/>
        <v>MAROON</v>
      </c>
      <c r="AG510" s="10" t="str">
        <f t="shared" si="29"/>
        <v>Bangalore</v>
      </c>
      <c r="AH510" s="8" t="str" cm="1">
        <f t="array" ref="AH510">IF(OR(J510="",AE510="",AE510="NOT FOUND"),"",IF(Y510="RP",_xlfn.LET(_xlpm.desc,_xlfn.XLOOKUP(1,(--(Sheet1!$F$2:$F$754=AE510))*(--ISNUMBER(FIND("-",Sheet1!$W$2:$W$754,FIND("-",Sheet1!$W$2:$W$754)+1))),Sheet1!$W$2:$W$754,""),IF(_xlpm.desc="","NOT FOUND",LEFT(_xlpm.desc,FIND("-",_xlpm.desc,FIND("-",_xlpm.desc)+1))&amp;AE510)),LEFT(J510,FIND("-",J510,FIND("-",J510)+1))&amp;AE510))</f>
        <v>KRTS-APWN26-GETKRTSFUT6002</v>
      </c>
    </row>
    <row r="511" spans="1:34" ht="15.75" customHeight="1" x14ac:dyDescent="0.2">
      <c r="A511" t="s">
        <v>30</v>
      </c>
      <c r="B511" t="s">
        <v>308</v>
      </c>
      <c r="C511" t="s">
        <v>64</v>
      </c>
      <c r="D511" t="s">
        <v>292</v>
      </c>
      <c r="E511" t="s">
        <v>34</v>
      </c>
      <c r="F511" t="s">
        <v>35</v>
      </c>
      <c r="G511" t="s">
        <v>47</v>
      </c>
      <c r="H511" t="s">
        <v>315</v>
      </c>
      <c r="I511" t="s">
        <v>316</v>
      </c>
      <c r="J511" t="s">
        <v>317</v>
      </c>
      <c r="K511" t="s">
        <v>474</v>
      </c>
      <c r="L511" t="s">
        <v>40</v>
      </c>
      <c r="M511">
        <v>1</v>
      </c>
      <c r="N511">
        <v>197</v>
      </c>
      <c r="O511">
        <v>197</v>
      </c>
      <c r="P511" t="s">
        <v>41</v>
      </c>
      <c r="Q511">
        <v>374.7</v>
      </c>
      <c r="R511">
        <v>374.7</v>
      </c>
      <c r="S511">
        <v>3690.8</v>
      </c>
      <c r="T511">
        <v>73815.899999999994</v>
      </c>
      <c r="U511">
        <v>5</v>
      </c>
      <c r="V511" t="s">
        <v>42</v>
      </c>
      <c r="W511" t="s">
        <v>474</v>
      </c>
      <c r="X511" s="6" t="str">
        <f t="shared" si="15"/>
        <v>441811094</v>
      </c>
      <c r="Y511" s="7" t="str">
        <f t="shared" si="16"/>
        <v>DC</v>
      </c>
      <c r="Z511" s="7">
        <f t="shared" si="17"/>
        <v>0</v>
      </c>
      <c r="AA511" s="7">
        <f t="shared" si="18"/>
        <v>197</v>
      </c>
      <c r="AB511" s="7">
        <f t="shared" si="19"/>
        <v>0</v>
      </c>
      <c r="AC511" s="7">
        <f t="shared" si="20"/>
        <v>0</v>
      </c>
      <c r="AD511" s="7">
        <f t="shared" si="21"/>
        <v>0</v>
      </c>
      <c r="AE511" s="8" t="str" cm="1">
        <f t="array" ref="AE511">IFERROR(_xlfn.XLOOKUP(H511,Sheet1!$G:$G,Sheet1!$F:$F),IFERROR(_xlfn.XLOOKUP(1,(--($X$2:$X$1074=X511))*(--ISNUMBER(MATCH($H$2:$H$1074,Sheet1!$G:$G,0))),_xlfn.XLOOKUP($H$2:$H$1074,Sheet1!$G:$G,Sheet1!$F:$F,"")),"NOT FOUND"))</f>
        <v>GETKRTSFUT6002</v>
      </c>
      <c r="AF511" s="9" t="str">
        <f t="shared" si="28"/>
        <v>MAROON</v>
      </c>
      <c r="AG511" s="10" t="str">
        <f t="shared" si="29"/>
        <v>Bangalore</v>
      </c>
      <c r="AH511" s="8" t="str" cm="1">
        <f t="array" ref="AH511">IF(OR(J511="",AE511="",AE511="NOT FOUND"),"",IF(Y511="RP",_xlfn.LET(_xlpm.desc,_xlfn.XLOOKUP(1,(--(Sheet1!$F$2:$F$754=AE511))*(--ISNUMBER(FIND("-",Sheet1!$W$2:$W$754,FIND("-",Sheet1!$W$2:$W$754)+1))),Sheet1!$W$2:$W$754,""),IF(_xlpm.desc="","NOT FOUND",LEFT(_xlpm.desc,FIND("-",_xlpm.desc,FIND("-",_xlpm.desc)+1))&amp;AE511)),LEFT(J511,FIND("-",J511,FIND("-",J511)+1))&amp;AE511))</f>
        <v>KRTS-APWN26-GETKRTSFUT6002</v>
      </c>
    </row>
    <row r="512" spans="1:34" ht="15.75" customHeight="1" x14ac:dyDescent="0.2">
      <c r="A512" t="s">
        <v>30</v>
      </c>
      <c r="B512" t="s">
        <v>308</v>
      </c>
      <c r="C512" t="s">
        <v>64</v>
      </c>
      <c r="D512" t="s">
        <v>292</v>
      </c>
      <c r="E512" t="s">
        <v>34</v>
      </c>
      <c r="F512" t="s">
        <v>35</v>
      </c>
      <c r="G512" t="s">
        <v>51</v>
      </c>
      <c r="H512" t="s">
        <v>318</v>
      </c>
      <c r="I512" t="s">
        <v>319</v>
      </c>
      <c r="J512" t="s">
        <v>320</v>
      </c>
      <c r="K512" t="s">
        <v>474</v>
      </c>
      <c r="L512" t="s">
        <v>40</v>
      </c>
      <c r="M512">
        <v>1</v>
      </c>
      <c r="N512">
        <v>30</v>
      </c>
      <c r="O512">
        <v>30</v>
      </c>
      <c r="P512" t="s">
        <v>41</v>
      </c>
      <c r="Q512">
        <v>374.7</v>
      </c>
      <c r="R512">
        <v>374.7</v>
      </c>
      <c r="S512">
        <v>562.04999999999995</v>
      </c>
      <c r="T512">
        <v>11241</v>
      </c>
      <c r="U512">
        <v>5</v>
      </c>
      <c r="V512" t="s">
        <v>42</v>
      </c>
      <c r="W512" t="s">
        <v>474</v>
      </c>
      <c r="X512" s="6" t="str">
        <f t="shared" ref="X512:X766" si="30">IF(ISNUMBER(VALUE(LEFT(J512,1))),LEFT(J512,MIN(IFERROR(FIND("A",UPPER(J512)),LEN(J512)+1),IFERROR(FIND("B",UPPER(J512)),LEN(J512)+1),IFERROR(FIND("C",UPPER(J512)),LEN(J512)+1),IFERROR(FIND("D",UPPER(J512)),LEN(J512)+1),IFERROR(FIND("E",UPPER(J512)),LEN(J512)+1),IFERROR(FIND("F",UPPER(J512)),LEN(J512)+1),IFERROR(FIND("G",UPPER(J512)),LEN(J512)+1),IFERROR(FIND("H",UPPER(J512)),LEN(J512)+1),IFERROR(FIND("I",UPPER(J512)),LEN(J512)+1),IFERROR(FIND("J",UPPER(J512)),LEN(J512)+1),IFERROR(FIND("K",UPPER(J512)),LEN(J512)+1),IFERROR(FIND("L",UPPER(J512)),LEN(J512)+1),IFERROR(FIND("M",UPPER(J512)),LEN(J512)+1),IFERROR(FIND("N",UPPER(J512)),LEN(J512)+1),IFERROR(FIND("O",UPPER(J512)),LEN(J512)+1),IFERROR(FIND("P",UPPER(J512)),LEN(J512)+1),IFERROR(FIND("Q",UPPER(J512)),LEN(J512)+1),IFERROR(FIND("R",UPPER(J512)),LEN(J512)+1),IFERROR(FIND("S",UPPER(J512)),LEN(J512)+1),IFERROR(FIND("T",UPPER(J512)),LEN(J512)+1),IFERROR(FIND("U",UPPER(J512)),LEN(J512)+1),IFERROR(FIND("V",UPPER(J512)),LEN(J512)+1),IFERROR(FIND("W",UPPER(J512)),LEN(J512)+1),IFERROR(FIND("X",UPPER(J512)),LEN(J512)+1),IFERROR(FIND("Y",UPPER(J512)),LEN(J512)+1),IFERROR(FIND("Z",UPPER(J512)),LEN(J512)+1))-1),LEFT(TEXT(I512,"0"),LEN(TEXT(I512,"0"))-3))</f>
        <v>441811094</v>
      </c>
      <c r="Y512" s="7" t="str">
        <f t="shared" ref="Y512:Y766" si="31">IF(ISNUMBER(SEARCH("(RP)",J512)),"RP","DC")</f>
        <v>DC</v>
      </c>
      <c r="Z512" s="7">
        <f t="shared" ref="Z512:Z766" si="32">IF(ISNUMBER(SEARCH("(RP)",J512)),O512,IF(RIGHT(TRIM(J512),3)=", S",O512,0))</f>
        <v>30</v>
      </c>
      <c r="AA512" s="7">
        <f t="shared" ref="AA512:AA766" si="33">IF(ISNUMBER(SEARCH("(RP)",J512)),O512,IF(RIGHT(TRIM(J512),3)=", M",O512,0))</f>
        <v>0</v>
      </c>
      <c r="AB512" s="7">
        <f t="shared" ref="AB512:AB766" si="34">IF(ISNUMBER(SEARCH("(RP)",J512)),O512,IF(RIGHT(TRIM(J512),3)=", L",O512,0))</f>
        <v>0</v>
      </c>
      <c r="AC512" s="7">
        <f t="shared" ref="AC512:AC766" si="35">IF(ISNUMBER(SEARCH("(RP)",J512)),O512,IF(RIGHT(TRIM(J512),4)=", XL",O512,0))</f>
        <v>0</v>
      </c>
      <c r="AD512" s="7">
        <f t="shared" ref="AD512:AD766" si="36">IF(ISNUMBER(SEARCH("(RP)",J512)),O512,IF(OR(RIGHT(TRIM(J512),5)=", XXL",RIGHT(TRIM(J512),5)=", 2XL"),O512,0))</f>
        <v>0</v>
      </c>
      <c r="AE512" s="8" t="str" cm="1">
        <f t="array" ref="AE512">IFERROR(_xlfn.XLOOKUP(H512,Sheet1!$G:$G,Sheet1!$F:$F),IFERROR(_xlfn.XLOOKUP(1,(--($X$2:$X$1074=X512))*(--ISNUMBER(MATCH($H$2:$H$1074,Sheet1!$G:$G,0))),_xlfn.XLOOKUP($H$2:$H$1074,Sheet1!$G:$G,Sheet1!$F:$F,"")),"NOT FOUND"))</f>
        <v>GETKRTSFUT6002</v>
      </c>
      <c r="AF512" s="9" t="str">
        <f t="shared" si="28"/>
        <v>MAROON</v>
      </c>
      <c r="AG512" s="10" t="str">
        <f t="shared" si="29"/>
        <v>Bangalore</v>
      </c>
      <c r="AH512" s="8" t="str" cm="1">
        <f t="array" ref="AH512">IF(OR(J512="",AE512="",AE512="NOT FOUND"),"",IF(Y512="RP",_xlfn.LET(_xlpm.desc,_xlfn.XLOOKUP(1,(--(Sheet1!$F$2:$F$754=AE512))*(--ISNUMBER(FIND("-",Sheet1!$W$2:$W$754,FIND("-",Sheet1!$W$2:$W$754)+1))),Sheet1!$W$2:$W$754,""),IF(_xlpm.desc="","NOT FOUND",LEFT(_xlpm.desc,FIND("-",_xlpm.desc,FIND("-",_xlpm.desc)+1))&amp;AE512)),LEFT(J512,FIND("-",J512,FIND("-",J512)+1))&amp;AE512))</f>
        <v>KRTS-APWN26-GETKRTSFUT6002</v>
      </c>
    </row>
    <row r="513" spans="1:34" ht="15.75" customHeight="1" x14ac:dyDescent="0.2">
      <c r="A513" t="s">
        <v>30</v>
      </c>
      <c r="B513" t="s">
        <v>308</v>
      </c>
      <c r="C513" t="s">
        <v>64</v>
      </c>
      <c r="D513" t="s">
        <v>292</v>
      </c>
      <c r="E513" t="s">
        <v>34</v>
      </c>
      <c r="F513" t="s">
        <v>35</v>
      </c>
      <c r="G513" t="s">
        <v>55</v>
      </c>
      <c r="H513" t="s">
        <v>321</v>
      </c>
      <c r="I513" t="s">
        <v>322</v>
      </c>
      <c r="J513" t="s">
        <v>323</v>
      </c>
      <c r="K513" t="s">
        <v>474</v>
      </c>
      <c r="L513" t="s">
        <v>40</v>
      </c>
      <c r="M513">
        <v>1</v>
      </c>
      <c r="N513">
        <v>166</v>
      </c>
      <c r="O513">
        <v>166</v>
      </c>
      <c r="P513" t="s">
        <v>41</v>
      </c>
      <c r="Q513">
        <v>374.7</v>
      </c>
      <c r="R513">
        <v>374.7</v>
      </c>
      <c r="S513">
        <v>3110.01</v>
      </c>
      <c r="T513">
        <v>62200.2</v>
      </c>
      <c r="U513">
        <v>5</v>
      </c>
      <c r="V513" t="s">
        <v>42</v>
      </c>
      <c r="W513" t="s">
        <v>474</v>
      </c>
      <c r="X513" s="6" t="str">
        <f t="shared" si="30"/>
        <v>441811094</v>
      </c>
      <c r="Y513" s="7" t="str">
        <f t="shared" si="31"/>
        <v>DC</v>
      </c>
      <c r="Z513" s="7">
        <f t="shared" si="32"/>
        <v>0</v>
      </c>
      <c r="AA513" s="7">
        <f t="shared" si="33"/>
        <v>0</v>
      </c>
      <c r="AB513" s="7">
        <f t="shared" si="34"/>
        <v>0</v>
      </c>
      <c r="AC513" s="7">
        <f t="shared" si="35"/>
        <v>166</v>
      </c>
      <c r="AD513" s="7">
        <f t="shared" si="36"/>
        <v>0</v>
      </c>
      <c r="AE513" s="8" t="str" cm="1">
        <f t="array" ref="AE513">IFERROR(_xlfn.XLOOKUP(H513,Sheet1!$G:$G,Sheet1!$F:$F),IFERROR(_xlfn.XLOOKUP(1,(--($X$2:$X$1074=X513))*(--ISNUMBER(MATCH($H$2:$H$1074,Sheet1!$G:$G,0))),_xlfn.XLOOKUP($H$2:$H$1074,Sheet1!$G:$G,Sheet1!$F:$F,"")),"NOT FOUND"))</f>
        <v>GETKRTSFUT6002</v>
      </c>
      <c r="AF513" s="9" t="str">
        <f t="shared" si="28"/>
        <v>MAROON</v>
      </c>
      <c r="AG513" s="10" t="str">
        <f t="shared" si="29"/>
        <v>Bangalore</v>
      </c>
      <c r="AH513" s="8" t="str" cm="1">
        <f t="array" ref="AH513">IF(OR(J513="",AE513="",AE513="NOT FOUND"),"",IF(Y513="RP",_xlfn.LET(_xlpm.desc,_xlfn.XLOOKUP(1,(--(Sheet1!$F$2:$F$754=AE513))*(--ISNUMBER(FIND("-",Sheet1!$W$2:$W$754,FIND("-",Sheet1!$W$2:$W$754)+1))),Sheet1!$W$2:$W$754,""),IF(_xlpm.desc="","NOT FOUND",LEFT(_xlpm.desc,FIND("-",_xlpm.desc,FIND("-",_xlpm.desc)+1))&amp;AE513)),LEFT(J513,FIND("-",J513,FIND("-",J513)+1))&amp;AE513))</f>
        <v>KRTS-APWN26-GETKRTSFUT6002</v>
      </c>
    </row>
    <row r="514" spans="1:34" ht="15.75" customHeight="1" x14ac:dyDescent="0.2">
      <c r="A514" t="s">
        <v>59</v>
      </c>
      <c r="B514" t="s">
        <v>324</v>
      </c>
      <c r="C514" t="s">
        <v>64</v>
      </c>
      <c r="D514" t="s">
        <v>98</v>
      </c>
      <c r="E514" t="s">
        <v>34</v>
      </c>
      <c r="F514" t="s">
        <v>35</v>
      </c>
      <c r="G514" t="s">
        <v>36</v>
      </c>
      <c r="H514" t="s">
        <v>262</v>
      </c>
      <c r="I514" t="s">
        <v>263</v>
      </c>
      <c r="J514" t="s">
        <v>264</v>
      </c>
      <c r="K514" t="s">
        <v>474</v>
      </c>
      <c r="L514" t="s">
        <v>40</v>
      </c>
      <c r="M514">
        <v>1</v>
      </c>
      <c r="N514">
        <v>30</v>
      </c>
      <c r="O514">
        <v>30</v>
      </c>
      <c r="P514" t="s">
        <v>41</v>
      </c>
      <c r="Q514">
        <v>324.7</v>
      </c>
      <c r="R514">
        <v>324.7</v>
      </c>
      <c r="S514">
        <v>487.05</v>
      </c>
      <c r="T514">
        <v>9741</v>
      </c>
      <c r="U514">
        <v>5</v>
      </c>
      <c r="V514" t="s">
        <v>42</v>
      </c>
      <c r="W514" t="s">
        <v>474</v>
      </c>
      <c r="X514" s="6" t="str">
        <f t="shared" si="30"/>
        <v>441811096</v>
      </c>
      <c r="Y514" s="7" t="str">
        <f t="shared" si="31"/>
        <v>DC</v>
      </c>
      <c r="Z514" s="7">
        <f t="shared" si="32"/>
        <v>0</v>
      </c>
      <c r="AA514" s="7">
        <f t="shared" si="33"/>
        <v>0</v>
      </c>
      <c r="AB514" s="7">
        <f t="shared" si="34"/>
        <v>0</v>
      </c>
      <c r="AC514" s="7">
        <f t="shared" si="35"/>
        <v>0</v>
      </c>
      <c r="AD514" s="7">
        <f t="shared" si="36"/>
        <v>30</v>
      </c>
      <c r="AE514" s="8" t="str" cm="1">
        <f t="array" ref="AE514">IFERROR(_xlfn.XLOOKUP(H514,Sheet1!$G:$G,Sheet1!$F:$F),IFERROR(_xlfn.XLOOKUP(1,(--($X$2:$X$1074=X514))*(--ISNUMBER(MATCH($H$2:$H$1074,Sheet1!$G:$G,0))),_xlfn.XLOOKUP($H$2:$H$1074,Sheet1!$G:$G,Sheet1!$F:$F,"")),"NOT FOUND"))</f>
        <v>GETKRTSFUT6087</v>
      </c>
      <c r="AF514" s="9" t="str">
        <f t="shared" si="28"/>
        <v>CORAL</v>
      </c>
      <c r="AG514" s="10" t="str">
        <f t="shared" si="29"/>
        <v>JHAJJAR</v>
      </c>
      <c r="AH514" s="8" t="str" cm="1">
        <f t="array" ref="AH514">IF(OR(J514="",AE514="",AE514="NOT FOUND"),"",IF(Y514="RP",_xlfn.LET(_xlpm.desc,_xlfn.XLOOKUP(1,(--(Sheet1!$F$2:$F$754=AE514))*(--ISNUMBER(FIND("-",Sheet1!$W$2:$W$754,FIND("-",Sheet1!$W$2:$W$754)+1))),Sheet1!$W$2:$W$754,""),IF(_xlpm.desc="","NOT FOUND",LEFT(_xlpm.desc,FIND("-",_xlpm.desc,FIND("-",_xlpm.desc)+1))&amp;AE514)),LEFT(J514,FIND("-",J514,FIND("-",J514)+1))&amp;AE514))</f>
        <v>KRTS-APWN26-GETKRTSFUT6087</v>
      </c>
    </row>
    <row r="515" spans="1:34" ht="15.75" customHeight="1" x14ac:dyDescent="0.2">
      <c r="A515" t="s">
        <v>59</v>
      </c>
      <c r="B515" t="s">
        <v>324</v>
      </c>
      <c r="C515" t="s">
        <v>64</v>
      </c>
      <c r="D515" t="s">
        <v>98</v>
      </c>
      <c r="E515" t="s">
        <v>34</v>
      </c>
      <c r="F515" t="s">
        <v>35</v>
      </c>
      <c r="G515" t="s">
        <v>43</v>
      </c>
      <c r="H515" t="s">
        <v>265</v>
      </c>
      <c r="I515" t="s">
        <v>266</v>
      </c>
      <c r="J515" t="s">
        <v>267</v>
      </c>
      <c r="K515" t="s">
        <v>474</v>
      </c>
      <c r="L515" t="s">
        <v>40</v>
      </c>
      <c r="M515">
        <v>1</v>
      </c>
      <c r="N515">
        <v>156</v>
      </c>
      <c r="O515">
        <v>156</v>
      </c>
      <c r="P515" t="s">
        <v>41</v>
      </c>
      <c r="Q515">
        <v>324.7</v>
      </c>
      <c r="R515">
        <v>324.7</v>
      </c>
      <c r="S515">
        <v>2532.66</v>
      </c>
      <c r="T515">
        <v>50653.2</v>
      </c>
      <c r="U515">
        <v>5</v>
      </c>
      <c r="V515" t="s">
        <v>42</v>
      </c>
      <c r="W515" t="s">
        <v>474</v>
      </c>
      <c r="X515" s="6" t="str">
        <f t="shared" si="30"/>
        <v>441811096</v>
      </c>
      <c r="Y515" s="7" t="str">
        <f t="shared" si="31"/>
        <v>DC</v>
      </c>
      <c r="Z515" s="7">
        <f t="shared" si="32"/>
        <v>0</v>
      </c>
      <c r="AA515" s="7">
        <f t="shared" si="33"/>
        <v>0</v>
      </c>
      <c r="AB515" s="7">
        <f t="shared" si="34"/>
        <v>156</v>
      </c>
      <c r="AC515" s="7">
        <f t="shared" si="35"/>
        <v>0</v>
      </c>
      <c r="AD515" s="7">
        <f t="shared" si="36"/>
        <v>0</v>
      </c>
      <c r="AE515" s="8" t="str" cm="1">
        <f t="array" ref="AE515">IFERROR(_xlfn.XLOOKUP(H515,Sheet1!$G:$G,Sheet1!$F:$F),IFERROR(_xlfn.XLOOKUP(1,(--($X$2:$X$1074=X515))*(--ISNUMBER(MATCH($H$2:$H$1074,Sheet1!$G:$G,0))),_xlfn.XLOOKUP($H$2:$H$1074,Sheet1!$G:$G,Sheet1!$F:$F,"")),"NOT FOUND"))</f>
        <v>GETKRTSFUT6087</v>
      </c>
      <c r="AF515" s="9" t="str">
        <f t="shared" ref="AF515:AF578" si="37">IFERROR(IF(ISNUMBER(SEARCH("(RP)",J515)),TRIM(SUBSTITUTE(MID(J515,10,LEN(J515)),"(RP)","")),TRIM(MID(J515,FIND(",",J515)+1,FIND(",",J515,FIND(",",J515)+1)-FIND(",",J515)-1))),"")</f>
        <v>CORAL</v>
      </c>
      <c r="AG515" s="10" t="str">
        <f t="shared" ref="AG515:AG578" si="38">IF(A515="SZAF","Bangalore",IF(A515="SAEX","JHAJJAR",IF(A515="S0EU","HARIPAL","")))</f>
        <v>JHAJJAR</v>
      </c>
      <c r="AH515" s="8" t="str" cm="1">
        <f t="array" ref="AH515">IF(OR(J515="",AE515="",AE515="NOT FOUND"),"",IF(Y515="RP",_xlfn.LET(_xlpm.desc,_xlfn.XLOOKUP(1,(--(Sheet1!$F$2:$F$754=AE515))*(--ISNUMBER(FIND("-",Sheet1!$W$2:$W$754,FIND("-",Sheet1!$W$2:$W$754)+1))),Sheet1!$W$2:$W$754,""),IF(_xlpm.desc="","NOT FOUND",LEFT(_xlpm.desc,FIND("-",_xlpm.desc,FIND("-",_xlpm.desc)+1))&amp;AE515)),LEFT(J515,FIND("-",J515,FIND("-",J515)+1))&amp;AE515))</f>
        <v>KRTS-APWN26-GETKRTSFUT6087</v>
      </c>
    </row>
    <row r="516" spans="1:34" ht="15.75" customHeight="1" x14ac:dyDescent="0.2">
      <c r="A516" t="s">
        <v>59</v>
      </c>
      <c r="B516" t="s">
        <v>324</v>
      </c>
      <c r="C516" t="s">
        <v>64</v>
      </c>
      <c r="D516" t="s">
        <v>98</v>
      </c>
      <c r="E516" t="s">
        <v>34</v>
      </c>
      <c r="F516" t="s">
        <v>35</v>
      </c>
      <c r="G516" t="s">
        <v>47</v>
      </c>
      <c r="H516" t="s">
        <v>268</v>
      </c>
      <c r="I516" t="s">
        <v>269</v>
      </c>
      <c r="J516" t="s">
        <v>270</v>
      </c>
      <c r="K516" t="s">
        <v>474</v>
      </c>
      <c r="L516" t="s">
        <v>40</v>
      </c>
      <c r="M516">
        <v>1</v>
      </c>
      <c r="N516">
        <v>156</v>
      </c>
      <c r="O516">
        <v>156</v>
      </c>
      <c r="P516" t="s">
        <v>41</v>
      </c>
      <c r="Q516">
        <v>324.7</v>
      </c>
      <c r="R516">
        <v>324.7</v>
      </c>
      <c r="S516">
        <v>2532.66</v>
      </c>
      <c r="T516">
        <v>50653.2</v>
      </c>
      <c r="U516">
        <v>5</v>
      </c>
      <c r="V516" t="s">
        <v>42</v>
      </c>
      <c r="W516" t="s">
        <v>474</v>
      </c>
      <c r="X516" s="6" t="str">
        <f t="shared" si="30"/>
        <v>441811096</v>
      </c>
      <c r="Y516" s="7" t="str">
        <f t="shared" si="31"/>
        <v>DC</v>
      </c>
      <c r="Z516" s="7">
        <f t="shared" si="32"/>
        <v>0</v>
      </c>
      <c r="AA516" s="7">
        <f t="shared" si="33"/>
        <v>156</v>
      </c>
      <c r="AB516" s="7">
        <f t="shared" si="34"/>
        <v>0</v>
      </c>
      <c r="AC516" s="7">
        <f t="shared" si="35"/>
        <v>0</v>
      </c>
      <c r="AD516" s="7">
        <f t="shared" si="36"/>
        <v>0</v>
      </c>
      <c r="AE516" s="8" t="str" cm="1">
        <f t="array" ref="AE516">IFERROR(_xlfn.XLOOKUP(H516,Sheet1!$G:$G,Sheet1!$F:$F),IFERROR(_xlfn.XLOOKUP(1,(--($X$2:$X$1074=X516))*(--ISNUMBER(MATCH($H$2:$H$1074,Sheet1!$G:$G,0))),_xlfn.XLOOKUP($H$2:$H$1074,Sheet1!$G:$G,Sheet1!$F:$F,"")),"NOT FOUND"))</f>
        <v>GETKRTSFUT6087</v>
      </c>
      <c r="AF516" s="9" t="str">
        <f t="shared" si="37"/>
        <v>CORAL</v>
      </c>
      <c r="AG516" s="10" t="str">
        <f t="shared" si="38"/>
        <v>JHAJJAR</v>
      </c>
      <c r="AH516" s="8" t="str" cm="1">
        <f t="array" ref="AH516">IF(OR(J516="",AE516="",AE516="NOT FOUND"),"",IF(Y516="RP",_xlfn.LET(_xlpm.desc,_xlfn.XLOOKUP(1,(--(Sheet1!$F$2:$F$754=AE516))*(--ISNUMBER(FIND("-",Sheet1!$W$2:$W$754,FIND("-",Sheet1!$W$2:$W$754)+1))),Sheet1!$W$2:$W$754,""),IF(_xlpm.desc="","NOT FOUND",LEFT(_xlpm.desc,FIND("-",_xlpm.desc,FIND("-",_xlpm.desc)+1))&amp;AE516)),LEFT(J516,FIND("-",J516,FIND("-",J516)+1))&amp;AE516))</f>
        <v>KRTS-APWN26-GETKRTSFUT6087</v>
      </c>
    </row>
    <row r="517" spans="1:34" ht="15.75" customHeight="1" x14ac:dyDescent="0.2">
      <c r="A517" t="s">
        <v>59</v>
      </c>
      <c r="B517" t="s">
        <v>324</v>
      </c>
      <c r="C517" t="s">
        <v>64</v>
      </c>
      <c r="D517" t="s">
        <v>98</v>
      </c>
      <c r="E517" t="s">
        <v>34</v>
      </c>
      <c r="F517" t="s">
        <v>35</v>
      </c>
      <c r="G517" t="s">
        <v>51</v>
      </c>
      <c r="H517" t="s">
        <v>271</v>
      </c>
      <c r="I517" t="s">
        <v>272</v>
      </c>
      <c r="J517" t="s">
        <v>273</v>
      </c>
      <c r="K517" t="s">
        <v>474</v>
      </c>
      <c r="L517" t="s">
        <v>40</v>
      </c>
      <c r="M517">
        <v>1</v>
      </c>
      <c r="N517">
        <v>30</v>
      </c>
      <c r="O517">
        <v>30</v>
      </c>
      <c r="P517" t="s">
        <v>41</v>
      </c>
      <c r="Q517">
        <v>324.7</v>
      </c>
      <c r="R517">
        <v>324.7</v>
      </c>
      <c r="S517">
        <v>487.05</v>
      </c>
      <c r="T517">
        <v>9741</v>
      </c>
      <c r="U517">
        <v>5</v>
      </c>
      <c r="V517" t="s">
        <v>42</v>
      </c>
      <c r="W517" t="s">
        <v>474</v>
      </c>
      <c r="X517" s="6" t="str">
        <f t="shared" si="30"/>
        <v>441811096</v>
      </c>
      <c r="Y517" s="7" t="str">
        <f t="shared" si="31"/>
        <v>DC</v>
      </c>
      <c r="Z517" s="7">
        <f t="shared" si="32"/>
        <v>30</v>
      </c>
      <c r="AA517" s="7">
        <f t="shared" si="33"/>
        <v>0</v>
      </c>
      <c r="AB517" s="7">
        <f t="shared" si="34"/>
        <v>0</v>
      </c>
      <c r="AC517" s="7">
        <f t="shared" si="35"/>
        <v>0</v>
      </c>
      <c r="AD517" s="7">
        <f t="shared" si="36"/>
        <v>0</v>
      </c>
      <c r="AE517" s="8" t="str" cm="1">
        <f t="array" ref="AE517">IFERROR(_xlfn.XLOOKUP(H517,Sheet1!$G:$G,Sheet1!$F:$F),IFERROR(_xlfn.XLOOKUP(1,(--($X$2:$X$1074=X517))*(--ISNUMBER(MATCH($H$2:$H$1074,Sheet1!$G:$G,0))),_xlfn.XLOOKUP($H$2:$H$1074,Sheet1!$G:$G,Sheet1!$F:$F,"")),"NOT FOUND"))</f>
        <v>GETKRTSFUT6087</v>
      </c>
      <c r="AF517" s="9" t="str">
        <f t="shared" si="37"/>
        <v>CORAL</v>
      </c>
      <c r="AG517" s="10" t="str">
        <f t="shared" si="38"/>
        <v>JHAJJAR</v>
      </c>
      <c r="AH517" s="8" t="str" cm="1">
        <f t="array" ref="AH517">IF(OR(J517="",AE517="",AE517="NOT FOUND"),"",IF(Y517="RP",_xlfn.LET(_xlpm.desc,_xlfn.XLOOKUP(1,(--(Sheet1!$F$2:$F$754=AE517))*(--ISNUMBER(FIND("-",Sheet1!$W$2:$W$754,FIND("-",Sheet1!$W$2:$W$754)+1))),Sheet1!$W$2:$W$754,""),IF(_xlpm.desc="","NOT FOUND",LEFT(_xlpm.desc,FIND("-",_xlpm.desc,FIND("-",_xlpm.desc)+1))&amp;AE517)),LEFT(J517,FIND("-",J517,FIND("-",J517)+1))&amp;AE517))</f>
        <v>KRTS-APWN26-GETKRTSFUT6087</v>
      </c>
    </row>
    <row r="518" spans="1:34" ht="15.75" customHeight="1" x14ac:dyDescent="0.2">
      <c r="A518" t="s">
        <v>59</v>
      </c>
      <c r="B518" t="s">
        <v>324</v>
      </c>
      <c r="C518" t="s">
        <v>64</v>
      </c>
      <c r="D518" t="s">
        <v>98</v>
      </c>
      <c r="E518" t="s">
        <v>34</v>
      </c>
      <c r="F518" t="s">
        <v>35</v>
      </c>
      <c r="G518" t="s">
        <v>55</v>
      </c>
      <c r="H518" t="s">
        <v>274</v>
      </c>
      <c r="I518" t="s">
        <v>275</v>
      </c>
      <c r="J518" t="s">
        <v>276</v>
      </c>
      <c r="K518" t="s">
        <v>474</v>
      </c>
      <c r="L518" t="s">
        <v>40</v>
      </c>
      <c r="M518">
        <v>1</v>
      </c>
      <c r="N518">
        <v>132</v>
      </c>
      <c r="O518">
        <v>132</v>
      </c>
      <c r="P518" t="s">
        <v>41</v>
      </c>
      <c r="Q518">
        <v>324.7</v>
      </c>
      <c r="R518">
        <v>324.7</v>
      </c>
      <c r="S518">
        <v>2143.02</v>
      </c>
      <c r="T518">
        <v>42860.4</v>
      </c>
      <c r="U518">
        <v>5</v>
      </c>
      <c r="V518" t="s">
        <v>42</v>
      </c>
      <c r="W518" t="s">
        <v>474</v>
      </c>
      <c r="X518" s="6" t="str">
        <f t="shared" si="30"/>
        <v>441811096</v>
      </c>
      <c r="Y518" s="7" t="str">
        <f t="shared" si="31"/>
        <v>DC</v>
      </c>
      <c r="Z518" s="7">
        <f t="shared" si="32"/>
        <v>0</v>
      </c>
      <c r="AA518" s="7">
        <f t="shared" si="33"/>
        <v>0</v>
      </c>
      <c r="AB518" s="7">
        <f t="shared" si="34"/>
        <v>0</v>
      </c>
      <c r="AC518" s="7">
        <f t="shared" si="35"/>
        <v>132</v>
      </c>
      <c r="AD518" s="7">
        <f t="shared" si="36"/>
        <v>0</v>
      </c>
      <c r="AE518" s="8" t="str" cm="1">
        <f t="array" ref="AE518">IFERROR(_xlfn.XLOOKUP(H518,Sheet1!$G:$G,Sheet1!$F:$F),IFERROR(_xlfn.XLOOKUP(1,(--($X$2:$X$1074=X518))*(--ISNUMBER(MATCH($H$2:$H$1074,Sheet1!$G:$G,0))),_xlfn.XLOOKUP($H$2:$H$1074,Sheet1!$G:$G,Sheet1!$F:$F,"")),"NOT FOUND"))</f>
        <v>GETKRTSFUT6087</v>
      </c>
      <c r="AF518" s="9" t="str">
        <f t="shared" si="37"/>
        <v>CORAL</v>
      </c>
      <c r="AG518" s="10" t="str">
        <f t="shared" si="38"/>
        <v>JHAJJAR</v>
      </c>
      <c r="AH518" s="8" t="str" cm="1">
        <f t="array" ref="AH518">IF(OR(J518="",AE518="",AE518="NOT FOUND"),"",IF(Y518="RP",_xlfn.LET(_xlpm.desc,_xlfn.XLOOKUP(1,(--(Sheet1!$F$2:$F$754=AE518))*(--ISNUMBER(FIND("-",Sheet1!$W$2:$W$754,FIND("-",Sheet1!$W$2:$W$754)+1))),Sheet1!$W$2:$W$754,""),IF(_xlpm.desc="","NOT FOUND",LEFT(_xlpm.desc,FIND("-",_xlpm.desc,FIND("-",_xlpm.desc)+1))&amp;AE518)),LEFT(J518,FIND("-",J518,FIND("-",J518)+1))&amp;AE518))</f>
        <v>KRTS-APWN26-GETKRTSFUT6087</v>
      </c>
    </row>
    <row r="519" spans="1:34" ht="15.75" customHeight="1" x14ac:dyDescent="0.2">
      <c r="A519" t="s">
        <v>59</v>
      </c>
      <c r="B519" t="s">
        <v>325</v>
      </c>
      <c r="C519" t="s">
        <v>64</v>
      </c>
      <c r="D519" t="s">
        <v>33</v>
      </c>
      <c r="E519" t="s">
        <v>34</v>
      </c>
      <c r="F519" t="s">
        <v>35</v>
      </c>
      <c r="G519" t="s">
        <v>43</v>
      </c>
      <c r="H519" t="s">
        <v>278</v>
      </c>
      <c r="I519" t="s">
        <v>279</v>
      </c>
      <c r="J519" t="s">
        <v>280</v>
      </c>
      <c r="K519" t="s">
        <v>474</v>
      </c>
      <c r="L519" t="s">
        <v>40</v>
      </c>
      <c r="M519">
        <v>1</v>
      </c>
      <c r="N519">
        <v>156</v>
      </c>
      <c r="O519">
        <v>156</v>
      </c>
      <c r="P519" t="s">
        <v>41</v>
      </c>
      <c r="Q519">
        <v>324.7</v>
      </c>
      <c r="R519">
        <v>324.7</v>
      </c>
      <c r="S519">
        <v>2532.66</v>
      </c>
      <c r="T519">
        <v>50653.2</v>
      </c>
      <c r="U519">
        <v>5</v>
      </c>
      <c r="V519" t="s">
        <v>42</v>
      </c>
      <c r="W519" t="s">
        <v>474</v>
      </c>
      <c r="X519" s="6" t="str">
        <f t="shared" si="30"/>
        <v>441811095</v>
      </c>
      <c r="Y519" s="7" t="str">
        <f t="shared" si="31"/>
        <v>DC</v>
      </c>
      <c r="Z519" s="7">
        <f t="shared" si="32"/>
        <v>0</v>
      </c>
      <c r="AA519" s="7">
        <f t="shared" si="33"/>
        <v>0</v>
      </c>
      <c r="AB519" s="7">
        <f t="shared" si="34"/>
        <v>156</v>
      </c>
      <c r="AC519" s="7">
        <f t="shared" si="35"/>
        <v>0</v>
      </c>
      <c r="AD519" s="7">
        <f t="shared" si="36"/>
        <v>0</v>
      </c>
      <c r="AE519" s="8" t="str" cm="1">
        <f t="array" ref="AE519">IFERROR(_xlfn.XLOOKUP(H519,Sheet1!$G:$G,Sheet1!$F:$F),IFERROR(_xlfn.XLOOKUP(1,(--($X$2:$X$1074=X519))*(--ISNUMBER(MATCH($H$2:$H$1074,Sheet1!$G:$G,0))),_xlfn.XLOOKUP($H$2:$H$1074,Sheet1!$G:$G,Sheet1!$F:$F,"")),"NOT FOUND"))</f>
        <v>GETKRTSFUT6012</v>
      </c>
      <c r="AF519" s="9" t="str">
        <f t="shared" si="37"/>
        <v>MAROON</v>
      </c>
      <c r="AG519" s="10" t="str">
        <f t="shared" si="38"/>
        <v>JHAJJAR</v>
      </c>
      <c r="AH519" s="8" t="str" cm="1">
        <f t="array" ref="AH519">IF(OR(J519="",AE519="",AE519="NOT FOUND"),"",IF(Y519="RP",_xlfn.LET(_xlpm.desc,_xlfn.XLOOKUP(1,(--(Sheet1!$F$2:$F$754=AE519))*(--ISNUMBER(FIND("-",Sheet1!$W$2:$W$754,FIND("-",Sheet1!$W$2:$W$754)+1))),Sheet1!$W$2:$W$754,""),IF(_xlpm.desc="","NOT FOUND",LEFT(_xlpm.desc,FIND("-",_xlpm.desc,FIND("-",_xlpm.desc)+1))&amp;AE519)),LEFT(J519,FIND("-",J519,FIND("-",J519)+1))&amp;AE519))</f>
        <v>KRTS-APWN26-GETKRTSFUT6012</v>
      </c>
    </row>
    <row r="520" spans="1:34" ht="15.75" customHeight="1" x14ac:dyDescent="0.2">
      <c r="A520" t="s">
        <v>59</v>
      </c>
      <c r="B520" t="s">
        <v>325</v>
      </c>
      <c r="C520" t="s">
        <v>64</v>
      </c>
      <c r="D520" t="s">
        <v>33</v>
      </c>
      <c r="E520" t="s">
        <v>34</v>
      </c>
      <c r="F520" t="s">
        <v>35</v>
      </c>
      <c r="G520" t="s">
        <v>47</v>
      </c>
      <c r="H520" t="s">
        <v>281</v>
      </c>
      <c r="I520" t="s">
        <v>282</v>
      </c>
      <c r="J520" t="s">
        <v>283</v>
      </c>
      <c r="K520" t="s">
        <v>474</v>
      </c>
      <c r="L520" t="s">
        <v>40</v>
      </c>
      <c r="M520">
        <v>1</v>
      </c>
      <c r="N520">
        <v>156</v>
      </c>
      <c r="O520">
        <v>156</v>
      </c>
      <c r="P520" t="s">
        <v>41</v>
      </c>
      <c r="Q520">
        <v>324.7</v>
      </c>
      <c r="R520">
        <v>324.7</v>
      </c>
      <c r="S520">
        <v>2532.66</v>
      </c>
      <c r="T520">
        <v>50653.2</v>
      </c>
      <c r="U520">
        <v>5</v>
      </c>
      <c r="V520" t="s">
        <v>42</v>
      </c>
      <c r="W520" t="s">
        <v>474</v>
      </c>
      <c r="X520" s="6" t="str">
        <f t="shared" si="30"/>
        <v>441811095</v>
      </c>
      <c r="Y520" s="7" t="str">
        <f t="shared" si="31"/>
        <v>DC</v>
      </c>
      <c r="Z520" s="7">
        <f t="shared" si="32"/>
        <v>0</v>
      </c>
      <c r="AA520" s="7">
        <f t="shared" si="33"/>
        <v>156</v>
      </c>
      <c r="AB520" s="7">
        <f t="shared" si="34"/>
        <v>0</v>
      </c>
      <c r="AC520" s="7">
        <f t="shared" si="35"/>
        <v>0</v>
      </c>
      <c r="AD520" s="7">
        <f t="shared" si="36"/>
        <v>0</v>
      </c>
      <c r="AE520" s="8" t="str" cm="1">
        <f t="array" ref="AE520">IFERROR(_xlfn.XLOOKUP(H520,Sheet1!$G:$G,Sheet1!$F:$F),IFERROR(_xlfn.XLOOKUP(1,(--($X$2:$X$1074=X520))*(--ISNUMBER(MATCH($H$2:$H$1074,Sheet1!$G:$G,0))),_xlfn.XLOOKUP($H$2:$H$1074,Sheet1!$G:$G,Sheet1!$F:$F,"")),"NOT FOUND"))</f>
        <v>GETKRTSFUT6012</v>
      </c>
      <c r="AF520" s="9" t="str">
        <f t="shared" si="37"/>
        <v>MAROON</v>
      </c>
      <c r="AG520" s="10" t="str">
        <f t="shared" si="38"/>
        <v>JHAJJAR</v>
      </c>
      <c r="AH520" s="8" t="str" cm="1">
        <f t="array" ref="AH520">IF(OR(J520="",AE520="",AE520="NOT FOUND"),"",IF(Y520="RP",_xlfn.LET(_xlpm.desc,_xlfn.XLOOKUP(1,(--(Sheet1!$F$2:$F$754=AE520))*(--ISNUMBER(FIND("-",Sheet1!$W$2:$W$754,FIND("-",Sheet1!$W$2:$W$754)+1))),Sheet1!$W$2:$W$754,""),IF(_xlpm.desc="","NOT FOUND",LEFT(_xlpm.desc,FIND("-",_xlpm.desc,FIND("-",_xlpm.desc)+1))&amp;AE520)),LEFT(J520,FIND("-",J520,FIND("-",J520)+1))&amp;AE520))</f>
        <v>KRTS-APWN26-GETKRTSFUT6012</v>
      </c>
    </row>
    <row r="521" spans="1:34" ht="15.75" customHeight="1" x14ac:dyDescent="0.2">
      <c r="A521" t="s">
        <v>59</v>
      </c>
      <c r="B521" t="s">
        <v>325</v>
      </c>
      <c r="C521" t="s">
        <v>64</v>
      </c>
      <c r="D521" t="s">
        <v>33</v>
      </c>
      <c r="E521" t="s">
        <v>34</v>
      </c>
      <c r="F521" t="s">
        <v>35</v>
      </c>
      <c r="G521" t="s">
        <v>55</v>
      </c>
      <c r="H521" t="s">
        <v>287</v>
      </c>
      <c r="I521" t="s">
        <v>288</v>
      </c>
      <c r="J521" t="s">
        <v>289</v>
      </c>
      <c r="K521" t="s">
        <v>474</v>
      </c>
      <c r="L521" t="s">
        <v>40</v>
      </c>
      <c r="M521">
        <v>1</v>
      </c>
      <c r="N521">
        <v>132</v>
      </c>
      <c r="O521">
        <v>132</v>
      </c>
      <c r="P521" t="s">
        <v>41</v>
      </c>
      <c r="Q521">
        <v>324.7</v>
      </c>
      <c r="R521">
        <v>324.7</v>
      </c>
      <c r="S521">
        <v>2143.02</v>
      </c>
      <c r="T521">
        <v>42860.4</v>
      </c>
      <c r="U521">
        <v>5</v>
      </c>
      <c r="V521" t="s">
        <v>42</v>
      </c>
      <c r="W521" t="s">
        <v>474</v>
      </c>
      <c r="X521" s="6" t="str">
        <f t="shared" si="30"/>
        <v>441811095</v>
      </c>
      <c r="Y521" s="7" t="str">
        <f t="shared" si="31"/>
        <v>DC</v>
      </c>
      <c r="Z521" s="7">
        <f t="shared" si="32"/>
        <v>0</v>
      </c>
      <c r="AA521" s="7">
        <f t="shared" si="33"/>
        <v>0</v>
      </c>
      <c r="AB521" s="7">
        <f t="shared" si="34"/>
        <v>0</v>
      </c>
      <c r="AC521" s="7">
        <f t="shared" si="35"/>
        <v>132</v>
      </c>
      <c r="AD521" s="7">
        <f t="shared" si="36"/>
        <v>0</v>
      </c>
      <c r="AE521" s="8" t="str" cm="1">
        <f t="array" ref="AE521">IFERROR(_xlfn.XLOOKUP(H521,Sheet1!$G:$G,Sheet1!$F:$F),IFERROR(_xlfn.XLOOKUP(1,(--($X$2:$X$1074=X521))*(--ISNUMBER(MATCH($H$2:$H$1074,Sheet1!$G:$G,0))),_xlfn.XLOOKUP($H$2:$H$1074,Sheet1!$G:$G,Sheet1!$F:$F,"")),"NOT FOUND"))</f>
        <v>GETKRTSFUT6012</v>
      </c>
      <c r="AF521" s="9" t="str">
        <f t="shared" si="37"/>
        <v>MAROON</v>
      </c>
      <c r="AG521" s="10" t="str">
        <f t="shared" si="38"/>
        <v>JHAJJAR</v>
      </c>
      <c r="AH521" s="8" t="str" cm="1">
        <f t="array" ref="AH521">IF(OR(J521="",AE521="",AE521="NOT FOUND"),"",IF(Y521="RP",_xlfn.LET(_xlpm.desc,_xlfn.XLOOKUP(1,(--(Sheet1!$F$2:$F$754=AE521))*(--ISNUMBER(FIND("-",Sheet1!$W$2:$W$754,FIND("-",Sheet1!$W$2:$W$754)+1))),Sheet1!$W$2:$W$754,""),IF(_xlpm.desc="","NOT FOUND",LEFT(_xlpm.desc,FIND("-",_xlpm.desc,FIND("-",_xlpm.desc)+1))&amp;AE521)),LEFT(J521,FIND("-",J521,FIND("-",J521)+1))&amp;AE521))</f>
        <v>KRTS-APWN26-GETKRTSFUT6012</v>
      </c>
    </row>
    <row r="522" spans="1:34" ht="15.75" customHeight="1" x14ac:dyDescent="0.2">
      <c r="A522" t="s">
        <v>61</v>
      </c>
      <c r="B522" t="s">
        <v>326</v>
      </c>
      <c r="C522" t="s">
        <v>64</v>
      </c>
      <c r="D522" t="s">
        <v>1152</v>
      </c>
      <c r="E522" t="s">
        <v>34</v>
      </c>
      <c r="F522" t="s">
        <v>35</v>
      </c>
      <c r="G522" t="s">
        <v>47</v>
      </c>
      <c r="H522" t="s">
        <v>252</v>
      </c>
      <c r="I522" t="s">
        <v>253</v>
      </c>
      <c r="J522" t="s">
        <v>254</v>
      </c>
      <c r="K522" t="s">
        <v>474</v>
      </c>
      <c r="L522" t="s">
        <v>40</v>
      </c>
      <c r="M522">
        <v>1</v>
      </c>
      <c r="N522">
        <v>135</v>
      </c>
      <c r="O522">
        <v>135</v>
      </c>
      <c r="P522" t="s">
        <v>41</v>
      </c>
      <c r="Q522">
        <v>374.7</v>
      </c>
      <c r="R522">
        <v>374.7</v>
      </c>
      <c r="S522">
        <v>2529.23</v>
      </c>
      <c r="T522">
        <v>50584.5</v>
      </c>
      <c r="U522">
        <v>5</v>
      </c>
      <c r="V522" t="s">
        <v>42</v>
      </c>
      <c r="W522" t="s">
        <v>474</v>
      </c>
      <c r="X522" s="6" t="str">
        <f t="shared" si="30"/>
        <v>441811097</v>
      </c>
      <c r="Y522" s="7" t="str">
        <f t="shared" si="31"/>
        <v>DC</v>
      </c>
      <c r="Z522" s="7">
        <f t="shared" si="32"/>
        <v>0</v>
      </c>
      <c r="AA522" s="7">
        <f t="shared" si="33"/>
        <v>135</v>
      </c>
      <c r="AB522" s="7">
        <f t="shared" si="34"/>
        <v>0</v>
      </c>
      <c r="AC522" s="7">
        <f t="shared" si="35"/>
        <v>0</v>
      </c>
      <c r="AD522" s="7">
        <f t="shared" si="36"/>
        <v>0</v>
      </c>
      <c r="AE522" s="8" t="str" cm="1">
        <f t="array" ref="AE522">IFERROR(_xlfn.XLOOKUP(H522,Sheet1!$G:$G,Sheet1!$F:$F),IFERROR(_xlfn.XLOOKUP(1,(--($X$2:$X$1074=X522))*(--ISNUMBER(MATCH($H$2:$H$1074,Sheet1!$G:$G,0))),_xlfn.XLOOKUP($H$2:$H$1074,Sheet1!$G:$G,Sheet1!$F:$F,"")),"NOT FOUND"))</f>
        <v>GETKRTSFUT6089</v>
      </c>
      <c r="AF522" s="9" t="str">
        <f t="shared" si="37"/>
        <v>PINK</v>
      </c>
      <c r="AG522" s="10" t="str">
        <f t="shared" si="38"/>
        <v>HARIPAL</v>
      </c>
      <c r="AH522" s="8" t="str" cm="1">
        <f t="array" ref="AH522">IF(OR(J522="",AE522="",AE522="NOT FOUND"),"",IF(Y522="RP",_xlfn.LET(_xlpm.desc,_xlfn.XLOOKUP(1,(--(Sheet1!$F$2:$F$754=AE522))*(--ISNUMBER(FIND("-",Sheet1!$W$2:$W$754,FIND("-",Sheet1!$W$2:$W$754)+1))),Sheet1!$W$2:$W$754,""),IF(_xlpm.desc="","NOT FOUND",LEFT(_xlpm.desc,FIND("-",_xlpm.desc,FIND("-",_xlpm.desc)+1))&amp;AE522)),LEFT(J522,FIND("-",J522,FIND("-",J522)+1))&amp;AE522))</f>
        <v>KRTS-APWN26-GETKRTSFUT6089</v>
      </c>
    </row>
    <row r="523" spans="1:34" ht="15.75" customHeight="1" x14ac:dyDescent="0.2">
      <c r="A523" t="s">
        <v>61</v>
      </c>
      <c r="B523" t="s">
        <v>326</v>
      </c>
      <c r="C523" t="s">
        <v>64</v>
      </c>
      <c r="D523" t="s">
        <v>1152</v>
      </c>
      <c r="E523" t="s">
        <v>34</v>
      </c>
      <c r="F523" t="s">
        <v>35</v>
      </c>
      <c r="G523" t="s">
        <v>51</v>
      </c>
      <c r="H523" t="s">
        <v>255</v>
      </c>
      <c r="I523" t="s">
        <v>256</v>
      </c>
      <c r="J523" t="s">
        <v>257</v>
      </c>
      <c r="K523" t="s">
        <v>474</v>
      </c>
      <c r="L523" t="s">
        <v>40</v>
      </c>
      <c r="M523">
        <v>1</v>
      </c>
      <c r="N523">
        <v>30</v>
      </c>
      <c r="O523">
        <v>30</v>
      </c>
      <c r="P523" t="s">
        <v>41</v>
      </c>
      <c r="Q523">
        <v>374.7</v>
      </c>
      <c r="R523">
        <v>374.7</v>
      </c>
      <c r="S523">
        <v>562.04999999999995</v>
      </c>
      <c r="T523">
        <v>11241</v>
      </c>
      <c r="U523">
        <v>5</v>
      </c>
      <c r="V523" t="s">
        <v>42</v>
      </c>
      <c r="W523" t="s">
        <v>474</v>
      </c>
      <c r="X523" s="6" t="str">
        <f t="shared" si="30"/>
        <v>441811097</v>
      </c>
      <c r="Y523" s="7" t="str">
        <f t="shared" si="31"/>
        <v>DC</v>
      </c>
      <c r="Z523" s="7">
        <f t="shared" si="32"/>
        <v>30</v>
      </c>
      <c r="AA523" s="7">
        <f t="shared" si="33"/>
        <v>0</v>
      </c>
      <c r="AB523" s="7">
        <f t="shared" si="34"/>
        <v>0</v>
      </c>
      <c r="AC523" s="7">
        <f t="shared" si="35"/>
        <v>0</v>
      </c>
      <c r="AD523" s="7">
        <f t="shared" si="36"/>
        <v>0</v>
      </c>
      <c r="AE523" s="8" t="str" cm="1">
        <f t="array" ref="AE523">IFERROR(_xlfn.XLOOKUP(H523,Sheet1!$G:$G,Sheet1!$F:$F),IFERROR(_xlfn.XLOOKUP(1,(--($X$2:$X$1074=X523))*(--ISNUMBER(MATCH($H$2:$H$1074,Sheet1!$G:$G,0))),_xlfn.XLOOKUP($H$2:$H$1074,Sheet1!$G:$G,Sheet1!$F:$F,"")),"NOT FOUND"))</f>
        <v>GETKRTSFUT6089</v>
      </c>
      <c r="AF523" s="9" t="str">
        <f t="shared" si="37"/>
        <v>PINK</v>
      </c>
      <c r="AG523" s="10" t="str">
        <f t="shared" si="38"/>
        <v>HARIPAL</v>
      </c>
      <c r="AH523" s="8" t="str" cm="1">
        <f t="array" ref="AH523">IF(OR(J523="",AE523="",AE523="NOT FOUND"),"",IF(Y523="RP",_xlfn.LET(_xlpm.desc,_xlfn.XLOOKUP(1,(--(Sheet1!$F$2:$F$754=AE523))*(--ISNUMBER(FIND("-",Sheet1!$W$2:$W$754,FIND("-",Sheet1!$W$2:$W$754)+1))),Sheet1!$W$2:$W$754,""),IF(_xlpm.desc="","NOT FOUND",LEFT(_xlpm.desc,FIND("-",_xlpm.desc,FIND("-",_xlpm.desc)+1))&amp;AE523)),LEFT(J523,FIND("-",J523,FIND("-",J523)+1))&amp;AE523))</f>
        <v>KRTS-APWN26-GETKRTSFUT6089</v>
      </c>
    </row>
    <row r="524" spans="1:34" ht="15.75" customHeight="1" x14ac:dyDescent="0.2">
      <c r="A524" t="s">
        <v>59</v>
      </c>
      <c r="B524" t="s">
        <v>327</v>
      </c>
      <c r="C524" t="s">
        <v>64</v>
      </c>
      <c r="D524" t="s">
        <v>1158</v>
      </c>
      <c r="E524" t="s">
        <v>34</v>
      </c>
      <c r="F524" t="s">
        <v>35</v>
      </c>
      <c r="G524" t="s">
        <v>36</v>
      </c>
      <c r="H524" t="s">
        <v>293</v>
      </c>
      <c r="I524" t="s">
        <v>294</v>
      </c>
      <c r="J524" t="s">
        <v>295</v>
      </c>
      <c r="K524" t="s">
        <v>474</v>
      </c>
      <c r="L524" t="s">
        <v>40</v>
      </c>
      <c r="M524">
        <v>1</v>
      </c>
      <c r="N524">
        <v>30</v>
      </c>
      <c r="O524">
        <v>30</v>
      </c>
      <c r="P524" t="s">
        <v>41</v>
      </c>
      <c r="Q524">
        <v>374.7</v>
      </c>
      <c r="R524">
        <v>374.7</v>
      </c>
      <c r="S524">
        <v>562.04999999999995</v>
      </c>
      <c r="T524">
        <v>11241</v>
      </c>
      <c r="U524">
        <v>5</v>
      </c>
      <c r="V524" t="s">
        <v>42</v>
      </c>
      <c r="W524" t="s">
        <v>474</v>
      </c>
      <c r="X524" s="6" t="str">
        <f t="shared" si="30"/>
        <v>441811094</v>
      </c>
      <c r="Y524" s="7" t="str">
        <f t="shared" si="31"/>
        <v>DC</v>
      </c>
      <c r="Z524" s="7">
        <f t="shared" si="32"/>
        <v>0</v>
      </c>
      <c r="AA524" s="7">
        <f t="shared" si="33"/>
        <v>0</v>
      </c>
      <c r="AB524" s="7">
        <f t="shared" si="34"/>
        <v>0</v>
      </c>
      <c r="AC524" s="7">
        <f t="shared" si="35"/>
        <v>0</v>
      </c>
      <c r="AD524" s="7">
        <f t="shared" si="36"/>
        <v>30</v>
      </c>
      <c r="AE524" s="8" t="str" cm="1">
        <f t="array" ref="AE524">IFERROR(_xlfn.XLOOKUP(H524,Sheet1!$G:$G,Sheet1!$F:$F),IFERROR(_xlfn.XLOOKUP(1,(--($X$2:$X$1074=X524))*(--ISNUMBER(MATCH($H$2:$H$1074,Sheet1!$G:$G,0))),_xlfn.XLOOKUP($H$2:$H$1074,Sheet1!$G:$G,Sheet1!$F:$F,"")),"NOT FOUND"))</f>
        <v>GETKRTSFUT6002</v>
      </c>
      <c r="AF524" s="9" t="str">
        <f t="shared" si="37"/>
        <v>MUSTARD</v>
      </c>
      <c r="AG524" s="10" t="str">
        <f t="shared" si="38"/>
        <v>JHAJJAR</v>
      </c>
      <c r="AH524" s="8" t="str" cm="1">
        <f t="array" ref="AH524">IF(OR(J524="",AE524="",AE524="NOT FOUND"),"",IF(Y524="RP",_xlfn.LET(_xlpm.desc,_xlfn.XLOOKUP(1,(--(Sheet1!$F$2:$F$754=AE524))*(--ISNUMBER(FIND("-",Sheet1!$W$2:$W$754,FIND("-",Sheet1!$W$2:$W$754)+1))),Sheet1!$W$2:$W$754,""),IF(_xlpm.desc="","NOT FOUND",LEFT(_xlpm.desc,FIND("-",_xlpm.desc,FIND("-",_xlpm.desc)+1))&amp;AE524)),LEFT(J524,FIND("-",J524,FIND("-",J524)+1))&amp;AE524))</f>
        <v>KRTS-APWN26-GETKRTSFUT6002</v>
      </c>
    </row>
    <row r="525" spans="1:34" ht="15.75" customHeight="1" x14ac:dyDescent="0.2">
      <c r="A525" t="s">
        <v>59</v>
      </c>
      <c r="B525" t="s">
        <v>327</v>
      </c>
      <c r="C525" t="s">
        <v>64</v>
      </c>
      <c r="D525" t="s">
        <v>1158</v>
      </c>
      <c r="E525" t="s">
        <v>34</v>
      </c>
      <c r="F525" t="s">
        <v>35</v>
      </c>
      <c r="G525" t="s">
        <v>43</v>
      </c>
      <c r="H525" t="s">
        <v>296</v>
      </c>
      <c r="I525" t="s">
        <v>297</v>
      </c>
      <c r="J525" t="s">
        <v>298</v>
      </c>
      <c r="K525" t="s">
        <v>474</v>
      </c>
      <c r="L525" t="s">
        <v>40</v>
      </c>
      <c r="M525">
        <v>1</v>
      </c>
      <c r="N525">
        <v>119</v>
      </c>
      <c r="O525">
        <v>119</v>
      </c>
      <c r="P525" t="s">
        <v>41</v>
      </c>
      <c r="Q525">
        <v>374.7</v>
      </c>
      <c r="R525">
        <v>374.7</v>
      </c>
      <c r="S525">
        <v>2229.4699999999998</v>
      </c>
      <c r="T525">
        <v>44589.3</v>
      </c>
      <c r="U525">
        <v>5</v>
      </c>
      <c r="V525" t="s">
        <v>42</v>
      </c>
      <c r="W525" t="s">
        <v>474</v>
      </c>
      <c r="X525" s="6" t="str">
        <f t="shared" si="30"/>
        <v>441811094</v>
      </c>
      <c r="Y525" s="7" t="str">
        <f t="shared" si="31"/>
        <v>DC</v>
      </c>
      <c r="Z525" s="7">
        <f t="shared" si="32"/>
        <v>0</v>
      </c>
      <c r="AA525" s="7">
        <f t="shared" si="33"/>
        <v>0</v>
      </c>
      <c r="AB525" s="7">
        <f t="shared" si="34"/>
        <v>119</v>
      </c>
      <c r="AC525" s="7">
        <f t="shared" si="35"/>
        <v>0</v>
      </c>
      <c r="AD525" s="7">
        <f t="shared" si="36"/>
        <v>0</v>
      </c>
      <c r="AE525" s="8" t="str" cm="1">
        <f t="array" ref="AE525">IFERROR(_xlfn.XLOOKUP(H525,Sheet1!$G:$G,Sheet1!$F:$F),IFERROR(_xlfn.XLOOKUP(1,(--($X$2:$X$1074=X525))*(--ISNUMBER(MATCH($H$2:$H$1074,Sheet1!$G:$G,0))),_xlfn.XLOOKUP($H$2:$H$1074,Sheet1!$G:$G,Sheet1!$F:$F,"")),"NOT FOUND"))</f>
        <v>GETKRTSFUT6002</v>
      </c>
      <c r="AF525" s="9" t="str">
        <f t="shared" si="37"/>
        <v>MUSTARD</v>
      </c>
      <c r="AG525" s="10" t="str">
        <f t="shared" si="38"/>
        <v>JHAJJAR</v>
      </c>
      <c r="AH525" s="8" t="str" cm="1">
        <f t="array" ref="AH525">IF(OR(J525="",AE525="",AE525="NOT FOUND"),"",IF(Y525="RP",_xlfn.LET(_xlpm.desc,_xlfn.XLOOKUP(1,(--(Sheet1!$F$2:$F$754=AE525))*(--ISNUMBER(FIND("-",Sheet1!$W$2:$W$754,FIND("-",Sheet1!$W$2:$W$754)+1))),Sheet1!$W$2:$W$754,""),IF(_xlpm.desc="","NOT FOUND",LEFT(_xlpm.desc,FIND("-",_xlpm.desc,FIND("-",_xlpm.desc)+1))&amp;AE525)),LEFT(J525,FIND("-",J525,FIND("-",J525)+1))&amp;AE525))</f>
        <v>KRTS-APWN26-GETKRTSFUT6002</v>
      </c>
    </row>
    <row r="526" spans="1:34" ht="15.75" customHeight="1" x14ac:dyDescent="0.2">
      <c r="A526" t="s">
        <v>59</v>
      </c>
      <c r="B526" t="s">
        <v>327</v>
      </c>
      <c r="C526" t="s">
        <v>64</v>
      </c>
      <c r="D526" t="s">
        <v>1158</v>
      </c>
      <c r="E526" t="s">
        <v>34</v>
      </c>
      <c r="F526" t="s">
        <v>35</v>
      </c>
      <c r="G526" t="s">
        <v>47</v>
      </c>
      <c r="H526" t="s">
        <v>299</v>
      </c>
      <c r="I526" t="s">
        <v>300</v>
      </c>
      <c r="J526" t="s">
        <v>301</v>
      </c>
      <c r="K526" t="s">
        <v>474</v>
      </c>
      <c r="L526" t="s">
        <v>40</v>
      </c>
      <c r="M526">
        <v>1</v>
      </c>
      <c r="N526">
        <v>119</v>
      </c>
      <c r="O526">
        <v>119</v>
      </c>
      <c r="P526" t="s">
        <v>41</v>
      </c>
      <c r="Q526">
        <v>374.7</v>
      </c>
      <c r="R526">
        <v>374.7</v>
      </c>
      <c r="S526">
        <v>2229.4699999999998</v>
      </c>
      <c r="T526">
        <v>44589.3</v>
      </c>
      <c r="U526">
        <v>5</v>
      </c>
      <c r="V526" t="s">
        <v>42</v>
      </c>
      <c r="W526" t="s">
        <v>474</v>
      </c>
      <c r="X526" s="6" t="str">
        <f t="shared" si="30"/>
        <v>441811094</v>
      </c>
      <c r="Y526" s="7" t="str">
        <f t="shared" si="31"/>
        <v>DC</v>
      </c>
      <c r="Z526" s="7">
        <f t="shared" si="32"/>
        <v>0</v>
      </c>
      <c r="AA526" s="7">
        <f t="shared" si="33"/>
        <v>119</v>
      </c>
      <c r="AB526" s="7">
        <f t="shared" si="34"/>
        <v>0</v>
      </c>
      <c r="AC526" s="7">
        <f t="shared" si="35"/>
        <v>0</v>
      </c>
      <c r="AD526" s="7">
        <f t="shared" si="36"/>
        <v>0</v>
      </c>
      <c r="AE526" s="8" t="str" cm="1">
        <f t="array" ref="AE526">IFERROR(_xlfn.XLOOKUP(H526,Sheet1!$G:$G,Sheet1!$F:$F),IFERROR(_xlfn.XLOOKUP(1,(--($X$2:$X$1074=X526))*(--ISNUMBER(MATCH($H$2:$H$1074,Sheet1!$G:$G,0))),_xlfn.XLOOKUP($H$2:$H$1074,Sheet1!$G:$G,Sheet1!$F:$F,"")),"NOT FOUND"))</f>
        <v>GETKRTSFUT6002</v>
      </c>
      <c r="AF526" s="9" t="str">
        <f t="shared" si="37"/>
        <v>MUSTARD</v>
      </c>
      <c r="AG526" s="10" t="str">
        <f t="shared" si="38"/>
        <v>JHAJJAR</v>
      </c>
      <c r="AH526" s="8" t="str" cm="1">
        <f t="array" ref="AH526">IF(OR(J526="",AE526="",AE526="NOT FOUND"),"",IF(Y526="RP",_xlfn.LET(_xlpm.desc,_xlfn.XLOOKUP(1,(--(Sheet1!$F$2:$F$754=AE526))*(--ISNUMBER(FIND("-",Sheet1!$W$2:$W$754,FIND("-",Sheet1!$W$2:$W$754)+1))),Sheet1!$W$2:$W$754,""),IF(_xlpm.desc="","NOT FOUND",LEFT(_xlpm.desc,FIND("-",_xlpm.desc,FIND("-",_xlpm.desc)+1))&amp;AE526)),LEFT(J526,FIND("-",J526,FIND("-",J526)+1))&amp;AE526))</f>
        <v>KRTS-APWN26-GETKRTSFUT6002</v>
      </c>
    </row>
    <row r="527" spans="1:34" ht="15.75" customHeight="1" x14ac:dyDescent="0.2">
      <c r="A527" t="s">
        <v>59</v>
      </c>
      <c r="B527" t="s">
        <v>327</v>
      </c>
      <c r="C527" t="s">
        <v>64</v>
      </c>
      <c r="D527" t="s">
        <v>1158</v>
      </c>
      <c r="E527" t="s">
        <v>34</v>
      </c>
      <c r="F527" t="s">
        <v>35</v>
      </c>
      <c r="G527" t="s">
        <v>51</v>
      </c>
      <c r="H527" t="s">
        <v>302</v>
      </c>
      <c r="I527" t="s">
        <v>303</v>
      </c>
      <c r="J527" t="s">
        <v>304</v>
      </c>
      <c r="K527" t="s">
        <v>474</v>
      </c>
      <c r="L527" t="s">
        <v>40</v>
      </c>
      <c r="M527">
        <v>1</v>
      </c>
      <c r="N527">
        <v>30</v>
      </c>
      <c r="O527">
        <v>30</v>
      </c>
      <c r="P527" t="s">
        <v>41</v>
      </c>
      <c r="Q527">
        <v>374.7</v>
      </c>
      <c r="R527">
        <v>374.7</v>
      </c>
      <c r="S527">
        <v>562.04999999999995</v>
      </c>
      <c r="T527">
        <v>11241</v>
      </c>
      <c r="U527">
        <v>5</v>
      </c>
      <c r="V527" t="s">
        <v>42</v>
      </c>
      <c r="W527" t="s">
        <v>474</v>
      </c>
      <c r="X527" s="6" t="str">
        <f t="shared" si="30"/>
        <v>441811094</v>
      </c>
      <c r="Y527" s="7" t="str">
        <f t="shared" si="31"/>
        <v>DC</v>
      </c>
      <c r="Z527" s="7">
        <f t="shared" si="32"/>
        <v>30</v>
      </c>
      <c r="AA527" s="7">
        <f t="shared" si="33"/>
        <v>0</v>
      </c>
      <c r="AB527" s="7">
        <f t="shared" si="34"/>
        <v>0</v>
      </c>
      <c r="AC527" s="7">
        <f t="shared" si="35"/>
        <v>0</v>
      </c>
      <c r="AD527" s="7">
        <f t="shared" si="36"/>
        <v>0</v>
      </c>
      <c r="AE527" s="8" t="str" cm="1">
        <f t="array" ref="AE527">IFERROR(_xlfn.XLOOKUP(H527,Sheet1!$G:$G,Sheet1!$F:$F),IFERROR(_xlfn.XLOOKUP(1,(--($X$2:$X$1074=X527))*(--ISNUMBER(MATCH($H$2:$H$1074,Sheet1!$G:$G,0))),_xlfn.XLOOKUP($H$2:$H$1074,Sheet1!$G:$G,Sheet1!$F:$F,"")),"NOT FOUND"))</f>
        <v>GETKRTSFUT6002</v>
      </c>
      <c r="AF527" s="9" t="str">
        <f t="shared" si="37"/>
        <v>MUSTARD</v>
      </c>
      <c r="AG527" s="10" t="str">
        <f t="shared" si="38"/>
        <v>JHAJJAR</v>
      </c>
      <c r="AH527" s="8" t="str" cm="1">
        <f t="array" ref="AH527">IF(OR(J527="",AE527="",AE527="NOT FOUND"),"",IF(Y527="RP",_xlfn.LET(_xlpm.desc,_xlfn.XLOOKUP(1,(--(Sheet1!$F$2:$F$754=AE527))*(--ISNUMBER(FIND("-",Sheet1!$W$2:$W$754,FIND("-",Sheet1!$W$2:$W$754)+1))),Sheet1!$W$2:$W$754,""),IF(_xlpm.desc="","NOT FOUND",LEFT(_xlpm.desc,FIND("-",_xlpm.desc,FIND("-",_xlpm.desc)+1))&amp;AE527)),LEFT(J527,FIND("-",J527,FIND("-",J527)+1))&amp;AE527))</f>
        <v>KRTS-APWN26-GETKRTSFUT6002</v>
      </c>
    </row>
    <row r="528" spans="1:34" ht="15.75" customHeight="1" x14ac:dyDescent="0.2">
      <c r="A528" t="s">
        <v>59</v>
      </c>
      <c r="B528" t="s">
        <v>327</v>
      </c>
      <c r="C528" t="s">
        <v>64</v>
      </c>
      <c r="D528" t="s">
        <v>1158</v>
      </c>
      <c r="E528" t="s">
        <v>34</v>
      </c>
      <c r="F528" t="s">
        <v>35</v>
      </c>
      <c r="G528" t="s">
        <v>55</v>
      </c>
      <c r="H528" t="s">
        <v>305</v>
      </c>
      <c r="I528" t="s">
        <v>306</v>
      </c>
      <c r="J528" t="s">
        <v>307</v>
      </c>
      <c r="K528" t="s">
        <v>474</v>
      </c>
      <c r="L528" t="s">
        <v>40</v>
      </c>
      <c r="M528">
        <v>1</v>
      </c>
      <c r="N528">
        <v>100</v>
      </c>
      <c r="O528">
        <v>100</v>
      </c>
      <c r="P528" t="s">
        <v>41</v>
      </c>
      <c r="Q528">
        <v>374.7</v>
      </c>
      <c r="R528">
        <v>374.7</v>
      </c>
      <c r="S528">
        <v>1873.5</v>
      </c>
      <c r="T528">
        <v>37470</v>
      </c>
      <c r="U528">
        <v>5</v>
      </c>
      <c r="V528" t="s">
        <v>42</v>
      </c>
      <c r="W528" t="s">
        <v>474</v>
      </c>
      <c r="X528" s="6" t="str">
        <f t="shared" si="30"/>
        <v>441811094</v>
      </c>
      <c r="Y528" s="7" t="str">
        <f t="shared" si="31"/>
        <v>DC</v>
      </c>
      <c r="Z528" s="7">
        <f t="shared" si="32"/>
        <v>0</v>
      </c>
      <c r="AA528" s="7">
        <f t="shared" si="33"/>
        <v>0</v>
      </c>
      <c r="AB528" s="7">
        <f t="shared" si="34"/>
        <v>0</v>
      </c>
      <c r="AC528" s="7">
        <f t="shared" si="35"/>
        <v>100</v>
      </c>
      <c r="AD528" s="7">
        <f t="shared" si="36"/>
        <v>0</v>
      </c>
      <c r="AE528" s="8" t="str" cm="1">
        <f t="array" ref="AE528">IFERROR(_xlfn.XLOOKUP(H528,Sheet1!$G:$G,Sheet1!$F:$F),IFERROR(_xlfn.XLOOKUP(1,(--($X$2:$X$1074=X528))*(--ISNUMBER(MATCH($H$2:$H$1074,Sheet1!$G:$G,0))),_xlfn.XLOOKUP($H$2:$H$1074,Sheet1!$G:$G,Sheet1!$F:$F,"")),"NOT FOUND"))</f>
        <v>GETKRTSFUT6002</v>
      </c>
      <c r="AF528" s="9" t="str">
        <f t="shared" si="37"/>
        <v>MUSTARD</v>
      </c>
      <c r="AG528" s="10" t="str">
        <f t="shared" si="38"/>
        <v>JHAJJAR</v>
      </c>
      <c r="AH528" s="8" t="str" cm="1">
        <f t="array" ref="AH528">IF(OR(J528="",AE528="",AE528="NOT FOUND"),"",IF(Y528="RP",_xlfn.LET(_xlpm.desc,_xlfn.XLOOKUP(1,(--(Sheet1!$F$2:$F$754=AE528))*(--ISNUMBER(FIND("-",Sheet1!$W$2:$W$754,FIND("-",Sheet1!$W$2:$W$754)+1))),Sheet1!$W$2:$W$754,""),IF(_xlpm.desc="","NOT FOUND",LEFT(_xlpm.desc,FIND("-",_xlpm.desc,FIND("-",_xlpm.desc)+1))&amp;AE528)),LEFT(J528,FIND("-",J528,FIND("-",J528)+1))&amp;AE528))</f>
        <v>KRTS-APWN26-GETKRTSFUT6002</v>
      </c>
    </row>
    <row r="529" spans="1:34" ht="15.75" customHeight="1" x14ac:dyDescent="0.2">
      <c r="A529" t="s">
        <v>59</v>
      </c>
      <c r="B529" t="s">
        <v>328</v>
      </c>
      <c r="C529" t="s">
        <v>64</v>
      </c>
      <c r="D529" t="s">
        <v>292</v>
      </c>
      <c r="E529" t="s">
        <v>34</v>
      </c>
      <c r="F529" t="s">
        <v>35</v>
      </c>
      <c r="G529" t="s">
        <v>36</v>
      </c>
      <c r="H529" t="s">
        <v>309</v>
      </c>
      <c r="I529" t="s">
        <v>310</v>
      </c>
      <c r="J529" t="s">
        <v>311</v>
      </c>
      <c r="K529" t="s">
        <v>474</v>
      </c>
      <c r="L529" t="s">
        <v>40</v>
      </c>
      <c r="M529">
        <v>1</v>
      </c>
      <c r="N529">
        <v>30</v>
      </c>
      <c r="O529">
        <v>30</v>
      </c>
      <c r="P529" t="s">
        <v>41</v>
      </c>
      <c r="Q529">
        <v>374.7</v>
      </c>
      <c r="R529">
        <v>374.7</v>
      </c>
      <c r="S529">
        <v>562.04999999999995</v>
      </c>
      <c r="T529">
        <v>11241</v>
      </c>
      <c r="U529">
        <v>5</v>
      </c>
      <c r="V529" t="s">
        <v>42</v>
      </c>
      <c r="W529" t="s">
        <v>474</v>
      </c>
      <c r="X529" s="6" t="str">
        <f t="shared" si="30"/>
        <v>441811094</v>
      </c>
      <c r="Y529" s="7" t="str">
        <f t="shared" si="31"/>
        <v>DC</v>
      </c>
      <c r="Z529" s="7">
        <f t="shared" si="32"/>
        <v>0</v>
      </c>
      <c r="AA529" s="7">
        <f t="shared" si="33"/>
        <v>0</v>
      </c>
      <c r="AB529" s="7">
        <f t="shared" si="34"/>
        <v>0</v>
      </c>
      <c r="AC529" s="7">
        <f t="shared" si="35"/>
        <v>0</v>
      </c>
      <c r="AD529" s="7">
        <f t="shared" si="36"/>
        <v>30</v>
      </c>
      <c r="AE529" s="8" t="str" cm="1">
        <f t="array" ref="AE529">IFERROR(_xlfn.XLOOKUP(H529,Sheet1!$G:$G,Sheet1!$F:$F),IFERROR(_xlfn.XLOOKUP(1,(--($X$2:$X$1074=X529))*(--ISNUMBER(MATCH($H$2:$H$1074,Sheet1!$G:$G,0))),_xlfn.XLOOKUP($H$2:$H$1074,Sheet1!$G:$G,Sheet1!$F:$F,"")),"NOT FOUND"))</f>
        <v>GETKRTSFUT6002</v>
      </c>
      <c r="AF529" s="9" t="str">
        <f t="shared" si="37"/>
        <v>MAROON</v>
      </c>
      <c r="AG529" s="10" t="str">
        <f t="shared" si="38"/>
        <v>JHAJJAR</v>
      </c>
      <c r="AH529" s="8" t="str" cm="1">
        <f t="array" ref="AH529">IF(OR(J529="",AE529="",AE529="NOT FOUND"),"",IF(Y529="RP",_xlfn.LET(_xlpm.desc,_xlfn.XLOOKUP(1,(--(Sheet1!$F$2:$F$754=AE529))*(--ISNUMBER(FIND("-",Sheet1!$W$2:$W$754,FIND("-",Sheet1!$W$2:$W$754)+1))),Sheet1!$W$2:$W$754,""),IF(_xlpm.desc="","NOT FOUND",LEFT(_xlpm.desc,FIND("-",_xlpm.desc,FIND("-",_xlpm.desc)+1))&amp;AE529)),LEFT(J529,FIND("-",J529,FIND("-",J529)+1))&amp;AE529))</f>
        <v>KRTS-APWN26-GETKRTSFUT6002</v>
      </c>
    </row>
    <row r="530" spans="1:34" ht="15.75" customHeight="1" x14ac:dyDescent="0.2">
      <c r="A530" t="s">
        <v>59</v>
      </c>
      <c r="B530" t="s">
        <v>328</v>
      </c>
      <c r="C530" t="s">
        <v>64</v>
      </c>
      <c r="D530" t="s">
        <v>292</v>
      </c>
      <c r="E530" t="s">
        <v>34</v>
      </c>
      <c r="F530" t="s">
        <v>35</v>
      </c>
      <c r="G530" t="s">
        <v>43</v>
      </c>
      <c r="H530" t="s">
        <v>312</v>
      </c>
      <c r="I530" t="s">
        <v>313</v>
      </c>
      <c r="J530" t="s">
        <v>314</v>
      </c>
      <c r="K530" t="s">
        <v>474</v>
      </c>
      <c r="L530" t="s">
        <v>40</v>
      </c>
      <c r="M530">
        <v>1</v>
      </c>
      <c r="N530">
        <v>119</v>
      </c>
      <c r="O530">
        <v>119</v>
      </c>
      <c r="P530" t="s">
        <v>41</v>
      </c>
      <c r="Q530">
        <v>374.7</v>
      </c>
      <c r="R530">
        <v>374.7</v>
      </c>
      <c r="S530">
        <v>2229.4699999999998</v>
      </c>
      <c r="T530">
        <v>44589.3</v>
      </c>
      <c r="U530">
        <v>5</v>
      </c>
      <c r="V530" t="s">
        <v>42</v>
      </c>
      <c r="W530" t="s">
        <v>474</v>
      </c>
      <c r="X530" s="6" t="str">
        <f t="shared" si="30"/>
        <v>441811094</v>
      </c>
      <c r="Y530" s="7" t="str">
        <f t="shared" si="31"/>
        <v>DC</v>
      </c>
      <c r="Z530" s="7">
        <f t="shared" si="32"/>
        <v>0</v>
      </c>
      <c r="AA530" s="7">
        <f t="shared" si="33"/>
        <v>0</v>
      </c>
      <c r="AB530" s="7">
        <f t="shared" si="34"/>
        <v>119</v>
      </c>
      <c r="AC530" s="7">
        <f t="shared" si="35"/>
        <v>0</v>
      </c>
      <c r="AD530" s="7">
        <f t="shared" si="36"/>
        <v>0</v>
      </c>
      <c r="AE530" s="8" t="str" cm="1">
        <f t="array" ref="AE530">IFERROR(_xlfn.XLOOKUP(H530,Sheet1!$G:$G,Sheet1!$F:$F),IFERROR(_xlfn.XLOOKUP(1,(--($X$2:$X$1074=X530))*(--ISNUMBER(MATCH($H$2:$H$1074,Sheet1!$G:$G,0))),_xlfn.XLOOKUP($H$2:$H$1074,Sheet1!$G:$G,Sheet1!$F:$F,"")),"NOT FOUND"))</f>
        <v>GETKRTSFUT6002</v>
      </c>
      <c r="AF530" s="9" t="str">
        <f t="shared" si="37"/>
        <v>MAROON</v>
      </c>
      <c r="AG530" s="10" t="str">
        <f t="shared" si="38"/>
        <v>JHAJJAR</v>
      </c>
      <c r="AH530" s="8" t="str" cm="1">
        <f t="array" ref="AH530">IF(OR(J530="",AE530="",AE530="NOT FOUND"),"",IF(Y530="RP",_xlfn.LET(_xlpm.desc,_xlfn.XLOOKUP(1,(--(Sheet1!$F$2:$F$754=AE530))*(--ISNUMBER(FIND("-",Sheet1!$W$2:$W$754,FIND("-",Sheet1!$W$2:$W$754)+1))),Sheet1!$W$2:$W$754,""),IF(_xlpm.desc="","NOT FOUND",LEFT(_xlpm.desc,FIND("-",_xlpm.desc,FIND("-",_xlpm.desc)+1))&amp;AE530)),LEFT(J530,FIND("-",J530,FIND("-",J530)+1))&amp;AE530))</f>
        <v>KRTS-APWN26-GETKRTSFUT6002</v>
      </c>
    </row>
    <row r="531" spans="1:34" ht="15.75" customHeight="1" x14ac:dyDescent="0.2">
      <c r="A531" t="s">
        <v>59</v>
      </c>
      <c r="B531" t="s">
        <v>328</v>
      </c>
      <c r="C531" t="s">
        <v>64</v>
      </c>
      <c r="D531" t="s">
        <v>292</v>
      </c>
      <c r="E531" t="s">
        <v>34</v>
      </c>
      <c r="F531" t="s">
        <v>35</v>
      </c>
      <c r="G531" t="s">
        <v>47</v>
      </c>
      <c r="H531" t="s">
        <v>315</v>
      </c>
      <c r="I531" t="s">
        <v>316</v>
      </c>
      <c r="J531" t="s">
        <v>317</v>
      </c>
      <c r="K531" t="s">
        <v>474</v>
      </c>
      <c r="L531" t="s">
        <v>40</v>
      </c>
      <c r="M531">
        <v>1</v>
      </c>
      <c r="N531">
        <v>119</v>
      </c>
      <c r="O531">
        <v>119</v>
      </c>
      <c r="P531" t="s">
        <v>41</v>
      </c>
      <c r="Q531">
        <v>374.7</v>
      </c>
      <c r="R531">
        <v>374.7</v>
      </c>
      <c r="S531">
        <v>2229.4699999999998</v>
      </c>
      <c r="T531">
        <v>44589.3</v>
      </c>
      <c r="U531">
        <v>5</v>
      </c>
      <c r="V531" t="s">
        <v>42</v>
      </c>
      <c r="W531" t="s">
        <v>474</v>
      </c>
      <c r="X531" s="6" t="str">
        <f t="shared" si="30"/>
        <v>441811094</v>
      </c>
      <c r="Y531" s="7" t="str">
        <f t="shared" si="31"/>
        <v>DC</v>
      </c>
      <c r="Z531" s="7">
        <f t="shared" si="32"/>
        <v>0</v>
      </c>
      <c r="AA531" s="7">
        <f t="shared" si="33"/>
        <v>119</v>
      </c>
      <c r="AB531" s="7">
        <f t="shared" si="34"/>
        <v>0</v>
      </c>
      <c r="AC531" s="7">
        <f t="shared" si="35"/>
        <v>0</v>
      </c>
      <c r="AD531" s="7">
        <f t="shared" si="36"/>
        <v>0</v>
      </c>
      <c r="AE531" s="8" t="str" cm="1">
        <f t="array" ref="AE531">IFERROR(_xlfn.XLOOKUP(H531,Sheet1!$G:$G,Sheet1!$F:$F),IFERROR(_xlfn.XLOOKUP(1,(--($X$2:$X$1074=X531))*(--ISNUMBER(MATCH($H$2:$H$1074,Sheet1!$G:$G,0))),_xlfn.XLOOKUP($H$2:$H$1074,Sheet1!$G:$G,Sheet1!$F:$F,"")),"NOT FOUND"))</f>
        <v>GETKRTSFUT6002</v>
      </c>
      <c r="AF531" s="9" t="str">
        <f t="shared" si="37"/>
        <v>MAROON</v>
      </c>
      <c r="AG531" s="10" t="str">
        <f t="shared" si="38"/>
        <v>JHAJJAR</v>
      </c>
      <c r="AH531" s="8" t="str" cm="1">
        <f t="array" ref="AH531">IF(OR(J531="",AE531="",AE531="NOT FOUND"),"",IF(Y531="RP",_xlfn.LET(_xlpm.desc,_xlfn.XLOOKUP(1,(--(Sheet1!$F$2:$F$754=AE531))*(--ISNUMBER(FIND("-",Sheet1!$W$2:$W$754,FIND("-",Sheet1!$W$2:$W$754)+1))),Sheet1!$W$2:$W$754,""),IF(_xlpm.desc="","NOT FOUND",LEFT(_xlpm.desc,FIND("-",_xlpm.desc,FIND("-",_xlpm.desc)+1))&amp;AE531)),LEFT(J531,FIND("-",J531,FIND("-",J531)+1))&amp;AE531))</f>
        <v>KRTS-APWN26-GETKRTSFUT6002</v>
      </c>
    </row>
    <row r="532" spans="1:34" ht="15.75" customHeight="1" x14ac:dyDescent="0.2">
      <c r="A532" t="s">
        <v>59</v>
      </c>
      <c r="B532" t="s">
        <v>328</v>
      </c>
      <c r="C532" t="s">
        <v>64</v>
      </c>
      <c r="D532" t="s">
        <v>292</v>
      </c>
      <c r="E532" t="s">
        <v>34</v>
      </c>
      <c r="F532" t="s">
        <v>35</v>
      </c>
      <c r="G532" t="s">
        <v>51</v>
      </c>
      <c r="H532" t="s">
        <v>318</v>
      </c>
      <c r="I532" t="s">
        <v>319</v>
      </c>
      <c r="J532" t="s">
        <v>320</v>
      </c>
      <c r="K532" t="s">
        <v>474</v>
      </c>
      <c r="L532" t="s">
        <v>40</v>
      </c>
      <c r="M532">
        <v>1</v>
      </c>
      <c r="N532">
        <v>30</v>
      </c>
      <c r="O532">
        <v>30</v>
      </c>
      <c r="P532" t="s">
        <v>41</v>
      </c>
      <c r="Q532">
        <v>374.7</v>
      </c>
      <c r="R532">
        <v>374.7</v>
      </c>
      <c r="S532">
        <v>562.04999999999995</v>
      </c>
      <c r="T532">
        <v>11241</v>
      </c>
      <c r="U532">
        <v>5</v>
      </c>
      <c r="V532" t="s">
        <v>42</v>
      </c>
      <c r="W532" t="s">
        <v>474</v>
      </c>
      <c r="X532" s="6" t="str">
        <f t="shared" si="30"/>
        <v>441811094</v>
      </c>
      <c r="Y532" s="7" t="str">
        <f t="shared" si="31"/>
        <v>DC</v>
      </c>
      <c r="Z532" s="7">
        <f t="shared" si="32"/>
        <v>30</v>
      </c>
      <c r="AA532" s="7">
        <f t="shared" si="33"/>
        <v>0</v>
      </c>
      <c r="AB532" s="7">
        <f t="shared" si="34"/>
        <v>0</v>
      </c>
      <c r="AC532" s="7">
        <f t="shared" si="35"/>
        <v>0</v>
      </c>
      <c r="AD532" s="7">
        <f t="shared" si="36"/>
        <v>0</v>
      </c>
      <c r="AE532" s="8" t="str" cm="1">
        <f t="array" ref="AE532">IFERROR(_xlfn.XLOOKUP(H532,Sheet1!$G:$G,Sheet1!$F:$F),IFERROR(_xlfn.XLOOKUP(1,(--($X$2:$X$1074=X532))*(--ISNUMBER(MATCH($H$2:$H$1074,Sheet1!$G:$G,0))),_xlfn.XLOOKUP($H$2:$H$1074,Sheet1!$G:$G,Sheet1!$F:$F,"")),"NOT FOUND"))</f>
        <v>GETKRTSFUT6002</v>
      </c>
      <c r="AF532" s="9" t="str">
        <f t="shared" si="37"/>
        <v>MAROON</v>
      </c>
      <c r="AG532" s="10" t="str">
        <f t="shared" si="38"/>
        <v>JHAJJAR</v>
      </c>
      <c r="AH532" s="8" t="str" cm="1">
        <f t="array" ref="AH532">IF(OR(J532="",AE532="",AE532="NOT FOUND"),"",IF(Y532="RP",_xlfn.LET(_xlpm.desc,_xlfn.XLOOKUP(1,(--(Sheet1!$F$2:$F$754=AE532))*(--ISNUMBER(FIND("-",Sheet1!$W$2:$W$754,FIND("-",Sheet1!$W$2:$W$754)+1))),Sheet1!$W$2:$W$754,""),IF(_xlpm.desc="","NOT FOUND",LEFT(_xlpm.desc,FIND("-",_xlpm.desc,FIND("-",_xlpm.desc)+1))&amp;AE532)),LEFT(J532,FIND("-",J532,FIND("-",J532)+1))&amp;AE532))</f>
        <v>KRTS-APWN26-GETKRTSFUT6002</v>
      </c>
    </row>
    <row r="533" spans="1:34" ht="15.75" customHeight="1" x14ac:dyDescent="0.2">
      <c r="A533" t="s">
        <v>61</v>
      </c>
      <c r="B533" t="s">
        <v>329</v>
      </c>
      <c r="C533" t="s">
        <v>64</v>
      </c>
      <c r="D533" t="s">
        <v>98</v>
      </c>
      <c r="E533" t="s">
        <v>34</v>
      </c>
      <c r="F533" t="s">
        <v>35</v>
      </c>
      <c r="G533" t="s">
        <v>36</v>
      </c>
      <c r="H533" t="s">
        <v>262</v>
      </c>
      <c r="I533" t="s">
        <v>263</v>
      </c>
      <c r="J533" t="s">
        <v>264</v>
      </c>
      <c r="K533" t="s">
        <v>474</v>
      </c>
      <c r="L533" t="s">
        <v>40</v>
      </c>
      <c r="M533">
        <v>1</v>
      </c>
      <c r="N533">
        <v>30</v>
      </c>
      <c r="O533">
        <v>30</v>
      </c>
      <c r="P533" t="s">
        <v>41</v>
      </c>
      <c r="Q533">
        <v>324.7</v>
      </c>
      <c r="R533">
        <v>324.7</v>
      </c>
      <c r="S533">
        <v>487.05</v>
      </c>
      <c r="T533">
        <v>9741</v>
      </c>
      <c r="U533">
        <v>5</v>
      </c>
      <c r="V533" t="s">
        <v>42</v>
      </c>
      <c r="W533" t="s">
        <v>474</v>
      </c>
      <c r="X533" s="6" t="str">
        <f t="shared" si="30"/>
        <v>441811096</v>
      </c>
      <c r="Y533" s="7" t="str">
        <f t="shared" si="31"/>
        <v>DC</v>
      </c>
      <c r="Z533" s="7">
        <f t="shared" si="32"/>
        <v>0</v>
      </c>
      <c r="AA533" s="7">
        <f t="shared" si="33"/>
        <v>0</v>
      </c>
      <c r="AB533" s="7">
        <f t="shared" si="34"/>
        <v>0</v>
      </c>
      <c r="AC533" s="7">
        <f t="shared" si="35"/>
        <v>0</v>
      </c>
      <c r="AD533" s="7">
        <f t="shared" si="36"/>
        <v>30</v>
      </c>
      <c r="AE533" s="8" t="str" cm="1">
        <f t="array" ref="AE533">IFERROR(_xlfn.XLOOKUP(H533,Sheet1!$G:$G,Sheet1!$F:$F),IFERROR(_xlfn.XLOOKUP(1,(--($X$2:$X$1074=X533))*(--ISNUMBER(MATCH($H$2:$H$1074,Sheet1!$G:$G,0))),_xlfn.XLOOKUP($H$2:$H$1074,Sheet1!$G:$G,Sheet1!$F:$F,"")),"NOT FOUND"))</f>
        <v>GETKRTSFUT6087</v>
      </c>
      <c r="AF533" s="9" t="str">
        <f t="shared" si="37"/>
        <v>CORAL</v>
      </c>
      <c r="AG533" s="10" t="str">
        <f t="shared" si="38"/>
        <v>HARIPAL</v>
      </c>
      <c r="AH533" s="8" t="str" cm="1">
        <f t="array" ref="AH533">IF(OR(J533="",AE533="",AE533="NOT FOUND"),"",IF(Y533="RP",_xlfn.LET(_xlpm.desc,_xlfn.XLOOKUP(1,(--(Sheet1!$F$2:$F$754=AE533))*(--ISNUMBER(FIND("-",Sheet1!$W$2:$W$754,FIND("-",Sheet1!$W$2:$W$754)+1))),Sheet1!$W$2:$W$754,""),IF(_xlpm.desc="","NOT FOUND",LEFT(_xlpm.desc,FIND("-",_xlpm.desc,FIND("-",_xlpm.desc)+1))&amp;AE533)),LEFT(J533,FIND("-",J533,FIND("-",J533)+1))&amp;AE533))</f>
        <v>KRTS-APWN26-GETKRTSFUT6087</v>
      </c>
    </row>
    <row r="534" spans="1:34" ht="15.75" customHeight="1" x14ac:dyDescent="0.2">
      <c r="A534" t="s">
        <v>61</v>
      </c>
      <c r="B534" t="s">
        <v>329</v>
      </c>
      <c r="C534" t="s">
        <v>64</v>
      </c>
      <c r="D534" t="s">
        <v>98</v>
      </c>
      <c r="E534" t="s">
        <v>34</v>
      </c>
      <c r="F534" t="s">
        <v>35</v>
      </c>
      <c r="G534" t="s">
        <v>43</v>
      </c>
      <c r="H534" t="s">
        <v>265</v>
      </c>
      <c r="I534" t="s">
        <v>266</v>
      </c>
      <c r="J534" t="s">
        <v>267</v>
      </c>
      <c r="K534" t="s">
        <v>474</v>
      </c>
      <c r="L534" t="s">
        <v>40</v>
      </c>
      <c r="M534">
        <v>1</v>
      </c>
      <c r="N534">
        <v>186</v>
      </c>
      <c r="O534">
        <v>186</v>
      </c>
      <c r="P534" t="s">
        <v>41</v>
      </c>
      <c r="Q534">
        <v>324.7</v>
      </c>
      <c r="R534">
        <v>324.7</v>
      </c>
      <c r="S534">
        <v>3019.71</v>
      </c>
      <c r="T534">
        <v>60394.2</v>
      </c>
      <c r="U534">
        <v>5</v>
      </c>
      <c r="V534" t="s">
        <v>42</v>
      </c>
      <c r="W534" t="s">
        <v>474</v>
      </c>
      <c r="X534" s="6" t="str">
        <f t="shared" si="30"/>
        <v>441811096</v>
      </c>
      <c r="Y534" s="7" t="str">
        <f t="shared" si="31"/>
        <v>DC</v>
      </c>
      <c r="Z534" s="7">
        <f t="shared" si="32"/>
        <v>0</v>
      </c>
      <c r="AA534" s="7">
        <f t="shared" si="33"/>
        <v>0</v>
      </c>
      <c r="AB534" s="7">
        <f t="shared" si="34"/>
        <v>186</v>
      </c>
      <c r="AC534" s="7">
        <f t="shared" si="35"/>
        <v>0</v>
      </c>
      <c r="AD534" s="7">
        <f t="shared" si="36"/>
        <v>0</v>
      </c>
      <c r="AE534" s="8" t="str" cm="1">
        <f t="array" ref="AE534">IFERROR(_xlfn.XLOOKUP(H534,Sheet1!$G:$G,Sheet1!$F:$F),IFERROR(_xlfn.XLOOKUP(1,(--($X$2:$X$1074=X534))*(--ISNUMBER(MATCH($H$2:$H$1074,Sheet1!$G:$G,0))),_xlfn.XLOOKUP($H$2:$H$1074,Sheet1!$G:$G,Sheet1!$F:$F,"")),"NOT FOUND"))</f>
        <v>GETKRTSFUT6087</v>
      </c>
      <c r="AF534" s="9" t="str">
        <f t="shared" si="37"/>
        <v>CORAL</v>
      </c>
      <c r="AG534" s="10" t="str">
        <f t="shared" si="38"/>
        <v>HARIPAL</v>
      </c>
      <c r="AH534" s="8" t="str" cm="1">
        <f t="array" ref="AH534">IF(OR(J534="",AE534="",AE534="NOT FOUND"),"",IF(Y534="RP",_xlfn.LET(_xlpm.desc,_xlfn.XLOOKUP(1,(--(Sheet1!$F$2:$F$754=AE534))*(--ISNUMBER(FIND("-",Sheet1!$W$2:$W$754,FIND("-",Sheet1!$W$2:$W$754)+1))),Sheet1!$W$2:$W$754,""),IF(_xlpm.desc="","NOT FOUND",LEFT(_xlpm.desc,FIND("-",_xlpm.desc,FIND("-",_xlpm.desc)+1))&amp;AE534)),LEFT(J534,FIND("-",J534,FIND("-",J534)+1))&amp;AE534))</f>
        <v>KRTS-APWN26-GETKRTSFUT6087</v>
      </c>
    </row>
    <row r="535" spans="1:34" ht="15.75" customHeight="1" x14ac:dyDescent="0.2">
      <c r="A535" t="s">
        <v>61</v>
      </c>
      <c r="B535" t="s">
        <v>329</v>
      </c>
      <c r="C535" t="s">
        <v>64</v>
      </c>
      <c r="D535" t="s">
        <v>98</v>
      </c>
      <c r="E535" t="s">
        <v>34</v>
      </c>
      <c r="F535" t="s">
        <v>35</v>
      </c>
      <c r="G535" t="s">
        <v>47</v>
      </c>
      <c r="H535" t="s">
        <v>268</v>
      </c>
      <c r="I535" t="s">
        <v>269</v>
      </c>
      <c r="J535" t="s">
        <v>270</v>
      </c>
      <c r="K535" t="s">
        <v>474</v>
      </c>
      <c r="L535" t="s">
        <v>40</v>
      </c>
      <c r="M535">
        <v>1</v>
      </c>
      <c r="N535">
        <v>186</v>
      </c>
      <c r="O535">
        <v>186</v>
      </c>
      <c r="P535" t="s">
        <v>41</v>
      </c>
      <c r="Q535">
        <v>324.7</v>
      </c>
      <c r="R535">
        <v>324.7</v>
      </c>
      <c r="S535">
        <v>3019.71</v>
      </c>
      <c r="T535">
        <v>60394.2</v>
      </c>
      <c r="U535">
        <v>5</v>
      </c>
      <c r="V535" t="s">
        <v>42</v>
      </c>
      <c r="W535" t="s">
        <v>474</v>
      </c>
      <c r="X535" s="6" t="str">
        <f t="shared" si="30"/>
        <v>441811096</v>
      </c>
      <c r="Y535" s="7" t="str">
        <f t="shared" si="31"/>
        <v>DC</v>
      </c>
      <c r="Z535" s="7">
        <f t="shared" si="32"/>
        <v>0</v>
      </c>
      <c r="AA535" s="7">
        <f t="shared" si="33"/>
        <v>186</v>
      </c>
      <c r="AB535" s="7">
        <f t="shared" si="34"/>
        <v>0</v>
      </c>
      <c r="AC535" s="7">
        <f t="shared" si="35"/>
        <v>0</v>
      </c>
      <c r="AD535" s="7">
        <f t="shared" si="36"/>
        <v>0</v>
      </c>
      <c r="AE535" s="8" t="str" cm="1">
        <f t="array" ref="AE535">IFERROR(_xlfn.XLOOKUP(H535,Sheet1!$G:$G,Sheet1!$F:$F),IFERROR(_xlfn.XLOOKUP(1,(--($X$2:$X$1074=X535))*(--ISNUMBER(MATCH($H$2:$H$1074,Sheet1!$G:$G,0))),_xlfn.XLOOKUP($H$2:$H$1074,Sheet1!$G:$G,Sheet1!$F:$F,"")),"NOT FOUND"))</f>
        <v>GETKRTSFUT6087</v>
      </c>
      <c r="AF535" s="9" t="str">
        <f t="shared" si="37"/>
        <v>CORAL</v>
      </c>
      <c r="AG535" s="10" t="str">
        <f t="shared" si="38"/>
        <v>HARIPAL</v>
      </c>
      <c r="AH535" s="8" t="str" cm="1">
        <f t="array" ref="AH535">IF(OR(J535="",AE535="",AE535="NOT FOUND"),"",IF(Y535="RP",_xlfn.LET(_xlpm.desc,_xlfn.XLOOKUP(1,(--(Sheet1!$F$2:$F$754=AE535))*(--ISNUMBER(FIND("-",Sheet1!$W$2:$W$754,FIND("-",Sheet1!$W$2:$W$754)+1))),Sheet1!$W$2:$W$754,""),IF(_xlpm.desc="","NOT FOUND",LEFT(_xlpm.desc,FIND("-",_xlpm.desc,FIND("-",_xlpm.desc)+1))&amp;AE535)),LEFT(J535,FIND("-",J535,FIND("-",J535)+1))&amp;AE535))</f>
        <v>KRTS-APWN26-GETKRTSFUT6087</v>
      </c>
    </row>
    <row r="536" spans="1:34" ht="15.75" customHeight="1" x14ac:dyDescent="0.2">
      <c r="A536" t="s">
        <v>61</v>
      </c>
      <c r="B536" t="s">
        <v>329</v>
      </c>
      <c r="C536" t="s">
        <v>64</v>
      </c>
      <c r="D536" t="s">
        <v>98</v>
      </c>
      <c r="E536" t="s">
        <v>34</v>
      </c>
      <c r="F536" t="s">
        <v>35</v>
      </c>
      <c r="G536" t="s">
        <v>51</v>
      </c>
      <c r="H536" t="s">
        <v>271</v>
      </c>
      <c r="I536" t="s">
        <v>272</v>
      </c>
      <c r="J536" t="s">
        <v>273</v>
      </c>
      <c r="K536" t="s">
        <v>474</v>
      </c>
      <c r="L536" t="s">
        <v>40</v>
      </c>
      <c r="M536">
        <v>1</v>
      </c>
      <c r="N536">
        <v>30</v>
      </c>
      <c r="O536">
        <v>30</v>
      </c>
      <c r="P536" t="s">
        <v>41</v>
      </c>
      <c r="Q536">
        <v>324.7</v>
      </c>
      <c r="R536">
        <v>324.7</v>
      </c>
      <c r="S536">
        <v>487.05</v>
      </c>
      <c r="T536">
        <v>9741</v>
      </c>
      <c r="U536">
        <v>5</v>
      </c>
      <c r="V536" t="s">
        <v>42</v>
      </c>
      <c r="W536" t="s">
        <v>474</v>
      </c>
      <c r="X536" s="6" t="str">
        <f t="shared" si="30"/>
        <v>441811096</v>
      </c>
      <c r="Y536" s="7" t="str">
        <f t="shared" si="31"/>
        <v>DC</v>
      </c>
      <c r="Z536" s="7">
        <f t="shared" si="32"/>
        <v>30</v>
      </c>
      <c r="AA536" s="7">
        <f t="shared" si="33"/>
        <v>0</v>
      </c>
      <c r="AB536" s="7">
        <f t="shared" si="34"/>
        <v>0</v>
      </c>
      <c r="AC536" s="7">
        <f t="shared" si="35"/>
        <v>0</v>
      </c>
      <c r="AD536" s="7">
        <f t="shared" si="36"/>
        <v>0</v>
      </c>
      <c r="AE536" s="8" t="str" cm="1">
        <f t="array" ref="AE536">IFERROR(_xlfn.XLOOKUP(H536,Sheet1!$G:$G,Sheet1!$F:$F),IFERROR(_xlfn.XLOOKUP(1,(--($X$2:$X$1074=X536))*(--ISNUMBER(MATCH($H$2:$H$1074,Sheet1!$G:$G,0))),_xlfn.XLOOKUP($H$2:$H$1074,Sheet1!$G:$G,Sheet1!$F:$F,"")),"NOT FOUND"))</f>
        <v>GETKRTSFUT6087</v>
      </c>
      <c r="AF536" s="9" t="str">
        <f t="shared" si="37"/>
        <v>CORAL</v>
      </c>
      <c r="AG536" s="10" t="str">
        <f t="shared" si="38"/>
        <v>HARIPAL</v>
      </c>
      <c r="AH536" s="8" t="str" cm="1">
        <f t="array" ref="AH536">IF(OR(J536="",AE536="",AE536="NOT FOUND"),"",IF(Y536="RP",_xlfn.LET(_xlpm.desc,_xlfn.XLOOKUP(1,(--(Sheet1!$F$2:$F$754=AE536))*(--ISNUMBER(FIND("-",Sheet1!$W$2:$W$754,FIND("-",Sheet1!$W$2:$W$754)+1))),Sheet1!$W$2:$W$754,""),IF(_xlpm.desc="","NOT FOUND",LEFT(_xlpm.desc,FIND("-",_xlpm.desc,FIND("-",_xlpm.desc)+1))&amp;AE536)),LEFT(J536,FIND("-",J536,FIND("-",J536)+1))&amp;AE536))</f>
        <v>KRTS-APWN26-GETKRTSFUT6087</v>
      </c>
    </row>
    <row r="537" spans="1:34" ht="15.75" customHeight="1" x14ac:dyDescent="0.2">
      <c r="A537" t="s">
        <v>61</v>
      </c>
      <c r="B537" t="s">
        <v>329</v>
      </c>
      <c r="C537" t="s">
        <v>64</v>
      </c>
      <c r="D537" t="s">
        <v>98</v>
      </c>
      <c r="E537" t="s">
        <v>34</v>
      </c>
      <c r="F537" t="s">
        <v>35</v>
      </c>
      <c r="G537" t="s">
        <v>55</v>
      </c>
      <c r="H537" t="s">
        <v>274</v>
      </c>
      <c r="I537" t="s">
        <v>275</v>
      </c>
      <c r="J537" t="s">
        <v>276</v>
      </c>
      <c r="K537" t="s">
        <v>474</v>
      </c>
      <c r="L537" t="s">
        <v>40</v>
      </c>
      <c r="M537">
        <v>1</v>
      </c>
      <c r="N537">
        <v>157</v>
      </c>
      <c r="O537">
        <v>157</v>
      </c>
      <c r="P537" t="s">
        <v>41</v>
      </c>
      <c r="Q537">
        <v>324.7</v>
      </c>
      <c r="R537">
        <v>324.7</v>
      </c>
      <c r="S537">
        <v>2548.9</v>
      </c>
      <c r="T537">
        <v>50977.9</v>
      </c>
      <c r="U537">
        <v>5</v>
      </c>
      <c r="V537" t="s">
        <v>42</v>
      </c>
      <c r="W537" t="s">
        <v>474</v>
      </c>
      <c r="X537" s="6" t="str">
        <f t="shared" si="30"/>
        <v>441811096</v>
      </c>
      <c r="Y537" s="7" t="str">
        <f t="shared" si="31"/>
        <v>DC</v>
      </c>
      <c r="Z537" s="7">
        <f t="shared" si="32"/>
        <v>0</v>
      </c>
      <c r="AA537" s="7">
        <f t="shared" si="33"/>
        <v>0</v>
      </c>
      <c r="AB537" s="7">
        <f t="shared" si="34"/>
        <v>0</v>
      </c>
      <c r="AC537" s="7">
        <f t="shared" si="35"/>
        <v>157</v>
      </c>
      <c r="AD537" s="7">
        <f t="shared" si="36"/>
        <v>0</v>
      </c>
      <c r="AE537" s="8" t="str" cm="1">
        <f t="array" ref="AE537">IFERROR(_xlfn.XLOOKUP(H537,Sheet1!$G:$G,Sheet1!$F:$F),IFERROR(_xlfn.XLOOKUP(1,(--($X$2:$X$1074=X537))*(--ISNUMBER(MATCH($H$2:$H$1074,Sheet1!$G:$G,0))),_xlfn.XLOOKUP($H$2:$H$1074,Sheet1!$G:$G,Sheet1!$F:$F,"")),"NOT FOUND"))</f>
        <v>GETKRTSFUT6087</v>
      </c>
      <c r="AF537" s="9" t="str">
        <f t="shared" si="37"/>
        <v>CORAL</v>
      </c>
      <c r="AG537" s="10" t="str">
        <f t="shared" si="38"/>
        <v>HARIPAL</v>
      </c>
      <c r="AH537" s="8" t="str" cm="1">
        <f t="array" ref="AH537">IF(OR(J537="",AE537="",AE537="NOT FOUND"),"",IF(Y537="RP",_xlfn.LET(_xlpm.desc,_xlfn.XLOOKUP(1,(--(Sheet1!$F$2:$F$754=AE537))*(--ISNUMBER(FIND("-",Sheet1!$W$2:$W$754,FIND("-",Sheet1!$W$2:$W$754)+1))),Sheet1!$W$2:$W$754,""),IF(_xlpm.desc="","NOT FOUND",LEFT(_xlpm.desc,FIND("-",_xlpm.desc,FIND("-",_xlpm.desc)+1))&amp;AE537)),LEFT(J537,FIND("-",J537,FIND("-",J537)+1))&amp;AE537))</f>
        <v>KRTS-APWN26-GETKRTSFUT6087</v>
      </c>
    </row>
    <row r="538" spans="1:34" ht="15.75" customHeight="1" x14ac:dyDescent="0.2">
      <c r="A538" t="s">
        <v>61</v>
      </c>
      <c r="B538" t="s">
        <v>330</v>
      </c>
      <c r="C538" t="s">
        <v>64</v>
      </c>
      <c r="D538" t="s">
        <v>410</v>
      </c>
      <c r="E538" t="s">
        <v>34</v>
      </c>
      <c r="F538" t="s">
        <v>35</v>
      </c>
      <c r="G538" t="s">
        <v>43</v>
      </c>
      <c r="H538" t="s">
        <v>278</v>
      </c>
      <c r="I538" t="s">
        <v>279</v>
      </c>
      <c r="J538" t="s">
        <v>280</v>
      </c>
      <c r="K538" t="s">
        <v>474</v>
      </c>
      <c r="L538" t="s">
        <v>40</v>
      </c>
      <c r="M538">
        <v>1</v>
      </c>
      <c r="N538">
        <v>186</v>
      </c>
      <c r="O538">
        <v>186</v>
      </c>
      <c r="P538" t="s">
        <v>41</v>
      </c>
      <c r="Q538">
        <v>324.7</v>
      </c>
      <c r="R538">
        <v>324.7</v>
      </c>
      <c r="S538">
        <v>3019.71</v>
      </c>
      <c r="T538">
        <v>60394.2</v>
      </c>
      <c r="U538">
        <v>5</v>
      </c>
      <c r="V538" t="s">
        <v>42</v>
      </c>
      <c r="W538" t="s">
        <v>474</v>
      </c>
      <c r="X538" s="6" t="str">
        <f t="shared" si="30"/>
        <v>441811095</v>
      </c>
      <c r="Y538" s="7" t="str">
        <f t="shared" si="31"/>
        <v>DC</v>
      </c>
      <c r="Z538" s="7">
        <f t="shared" si="32"/>
        <v>0</v>
      </c>
      <c r="AA538" s="7">
        <f t="shared" si="33"/>
        <v>0</v>
      </c>
      <c r="AB538" s="7">
        <f t="shared" si="34"/>
        <v>186</v>
      </c>
      <c r="AC538" s="7">
        <f t="shared" si="35"/>
        <v>0</v>
      </c>
      <c r="AD538" s="7">
        <f t="shared" si="36"/>
        <v>0</v>
      </c>
      <c r="AE538" s="8" t="str" cm="1">
        <f t="array" ref="AE538">IFERROR(_xlfn.XLOOKUP(H538,Sheet1!$G:$G,Sheet1!$F:$F),IFERROR(_xlfn.XLOOKUP(1,(--($X$2:$X$1074=X538))*(--ISNUMBER(MATCH($H$2:$H$1074,Sheet1!$G:$G,0))),_xlfn.XLOOKUP($H$2:$H$1074,Sheet1!$G:$G,Sheet1!$F:$F,"")),"NOT FOUND"))</f>
        <v>GETKRTSFUT6012</v>
      </c>
      <c r="AF538" s="9" t="str">
        <f t="shared" si="37"/>
        <v>MAROON</v>
      </c>
      <c r="AG538" s="10" t="str">
        <f t="shared" si="38"/>
        <v>HARIPAL</v>
      </c>
      <c r="AH538" s="8" t="str" cm="1">
        <f t="array" ref="AH538">IF(OR(J538="",AE538="",AE538="NOT FOUND"),"",IF(Y538="RP",_xlfn.LET(_xlpm.desc,_xlfn.XLOOKUP(1,(--(Sheet1!$F$2:$F$754=AE538))*(--ISNUMBER(FIND("-",Sheet1!$W$2:$W$754,FIND("-",Sheet1!$W$2:$W$754)+1))),Sheet1!$W$2:$W$754,""),IF(_xlpm.desc="","NOT FOUND",LEFT(_xlpm.desc,FIND("-",_xlpm.desc,FIND("-",_xlpm.desc)+1))&amp;AE538)),LEFT(J538,FIND("-",J538,FIND("-",J538)+1))&amp;AE538))</f>
        <v>KRTS-APWN26-GETKRTSFUT6012</v>
      </c>
    </row>
    <row r="539" spans="1:34" ht="15.75" customHeight="1" x14ac:dyDescent="0.2">
      <c r="A539" t="s">
        <v>61</v>
      </c>
      <c r="B539" t="s">
        <v>330</v>
      </c>
      <c r="C539" t="s">
        <v>64</v>
      </c>
      <c r="D539" t="s">
        <v>410</v>
      </c>
      <c r="E539" t="s">
        <v>34</v>
      </c>
      <c r="F539" t="s">
        <v>35</v>
      </c>
      <c r="G539" t="s">
        <v>47</v>
      </c>
      <c r="H539" t="s">
        <v>281</v>
      </c>
      <c r="I539" t="s">
        <v>282</v>
      </c>
      <c r="J539" t="s">
        <v>283</v>
      </c>
      <c r="K539" t="s">
        <v>474</v>
      </c>
      <c r="L539" t="s">
        <v>40</v>
      </c>
      <c r="M539">
        <v>1</v>
      </c>
      <c r="N539">
        <v>186</v>
      </c>
      <c r="O539">
        <v>186</v>
      </c>
      <c r="P539" t="s">
        <v>41</v>
      </c>
      <c r="Q539">
        <v>324.7</v>
      </c>
      <c r="R539">
        <v>324.7</v>
      </c>
      <c r="S539">
        <v>3019.71</v>
      </c>
      <c r="T539">
        <v>60394.2</v>
      </c>
      <c r="U539">
        <v>5</v>
      </c>
      <c r="V539" t="s">
        <v>42</v>
      </c>
      <c r="W539" t="s">
        <v>474</v>
      </c>
      <c r="X539" s="6" t="str">
        <f t="shared" si="30"/>
        <v>441811095</v>
      </c>
      <c r="Y539" s="7" t="str">
        <f t="shared" si="31"/>
        <v>DC</v>
      </c>
      <c r="Z539" s="7">
        <f t="shared" si="32"/>
        <v>0</v>
      </c>
      <c r="AA539" s="7">
        <f t="shared" si="33"/>
        <v>186</v>
      </c>
      <c r="AB539" s="7">
        <f t="shared" si="34"/>
        <v>0</v>
      </c>
      <c r="AC539" s="7">
        <f t="shared" si="35"/>
        <v>0</v>
      </c>
      <c r="AD539" s="7">
        <f t="shared" si="36"/>
        <v>0</v>
      </c>
      <c r="AE539" s="8" t="str" cm="1">
        <f t="array" ref="AE539">IFERROR(_xlfn.XLOOKUP(H539,Sheet1!$G:$G,Sheet1!$F:$F),IFERROR(_xlfn.XLOOKUP(1,(--($X$2:$X$1074=X539))*(--ISNUMBER(MATCH($H$2:$H$1074,Sheet1!$G:$G,0))),_xlfn.XLOOKUP($H$2:$H$1074,Sheet1!$G:$G,Sheet1!$F:$F,"")),"NOT FOUND"))</f>
        <v>GETKRTSFUT6012</v>
      </c>
      <c r="AF539" s="9" t="str">
        <f t="shared" si="37"/>
        <v>MAROON</v>
      </c>
      <c r="AG539" s="10" t="str">
        <f t="shared" si="38"/>
        <v>HARIPAL</v>
      </c>
      <c r="AH539" s="8" t="str" cm="1">
        <f t="array" ref="AH539">IF(OR(J539="",AE539="",AE539="NOT FOUND"),"",IF(Y539="RP",_xlfn.LET(_xlpm.desc,_xlfn.XLOOKUP(1,(--(Sheet1!$F$2:$F$754=AE539))*(--ISNUMBER(FIND("-",Sheet1!$W$2:$W$754,FIND("-",Sheet1!$W$2:$W$754)+1))),Sheet1!$W$2:$W$754,""),IF(_xlpm.desc="","NOT FOUND",LEFT(_xlpm.desc,FIND("-",_xlpm.desc,FIND("-",_xlpm.desc)+1))&amp;AE539)),LEFT(J539,FIND("-",J539,FIND("-",J539)+1))&amp;AE539))</f>
        <v>KRTS-APWN26-GETKRTSFUT6012</v>
      </c>
    </row>
    <row r="540" spans="1:34" ht="15.75" customHeight="1" x14ac:dyDescent="0.2">
      <c r="A540" t="s">
        <v>61</v>
      </c>
      <c r="B540" t="s">
        <v>330</v>
      </c>
      <c r="C540" t="s">
        <v>64</v>
      </c>
      <c r="D540" t="s">
        <v>410</v>
      </c>
      <c r="E540" t="s">
        <v>34</v>
      </c>
      <c r="F540" t="s">
        <v>35</v>
      </c>
      <c r="G540" t="s">
        <v>55</v>
      </c>
      <c r="H540" t="s">
        <v>287</v>
      </c>
      <c r="I540" t="s">
        <v>288</v>
      </c>
      <c r="J540" t="s">
        <v>289</v>
      </c>
      <c r="K540" t="s">
        <v>474</v>
      </c>
      <c r="L540" t="s">
        <v>40</v>
      </c>
      <c r="M540">
        <v>1</v>
      </c>
      <c r="N540">
        <v>157</v>
      </c>
      <c r="O540">
        <v>157</v>
      </c>
      <c r="P540" t="s">
        <v>41</v>
      </c>
      <c r="Q540">
        <v>324.7</v>
      </c>
      <c r="R540">
        <v>324.7</v>
      </c>
      <c r="S540">
        <v>2548.9</v>
      </c>
      <c r="T540">
        <v>50977.9</v>
      </c>
      <c r="U540">
        <v>5</v>
      </c>
      <c r="V540" t="s">
        <v>42</v>
      </c>
      <c r="W540" t="s">
        <v>474</v>
      </c>
      <c r="X540" s="6" t="str">
        <f t="shared" si="30"/>
        <v>441811095</v>
      </c>
      <c r="Y540" s="7" t="str">
        <f t="shared" si="31"/>
        <v>DC</v>
      </c>
      <c r="Z540" s="7">
        <f t="shared" si="32"/>
        <v>0</v>
      </c>
      <c r="AA540" s="7">
        <f t="shared" si="33"/>
        <v>0</v>
      </c>
      <c r="AB540" s="7">
        <f t="shared" si="34"/>
        <v>0</v>
      </c>
      <c r="AC540" s="7">
        <f t="shared" si="35"/>
        <v>157</v>
      </c>
      <c r="AD540" s="7">
        <f t="shared" si="36"/>
        <v>0</v>
      </c>
      <c r="AE540" s="8" t="str" cm="1">
        <f t="array" ref="AE540">IFERROR(_xlfn.XLOOKUP(H540,Sheet1!$G:$G,Sheet1!$F:$F),IFERROR(_xlfn.XLOOKUP(1,(--($X$2:$X$1074=X540))*(--ISNUMBER(MATCH($H$2:$H$1074,Sheet1!$G:$G,0))),_xlfn.XLOOKUP($H$2:$H$1074,Sheet1!$G:$G,Sheet1!$F:$F,"")),"NOT FOUND"))</f>
        <v>GETKRTSFUT6012</v>
      </c>
      <c r="AF540" s="9" t="str">
        <f t="shared" si="37"/>
        <v>MAROON</v>
      </c>
      <c r="AG540" s="10" t="str">
        <f t="shared" si="38"/>
        <v>HARIPAL</v>
      </c>
      <c r="AH540" s="8" t="str" cm="1">
        <f t="array" ref="AH540">IF(OR(J540="",AE540="",AE540="NOT FOUND"),"",IF(Y540="RP",_xlfn.LET(_xlpm.desc,_xlfn.XLOOKUP(1,(--(Sheet1!$F$2:$F$754=AE540))*(--ISNUMBER(FIND("-",Sheet1!$W$2:$W$754,FIND("-",Sheet1!$W$2:$W$754)+1))),Sheet1!$W$2:$W$754,""),IF(_xlpm.desc="","NOT FOUND",LEFT(_xlpm.desc,FIND("-",_xlpm.desc,FIND("-",_xlpm.desc)+1))&amp;AE540)),LEFT(J540,FIND("-",J540,FIND("-",J540)+1))&amp;AE540))</f>
        <v>KRTS-APWN26-GETKRTSFUT6012</v>
      </c>
    </row>
    <row r="541" spans="1:34" ht="15.75" customHeight="1" x14ac:dyDescent="0.2">
      <c r="A541" t="s">
        <v>61</v>
      </c>
      <c r="B541" t="s">
        <v>331</v>
      </c>
      <c r="C541" t="s">
        <v>64</v>
      </c>
      <c r="D541" t="s">
        <v>1158</v>
      </c>
      <c r="E541" t="s">
        <v>34</v>
      </c>
      <c r="F541" t="s">
        <v>35</v>
      </c>
      <c r="G541" t="s">
        <v>36</v>
      </c>
      <c r="H541" t="s">
        <v>293</v>
      </c>
      <c r="I541" t="s">
        <v>294</v>
      </c>
      <c r="J541" t="s">
        <v>295</v>
      </c>
      <c r="K541" t="s">
        <v>474</v>
      </c>
      <c r="L541" t="s">
        <v>40</v>
      </c>
      <c r="M541">
        <v>1</v>
      </c>
      <c r="N541">
        <v>30</v>
      </c>
      <c r="O541">
        <v>30</v>
      </c>
      <c r="P541" t="s">
        <v>41</v>
      </c>
      <c r="Q541">
        <v>374.7</v>
      </c>
      <c r="R541">
        <v>374.7</v>
      </c>
      <c r="S541">
        <v>562.04999999999995</v>
      </c>
      <c r="T541">
        <v>11241</v>
      </c>
      <c r="U541">
        <v>5</v>
      </c>
      <c r="V541" t="s">
        <v>42</v>
      </c>
      <c r="W541" t="s">
        <v>474</v>
      </c>
      <c r="X541" s="6" t="str">
        <f t="shared" si="30"/>
        <v>441811094</v>
      </c>
      <c r="Y541" s="7" t="str">
        <f t="shared" si="31"/>
        <v>DC</v>
      </c>
      <c r="Z541" s="7">
        <f t="shared" si="32"/>
        <v>0</v>
      </c>
      <c r="AA541" s="7">
        <f t="shared" si="33"/>
        <v>0</v>
      </c>
      <c r="AB541" s="7">
        <f t="shared" si="34"/>
        <v>0</v>
      </c>
      <c r="AC541" s="7">
        <f t="shared" si="35"/>
        <v>0</v>
      </c>
      <c r="AD541" s="7">
        <f t="shared" si="36"/>
        <v>30</v>
      </c>
      <c r="AE541" s="8" t="str" cm="1">
        <f t="array" ref="AE541">IFERROR(_xlfn.XLOOKUP(H541,Sheet1!$G:$G,Sheet1!$F:$F),IFERROR(_xlfn.XLOOKUP(1,(--($X$2:$X$1074=X541))*(--ISNUMBER(MATCH($H$2:$H$1074,Sheet1!$G:$G,0))),_xlfn.XLOOKUP($H$2:$H$1074,Sheet1!$G:$G,Sheet1!$F:$F,"")),"NOT FOUND"))</f>
        <v>GETKRTSFUT6002</v>
      </c>
      <c r="AF541" s="9" t="str">
        <f t="shared" si="37"/>
        <v>MUSTARD</v>
      </c>
      <c r="AG541" s="10" t="str">
        <f t="shared" si="38"/>
        <v>HARIPAL</v>
      </c>
      <c r="AH541" s="8" t="str" cm="1">
        <f t="array" ref="AH541">IF(OR(J541="",AE541="",AE541="NOT FOUND"),"",IF(Y541="RP",_xlfn.LET(_xlpm.desc,_xlfn.XLOOKUP(1,(--(Sheet1!$F$2:$F$754=AE541))*(--ISNUMBER(FIND("-",Sheet1!$W$2:$W$754,FIND("-",Sheet1!$W$2:$W$754)+1))),Sheet1!$W$2:$W$754,""),IF(_xlpm.desc="","NOT FOUND",LEFT(_xlpm.desc,FIND("-",_xlpm.desc,FIND("-",_xlpm.desc)+1))&amp;AE541)),LEFT(J541,FIND("-",J541,FIND("-",J541)+1))&amp;AE541))</f>
        <v>KRTS-APWN26-GETKRTSFUT6002</v>
      </c>
    </row>
    <row r="542" spans="1:34" ht="15.75" customHeight="1" x14ac:dyDescent="0.2">
      <c r="A542" t="s">
        <v>61</v>
      </c>
      <c r="B542" t="s">
        <v>331</v>
      </c>
      <c r="C542" t="s">
        <v>64</v>
      </c>
      <c r="D542" t="s">
        <v>1158</v>
      </c>
      <c r="E542" t="s">
        <v>34</v>
      </c>
      <c r="F542" t="s">
        <v>35</v>
      </c>
      <c r="G542" t="s">
        <v>43</v>
      </c>
      <c r="H542" t="s">
        <v>296</v>
      </c>
      <c r="I542" t="s">
        <v>297</v>
      </c>
      <c r="J542" t="s">
        <v>298</v>
      </c>
      <c r="K542" t="s">
        <v>474</v>
      </c>
      <c r="L542" t="s">
        <v>40</v>
      </c>
      <c r="M542">
        <v>1</v>
      </c>
      <c r="N542">
        <v>142</v>
      </c>
      <c r="O542">
        <v>142</v>
      </c>
      <c r="P542" t="s">
        <v>41</v>
      </c>
      <c r="Q542">
        <v>374.7</v>
      </c>
      <c r="R542">
        <v>374.7</v>
      </c>
      <c r="S542">
        <v>2660.37</v>
      </c>
      <c r="T542">
        <v>53207.4</v>
      </c>
      <c r="U542">
        <v>5</v>
      </c>
      <c r="V542" t="s">
        <v>42</v>
      </c>
      <c r="W542" t="s">
        <v>474</v>
      </c>
      <c r="X542" s="6" t="str">
        <f t="shared" si="30"/>
        <v>441811094</v>
      </c>
      <c r="Y542" s="7" t="str">
        <f t="shared" si="31"/>
        <v>DC</v>
      </c>
      <c r="Z542" s="7">
        <f t="shared" si="32"/>
        <v>0</v>
      </c>
      <c r="AA542" s="7">
        <f t="shared" si="33"/>
        <v>0</v>
      </c>
      <c r="AB542" s="7">
        <f t="shared" si="34"/>
        <v>142</v>
      </c>
      <c r="AC542" s="7">
        <f t="shared" si="35"/>
        <v>0</v>
      </c>
      <c r="AD542" s="7">
        <f t="shared" si="36"/>
        <v>0</v>
      </c>
      <c r="AE542" s="8" t="str" cm="1">
        <f t="array" ref="AE542">IFERROR(_xlfn.XLOOKUP(H542,Sheet1!$G:$G,Sheet1!$F:$F),IFERROR(_xlfn.XLOOKUP(1,(--($X$2:$X$1074=X542))*(--ISNUMBER(MATCH($H$2:$H$1074,Sheet1!$G:$G,0))),_xlfn.XLOOKUP($H$2:$H$1074,Sheet1!$G:$G,Sheet1!$F:$F,"")),"NOT FOUND"))</f>
        <v>GETKRTSFUT6002</v>
      </c>
      <c r="AF542" s="9" t="str">
        <f t="shared" si="37"/>
        <v>MUSTARD</v>
      </c>
      <c r="AG542" s="10" t="str">
        <f t="shared" si="38"/>
        <v>HARIPAL</v>
      </c>
      <c r="AH542" s="8" t="str" cm="1">
        <f t="array" ref="AH542">IF(OR(J542="",AE542="",AE542="NOT FOUND"),"",IF(Y542="RP",_xlfn.LET(_xlpm.desc,_xlfn.XLOOKUP(1,(--(Sheet1!$F$2:$F$754=AE542))*(--ISNUMBER(FIND("-",Sheet1!$W$2:$W$754,FIND("-",Sheet1!$W$2:$W$754)+1))),Sheet1!$W$2:$W$754,""),IF(_xlpm.desc="","NOT FOUND",LEFT(_xlpm.desc,FIND("-",_xlpm.desc,FIND("-",_xlpm.desc)+1))&amp;AE542)),LEFT(J542,FIND("-",J542,FIND("-",J542)+1))&amp;AE542))</f>
        <v>KRTS-APWN26-GETKRTSFUT6002</v>
      </c>
    </row>
    <row r="543" spans="1:34" ht="15.75" customHeight="1" x14ac:dyDescent="0.2">
      <c r="A543" t="s">
        <v>61</v>
      </c>
      <c r="B543" t="s">
        <v>331</v>
      </c>
      <c r="C543" t="s">
        <v>64</v>
      </c>
      <c r="D543" t="s">
        <v>1158</v>
      </c>
      <c r="E543" t="s">
        <v>34</v>
      </c>
      <c r="F543" t="s">
        <v>35</v>
      </c>
      <c r="G543" t="s">
        <v>47</v>
      </c>
      <c r="H543" t="s">
        <v>299</v>
      </c>
      <c r="I543" t="s">
        <v>300</v>
      </c>
      <c r="J543" t="s">
        <v>301</v>
      </c>
      <c r="K543" t="s">
        <v>474</v>
      </c>
      <c r="L543" t="s">
        <v>40</v>
      </c>
      <c r="M543">
        <v>1</v>
      </c>
      <c r="N543">
        <v>142</v>
      </c>
      <c r="O543">
        <v>142</v>
      </c>
      <c r="P543" t="s">
        <v>41</v>
      </c>
      <c r="Q543">
        <v>374.7</v>
      </c>
      <c r="R543">
        <v>374.7</v>
      </c>
      <c r="S543">
        <v>2660.37</v>
      </c>
      <c r="T543">
        <v>53207.4</v>
      </c>
      <c r="U543">
        <v>5</v>
      </c>
      <c r="V543" t="s">
        <v>42</v>
      </c>
      <c r="W543" t="s">
        <v>474</v>
      </c>
      <c r="X543" s="6" t="str">
        <f t="shared" si="30"/>
        <v>441811094</v>
      </c>
      <c r="Y543" s="7" t="str">
        <f t="shared" si="31"/>
        <v>DC</v>
      </c>
      <c r="Z543" s="7">
        <f t="shared" si="32"/>
        <v>0</v>
      </c>
      <c r="AA543" s="7">
        <f t="shared" si="33"/>
        <v>142</v>
      </c>
      <c r="AB543" s="7">
        <f t="shared" si="34"/>
        <v>0</v>
      </c>
      <c r="AC543" s="7">
        <f t="shared" si="35"/>
        <v>0</v>
      </c>
      <c r="AD543" s="7">
        <f t="shared" si="36"/>
        <v>0</v>
      </c>
      <c r="AE543" s="8" t="str" cm="1">
        <f t="array" ref="AE543">IFERROR(_xlfn.XLOOKUP(H543,Sheet1!$G:$G,Sheet1!$F:$F),IFERROR(_xlfn.XLOOKUP(1,(--($X$2:$X$1074=X543))*(--ISNUMBER(MATCH($H$2:$H$1074,Sheet1!$G:$G,0))),_xlfn.XLOOKUP($H$2:$H$1074,Sheet1!$G:$G,Sheet1!$F:$F,"")),"NOT FOUND"))</f>
        <v>GETKRTSFUT6002</v>
      </c>
      <c r="AF543" s="9" t="str">
        <f t="shared" si="37"/>
        <v>MUSTARD</v>
      </c>
      <c r="AG543" s="10" t="str">
        <f t="shared" si="38"/>
        <v>HARIPAL</v>
      </c>
      <c r="AH543" s="8" t="str" cm="1">
        <f t="array" ref="AH543">IF(OR(J543="",AE543="",AE543="NOT FOUND"),"",IF(Y543="RP",_xlfn.LET(_xlpm.desc,_xlfn.XLOOKUP(1,(--(Sheet1!$F$2:$F$754=AE543))*(--ISNUMBER(FIND("-",Sheet1!$W$2:$W$754,FIND("-",Sheet1!$W$2:$W$754)+1))),Sheet1!$W$2:$W$754,""),IF(_xlpm.desc="","NOT FOUND",LEFT(_xlpm.desc,FIND("-",_xlpm.desc,FIND("-",_xlpm.desc)+1))&amp;AE543)),LEFT(J543,FIND("-",J543,FIND("-",J543)+1))&amp;AE543))</f>
        <v>KRTS-APWN26-GETKRTSFUT6002</v>
      </c>
    </row>
    <row r="544" spans="1:34" ht="15.75" customHeight="1" x14ac:dyDescent="0.2">
      <c r="A544" t="s">
        <v>61</v>
      </c>
      <c r="B544" t="s">
        <v>331</v>
      </c>
      <c r="C544" t="s">
        <v>64</v>
      </c>
      <c r="D544" t="s">
        <v>1158</v>
      </c>
      <c r="E544" t="s">
        <v>34</v>
      </c>
      <c r="F544" t="s">
        <v>35</v>
      </c>
      <c r="G544" t="s">
        <v>51</v>
      </c>
      <c r="H544" t="s">
        <v>302</v>
      </c>
      <c r="I544" t="s">
        <v>303</v>
      </c>
      <c r="J544" t="s">
        <v>304</v>
      </c>
      <c r="K544" t="s">
        <v>474</v>
      </c>
      <c r="L544" t="s">
        <v>40</v>
      </c>
      <c r="M544">
        <v>1</v>
      </c>
      <c r="N544">
        <v>30</v>
      </c>
      <c r="O544">
        <v>30</v>
      </c>
      <c r="P544" t="s">
        <v>41</v>
      </c>
      <c r="Q544">
        <v>374.7</v>
      </c>
      <c r="R544">
        <v>374.7</v>
      </c>
      <c r="S544">
        <v>562.04999999999995</v>
      </c>
      <c r="T544">
        <v>11241</v>
      </c>
      <c r="U544">
        <v>5</v>
      </c>
      <c r="V544" t="s">
        <v>42</v>
      </c>
      <c r="W544" t="s">
        <v>474</v>
      </c>
      <c r="X544" s="6" t="str">
        <f t="shared" si="30"/>
        <v>441811094</v>
      </c>
      <c r="Y544" s="7" t="str">
        <f t="shared" si="31"/>
        <v>DC</v>
      </c>
      <c r="Z544" s="7">
        <f t="shared" si="32"/>
        <v>30</v>
      </c>
      <c r="AA544" s="7">
        <f t="shared" si="33"/>
        <v>0</v>
      </c>
      <c r="AB544" s="7">
        <f t="shared" si="34"/>
        <v>0</v>
      </c>
      <c r="AC544" s="7">
        <f t="shared" si="35"/>
        <v>0</v>
      </c>
      <c r="AD544" s="7">
        <f t="shared" si="36"/>
        <v>0</v>
      </c>
      <c r="AE544" s="8" t="str" cm="1">
        <f t="array" ref="AE544">IFERROR(_xlfn.XLOOKUP(H544,Sheet1!$G:$G,Sheet1!$F:$F),IFERROR(_xlfn.XLOOKUP(1,(--($X$2:$X$1074=X544))*(--ISNUMBER(MATCH($H$2:$H$1074,Sheet1!$G:$G,0))),_xlfn.XLOOKUP($H$2:$H$1074,Sheet1!$G:$G,Sheet1!$F:$F,"")),"NOT FOUND"))</f>
        <v>GETKRTSFUT6002</v>
      </c>
      <c r="AF544" s="9" t="str">
        <f t="shared" si="37"/>
        <v>MUSTARD</v>
      </c>
      <c r="AG544" s="10" t="str">
        <f t="shared" si="38"/>
        <v>HARIPAL</v>
      </c>
      <c r="AH544" s="8" t="str" cm="1">
        <f t="array" ref="AH544">IF(OR(J544="",AE544="",AE544="NOT FOUND"),"",IF(Y544="RP",_xlfn.LET(_xlpm.desc,_xlfn.XLOOKUP(1,(--(Sheet1!$F$2:$F$754=AE544))*(--ISNUMBER(FIND("-",Sheet1!$W$2:$W$754,FIND("-",Sheet1!$W$2:$W$754)+1))),Sheet1!$W$2:$W$754,""),IF(_xlpm.desc="","NOT FOUND",LEFT(_xlpm.desc,FIND("-",_xlpm.desc,FIND("-",_xlpm.desc)+1))&amp;AE544)),LEFT(J544,FIND("-",J544,FIND("-",J544)+1))&amp;AE544))</f>
        <v>KRTS-APWN26-GETKRTSFUT6002</v>
      </c>
    </row>
    <row r="545" spans="1:34" ht="15.75" customHeight="1" x14ac:dyDescent="0.2">
      <c r="A545" t="s">
        <v>61</v>
      </c>
      <c r="B545" t="s">
        <v>331</v>
      </c>
      <c r="C545" t="s">
        <v>64</v>
      </c>
      <c r="D545" t="s">
        <v>1158</v>
      </c>
      <c r="E545" t="s">
        <v>34</v>
      </c>
      <c r="F545" t="s">
        <v>35</v>
      </c>
      <c r="G545" t="s">
        <v>55</v>
      </c>
      <c r="H545" t="s">
        <v>305</v>
      </c>
      <c r="I545" t="s">
        <v>306</v>
      </c>
      <c r="J545" t="s">
        <v>307</v>
      </c>
      <c r="K545" t="s">
        <v>474</v>
      </c>
      <c r="L545" t="s">
        <v>40</v>
      </c>
      <c r="M545">
        <v>1</v>
      </c>
      <c r="N545">
        <v>120</v>
      </c>
      <c r="O545">
        <v>120</v>
      </c>
      <c r="P545" t="s">
        <v>41</v>
      </c>
      <c r="Q545">
        <v>374.7</v>
      </c>
      <c r="R545">
        <v>374.7</v>
      </c>
      <c r="S545">
        <v>2248.1999999999998</v>
      </c>
      <c r="T545">
        <v>44964</v>
      </c>
      <c r="U545">
        <v>5</v>
      </c>
      <c r="V545" t="s">
        <v>42</v>
      </c>
      <c r="W545" t="s">
        <v>474</v>
      </c>
      <c r="X545" s="6" t="str">
        <f t="shared" si="30"/>
        <v>441811094</v>
      </c>
      <c r="Y545" s="7" t="str">
        <f t="shared" si="31"/>
        <v>DC</v>
      </c>
      <c r="Z545" s="7">
        <f t="shared" si="32"/>
        <v>0</v>
      </c>
      <c r="AA545" s="7">
        <f t="shared" si="33"/>
        <v>0</v>
      </c>
      <c r="AB545" s="7">
        <f t="shared" si="34"/>
        <v>0</v>
      </c>
      <c r="AC545" s="7">
        <f t="shared" si="35"/>
        <v>120</v>
      </c>
      <c r="AD545" s="7">
        <f t="shared" si="36"/>
        <v>0</v>
      </c>
      <c r="AE545" s="8" t="str" cm="1">
        <f t="array" ref="AE545">IFERROR(_xlfn.XLOOKUP(H545,Sheet1!$G:$G,Sheet1!$F:$F),IFERROR(_xlfn.XLOOKUP(1,(--($X$2:$X$1074=X545))*(--ISNUMBER(MATCH($H$2:$H$1074,Sheet1!$G:$G,0))),_xlfn.XLOOKUP($H$2:$H$1074,Sheet1!$G:$G,Sheet1!$F:$F,"")),"NOT FOUND"))</f>
        <v>GETKRTSFUT6002</v>
      </c>
      <c r="AF545" s="9" t="str">
        <f t="shared" si="37"/>
        <v>MUSTARD</v>
      </c>
      <c r="AG545" s="10" t="str">
        <f t="shared" si="38"/>
        <v>HARIPAL</v>
      </c>
      <c r="AH545" s="8" t="str" cm="1">
        <f t="array" ref="AH545">IF(OR(J545="",AE545="",AE545="NOT FOUND"),"",IF(Y545="RP",_xlfn.LET(_xlpm.desc,_xlfn.XLOOKUP(1,(--(Sheet1!$F$2:$F$754=AE545))*(--ISNUMBER(FIND("-",Sheet1!$W$2:$W$754,FIND("-",Sheet1!$W$2:$W$754)+1))),Sheet1!$W$2:$W$754,""),IF(_xlpm.desc="","NOT FOUND",LEFT(_xlpm.desc,FIND("-",_xlpm.desc,FIND("-",_xlpm.desc)+1))&amp;AE545)),LEFT(J545,FIND("-",J545,FIND("-",J545)+1))&amp;AE545))</f>
        <v>KRTS-APWN26-GETKRTSFUT6002</v>
      </c>
    </row>
    <row r="546" spans="1:34" ht="15.75" customHeight="1" x14ac:dyDescent="0.2">
      <c r="A546" t="s">
        <v>61</v>
      </c>
      <c r="B546" t="s">
        <v>332</v>
      </c>
      <c r="C546" t="s">
        <v>64</v>
      </c>
      <c r="D546" t="s">
        <v>292</v>
      </c>
      <c r="E546" t="s">
        <v>34</v>
      </c>
      <c r="F546" t="s">
        <v>35</v>
      </c>
      <c r="G546" t="s">
        <v>36</v>
      </c>
      <c r="H546" t="s">
        <v>309</v>
      </c>
      <c r="I546" t="s">
        <v>310</v>
      </c>
      <c r="J546" t="s">
        <v>311</v>
      </c>
      <c r="K546" t="s">
        <v>474</v>
      </c>
      <c r="L546" t="s">
        <v>40</v>
      </c>
      <c r="M546">
        <v>1</v>
      </c>
      <c r="N546">
        <v>30</v>
      </c>
      <c r="O546">
        <v>30</v>
      </c>
      <c r="P546" t="s">
        <v>41</v>
      </c>
      <c r="Q546">
        <v>374.7</v>
      </c>
      <c r="R546">
        <v>374.7</v>
      </c>
      <c r="S546">
        <v>562.04999999999995</v>
      </c>
      <c r="T546">
        <v>11241</v>
      </c>
      <c r="U546">
        <v>5</v>
      </c>
      <c r="V546" t="s">
        <v>42</v>
      </c>
      <c r="W546" t="s">
        <v>474</v>
      </c>
      <c r="X546" s="6" t="str">
        <f t="shared" si="30"/>
        <v>441811094</v>
      </c>
      <c r="Y546" s="7" t="str">
        <f t="shared" si="31"/>
        <v>DC</v>
      </c>
      <c r="Z546" s="7">
        <f t="shared" si="32"/>
        <v>0</v>
      </c>
      <c r="AA546" s="7">
        <f t="shared" si="33"/>
        <v>0</v>
      </c>
      <c r="AB546" s="7">
        <f t="shared" si="34"/>
        <v>0</v>
      </c>
      <c r="AC546" s="7">
        <f t="shared" si="35"/>
        <v>0</v>
      </c>
      <c r="AD546" s="7">
        <f t="shared" si="36"/>
        <v>30</v>
      </c>
      <c r="AE546" s="8" t="str" cm="1">
        <f t="array" ref="AE546">IFERROR(_xlfn.XLOOKUP(H546,Sheet1!$G:$G,Sheet1!$F:$F),IFERROR(_xlfn.XLOOKUP(1,(--($X$2:$X$1074=X546))*(--ISNUMBER(MATCH($H$2:$H$1074,Sheet1!$G:$G,0))),_xlfn.XLOOKUP($H$2:$H$1074,Sheet1!$G:$G,Sheet1!$F:$F,"")),"NOT FOUND"))</f>
        <v>GETKRTSFUT6002</v>
      </c>
      <c r="AF546" s="9" t="str">
        <f t="shared" si="37"/>
        <v>MAROON</v>
      </c>
      <c r="AG546" s="10" t="str">
        <f t="shared" si="38"/>
        <v>HARIPAL</v>
      </c>
      <c r="AH546" s="8" t="str" cm="1">
        <f t="array" ref="AH546">IF(OR(J546="",AE546="",AE546="NOT FOUND"),"",IF(Y546="RP",_xlfn.LET(_xlpm.desc,_xlfn.XLOOKUP(1,(--(Sheet1!$F$2:$F$754=AE546))*(--ISNUMBER(FIND("-",Sheet1!$W$2:$W$754,FIND("-",Sheet1!$W$2:$W$754)+1))),Sheet1!$W$2:$W$754,""),IF(_xlpm.desc="","NOT FOUND",LEFT(_xlpm.desc,FIND("-",_xlpm.desc,FIND("-",_xlpm.desc)+1))&amp;AE546)),LEFT(J546,FIND("-",J546,FIND("-",J546)+1))&amp;AE546))</f>
        <v>KRTS-APWN26-GETKRTSFUT6002</v>
      </c>
    </row>
    <row r="547" spans="1:34" ht="15.75" customHeight="1" x14ac:dyDescent="0.2">
      <c r="A547" t="s">
        <v>61</v>
      </c>
      <c r="B547" t="s">
        <v>332</v>
      </c>
      <c r="C547" t="s">
        <v>64</v>
      </c>
      <c r="D547" t="s">
        <v>292</v>
      </c>
      <c r="E547" t="s">
        <v>34</v>
      </c>
      <c r="F547" t="s">
        <v>35</v>
      </c>
      <c r="G547" t="s">
        <v>43</v>
      </c>
      <c r="H547" t="s">
        <v>312</v>
      </c>
      <c r="I547" t="s">
        <v>313</v>
      </c>
      <c r="J547" t="s">
        <v>314</v>
      </c>
      <c r="K547" t="s">
        <v>474</v>
      </c>
      <c r="L547" t="s">
        <v>40</v>
      </c>
      <c r="M547">
        <v>1</v>
      </c>
      <c r="N547">
        <v>142</v>
      </c>
      <c r="O547">
        <v>142</v>
      </c>
      <c r="P547" t="s">
        <v>41</v>
      </c>
      <c r="Q547">
        <v>374.7</v>
      </c>
      <c r="R547">
        <v>374.7</v>
      </c>
      <c r="S547">
        <v>2660.37</v>
      </c>
      <c r="T547">
        <v>53207.4</v>
      </c>
      <c r="U547">
        <v>5</v>
      </c>
      <c r="V547" t="s">
        <v>42</v>
      </c>
      <c r="W547" t="s">
        <v>474</v>
      </c>
      <c r="X547" s="6" t="str">
        <f t="shared" si="30"/>
        <v>441811094</v>
      </c>
      <c r="Y547" s="7" t="str">
        <f t="shared" si="31"/>
        <v>DC</v>
      </c>
      <c r="Z547" s="7">
        <f t="shared" si="32"/>
        <v>0</v>
      </c>
      <c r="AA547" s="7">
        <f t="shared" si="33"/>
        <v>0</v>
      </c>
      <c r="AB547" s="7">
        <f t="shared" si="34"/>
        <v>142</v>
      </c>
      <c r="AC547" s="7">
        <f t="shared" si="35"/>
        <v>0</v>
      </c>
      <c r="AD547" s="7">
        <f t="shared" si="36"/>
        <v>0</v>
      </c>
      <c r="AE547" s="8" t="str" cm="1">
        <f t="array" ref="AE547">IFERROR(_xlfn.XLOOKUP(H547,Sheet1!$G:$G,Sheet1!$F:$F),IFERROR(_xlfn.XLOOKUP(1,(--($X$2:$X$1074=X547))*(--ISNUMBER(MATCH($H$2:$H$1074,Sheet1!$G:$G,0))),_xlfn.XLOOKUP($H$2:$H$1074,Sheet1!$G:$G,Sheet1!$F:$F,"")),"NOT FOUND"))</f>
        <v>GETKRTSFUT6002</v>
      </c>
      <c r="AF547" s="9" t="str">
        <f t="shared" si="37"/>
        <v>MAROON</v>
      </c>
      <c r="AG547" s="10" t="str">
        <f t="shared" si="38"/>
        <v>HARIPAL</v>
      </c>
      <c r="AH547" s="8" t="str" cm="1">
        <f t="array" ref="AH547">IF(OR(J547="",AE547="",AE547="NOT FOUND"),"",IF(Y547="RP",_xlfn.LET(_xlpm.desc,_xlfn.XLOOKUP(1,(--(Sheet1!$F$2:$F$754=AE547))*(--ISNUMBER(FIND("-",Sheet1!$W$2:$W$754,FIND("-",Sheet1!$W$2:$W$754)+1))),Sheet1!$W$2:$W$754,""),IF(_xlpm.desc="","NOT FOUND",LEFT(_xlpm.desc,FIND("-",_xlpm.desc,FIND("-",_xlpm.desc)+1))&amp;AE547)),LEFT(J547,FIND("-",J547,FIND("-",J547)+1))&amp;AE547))</f>
        <v>KRTS-APWN26-GETKRTSFUT6002</v>
      </c>
    </row>
    <row r="548" spans="1:34" ht="15.75" customHeight="1" x14ac:dyDescent="0.2">
      <c r="A548" t="s">
        <v>61</v>
      </c>
      <c r="B548" t="s">
        <v>332</v>
      </c>
      <c r="C548" t="s">
        <v>64</v>
      </c>
      <c r="D548" t="s">
        <v>292</v>
      </c>
      <c r="E548" t="s">
        <v>34</v>
      </c>
      <c r="F548" t="s">
        <v>35</v>
      </c>
      <c r="G548" t="s">
        <v>47</v>
      </c>
      <c r="H548" t="s">
        <v>315</v>
      </c>
      <c r="I548" t="s">
        <v>316</v>
      </c>
      <c r="J548" t="s">
        <v>317</v>
      </c>
      <c r="K548" t="s">
        <v>474</v>
      </c>
      <c r="L548" t="s">
        <v>40</v>
      </c>
      <c r="M548">
        <v>1</v>
      </c>
      <c r="N548">
        <v>142</v>
      </c>
      <c r="O548">
        <v>142</v>
      </c>
      <c r="P548" t="s">
        <v>41</v>
      </c>
      <c r="Q548">
        <v>374.7</v>
      </c>
      <c r="R548">
        <v>374.7</v>
      </c>
      <c r="S548">
        <v>2660.37</v>
      </c>
      <c r="T548">
        <v>53207.4</v>
      </c>
      <c r="U548">
        <v>5</v>
      </c>
      <c r="V548" t="s">
        <v>42</v>
      </c>
      <c r="W548" t="s">
        <v>474</v>
      </c>
      <c r="X548" s="6" t="str">
        <f t="shared" si="30"/>
        <v>441811094</v>
      </c>
      <c r="Y548" s="7" t="str">
        <f t="shared" si="31"/>
        <v>DC</v>
      </c>
      <c r="Z548" s="7">
        <f t="shared" si="32"/>
        <v>0</v>
      </c>
      <c r="AA548" s="7">
        <f t="shared" si="33"/>
        <v>142</v>
      </c>
      <c r="AB548" s="7">
        <f t="shared" si="34"/>
        <v>0</v>
      </c>
      <c r="AC548" s="7">
        <f t="shared" si="35"/>
        <v>0</v>
      </c>
      <c r="AD548" s="7">
        <f t="shared" si="36"/>
        <v>0</v>
      </c>
      <c r="AE548" s="8" t="str" cm="1">
        <f t="array" ref="AE548">IFERROR(_xlfn.XLOOKUP(H548,Sheet1!$G:$G,Sheet1!$F:$F),IFERROR(_xlfn.XLOOKUP(1,(--($X$2:$X$1074=X548))*(--ISNUMBER(MATCH($H$2:$H$1074,Sheet1!$G:$G,0))),_xlfn.XLOOKUP($H$2:$H$1074,Sheet1!$G:$G,Sheet1!$F:$F,"")),"NOT FOUND"))</f>
        <v>GETKRTSFUT6002</v>
      </c>
      <c r="AF548" s="9" t="str">
        <f t="shared" si="37"/>
        <v>MAROON</v>
      </c>
      <c r="AG548" s="10" t="str">
        <f t="shared" si="38"/>
        <v>HARIPAL</v>
      </c>
      <c r="AH548" s="8" t="str" cm="1">
        <f t="array" ref="AH548">IF(OR(J548="",AE548="",AE548="NOT FOUND"),"",IF(Y548="RP",_xlfn.LET(_xlpm.desc,_xlfn.XLOOKUP(1,(--(Sheet1!$F$2:$F$754=AE548))*(--ISNUMBER(FIND("-",Sheet1!$W$2:$W$754,FIND("-",Sheet1!$W$2:$W$754)+1))),Sheet1!$W$2:$W$754,""),IF(_xlpm.desc="","NOT FOUND",LEFT(_xlpm.desc,FIND("-",_xlpm.desc,FIND("-",_xlpm.desc)+1))&amp;AE548)),LEFT(J548,FIND("-",J548,FIND("-",J548)+1))&amp;AE548))</f>
        <v>KRTS-APWN26-GETKRTSFUT6002</v>
      </c>
    </row>
    <row r="549" spans="1:34" ht="15.75" customHeight="1" x14ac:dyDescent="0.2">
      <c r="A549" t="s">
        <v>61</v>
      </c>
      <c r="B549" t="s">
        <v>332</v>
      </c>
      <c r="C549" t="s">
        <v>64</v>
      </c>
      <c r="D549" t="s">
        <v>292</v>
      </c>
      <c r="E549" t="s">
        <v>34</v>
      </c>
      <c r="F549" t="s">
        <v>35</v>
      </c>
      <c r="G549" t="s">
        <v>51</v>
      </c>
      <c r="H549" t="s">
        <v>318</v>
      </c>
      <c r="I549" t="s">
        <v>319</v>
      </c>
      <c r="J549" t="s">
        <v>320</v>
      </c>
      <c r="K549" t="s">
        <v>474</v>
      </c>
      <c r="L549" t="s">
        <v>40</v>
      </c>
      <c r="M549">
        <v>1</v>
      </c>
      <c r="N549">
        <v>30</v>
      </c>
      <c r="O549">
        <v>30</v>
      </c>
      <c r="P549" t="s">
        <v>41</v>
      </c>
      <c r="Q549">
        <v>374.7</v>
      </c>
      <c r="R549">
        <v>374.7</v>
      </c>
      <c r="S549">
        <v>562.04999999999995</v>
      </c>
      <c r="T549">
        <v>11241</v>
      </c>
      <c r="U549">
        <v>5</v>
      </c>
      <c r="V549" t="s">
        <v>42</v>
      </c>
      <c r="W549" t="s">
        <v>474</v>
      </c>
      <c r="X549" s="6" t="str">
        <f t="shared" si="30"/>
        <v>441811094</v>
      </c>
      <c r="Y549" s="7" t="str">
        <f t="shared" si="31"/>
        <v>DC</v>
      </c>
      <c r="Z549" s="7">
        <f t="shared" si="32"/>
        <v>30</v>
      </c>
      <c r="AA549" s="7">
        <f t="shared" si="33"/>
        <v>0</v>
      </c>
      <c r="AB549" s="7">
        <f t="shared" si="34"/>
        <v>0</v>
      </c>
      <c r="AC549" s="7">
        <f t="shared" si="35"/>
        <v>0</v>
      </c>
      <c r="AD549" s="7">
        <f t="shared" si="36"/>
        <v>0</v>
      </c>
      <c r="AE549" s="8" t="str" cm="1">
        <f t="array" ref="AE549">IFERROR(_xlfn.XLOOKUP(H549,Sheet1!$G:$G,Sheet1!$F:$F),IFERROR(_xlfn.XLOOKUP(1,(--($X$2:$X$1074=X549))*(--ISNUMBER(MATCH($H$2:$H$1074,Sheet1!$G:$G,0))),_xlfn.XLOOKUP($H$2:$H$1074,Sheet1!$G:$G,Sheet1!$F:$F,"")),"NOT FOUND"))</f>
        <v>GETKRTSFUT6002</v>
      </c>
      <c r="AF549" s="9" t="str">
        <f t="shared" si="37"/>
        <v>MAROON</v>
      </c>
      <c r="AG549" s="10" t="str">
        <f t="shared" si="38"/>
        <v>HARIPAL</v>
      </c>
      <c r="AH549" s="8" t="str" cm="1">
        <f t="array" ref="AH549">IF(OR(J549="",AE549="",AE549="NOT FOUND"),"",IF(Y549="RP",_xlfn.LET(_xlpm.desc,_xlfn.XLOOKUP(1,(--(Sheet1!$F$2:$F$754=AE549))*(--ISNUMBER(FIND("-",Sheet1!$W$2:$W$754,FIND("-",Sheet1!$W$2:$W$754)+1))),Sheet1!$W$2:$W$754,""),IF(_xlpm.desc="","NOT FOUND",LEFT(_xlpm.desc,FIND("-",_xlpm.desc,FIND("-",_xlpm.desc)+1))&amp;AE549)),LEFT(J549,FIND("-",J549,FIND("-",J549)+1))&amp;AE549))</f>
        <v>KRTS-APWN26-GETKRTSFUT6002</v>
      </c>
    </row>
    <row r="550" spans="1:34" ht="15.75" customHeight="1" x14ac:dyDescent="0.2">
      <c r="A550" t="s">
        <v>61</v>
      </c>
      <c r="B550" t="s">
        <v>332</v>
      </c>
      <c r="C550" t="s">
        <v>64</v>
      </c>
      <c r="D550" t="s">
        <v>292</v>
      </c>
      <c r="E550" t="s">
        <v>34</v>
      </c>
      <c r="F550" t="s">
        <v>35</v>
      </c>
      <c r="G550" t="s">
        <v>55</v>
      </c>
      <c r="H550" t="s">
        <v>321</v>
      </c>
      <c r="I550" t="s">
        <v>322</v>
      </c>
      <c r="J550" t="s">
        <v>323</v>
      </c>
      <c r="K550" t="s">
        <v>474</v>
      </c>
      <c r="L550" t="s">
        <v>40</v>
      </c>
      <c r="M550">
        <v>1</v>
      </c>
      <c r="N550">
        <v>120</v>
      </c>
      <c r="O550">
        <v>120</v>
      </c>
      <c r="P550" t="s">
        <v>41</v>
      </c>
      <c r="Q550">
        <v>374.7</v>
      </c>
      <c r="R550">
        <v>374.7</v>
      </c>
      <c r="S550">
        <v>2248.1999999999998</v>
      </c>
      <c r="T550">
        <v>44964</v>
      </c>
      <c r="U550">
        <v>5</v>
      </c>
      <c r="V550" t="s">
        <v>42</v>
      </c>
      <c r="W550" t="s">
        <v>474</v>
      </c>
      <c r="X550" s="6" t="str">
        <f t="shared" si="30"/>
        <v>441811094</v>
      </c>
      <c r="Y550" s="7" t="str">
        <f t="shared" si="31"/>
        <v>DC</v>
      </c>
      <c r="Z550" s="7">
        <f t="shared" si="32"/>
        <v>0</v>
      </c>
      <c r="AA550" s="7">
        <f t="shared" si="33"/>
        <v>0</v>
      </c>
      <c r="AB550" s="7">
        <f t="shared" si="34"/>
        <v>0</v>
      </c>
      <c r="AC550" s="7">
        <f t="shared" si="35"/>
        <v>120</v>
      </c>
      <c r="AD550" s="7">
        <f t="shared" si="36"/>
        <v>0</v>
      </c>
      <c r="AE550" s="8" t="str" cm="1">
        <f t="array" ref="AE550">IFERROR(_xlfn.XLOOKUP(H550,Sheet1!$G:$G,Sheet1!$F:$F),IFERROR(_xlfn.XLOOKUP(1,(--($X$2:$X$1074=X550))*(--ISNUMBER(MATCH($H$2:$H$1074,Sheet1!$G:$G,0))),_xlfn.XLOOKUP($H$2:$H$1074,Sheet1!$G:$G,Sheet1!$F:$F,"")),"NOT FOUND"))</f>
        <v>GETKRTSFUT6002</v>
      </c>
      <c r="AF550" s="9" t="str">
        <f t="shared" si="37"/>
        <v>MAROON</v>
      </c>
      <c r="AG550" s="10" t="str">
        <f t="shared" si="38"/>
        <v>HARIPAL</v>
      </c>
      <c r="AH550" s="8" t="str" cm="1">
        <f t="array" ref="AH550">IF(OR(J550="",AE550="",AE550="NOT FOUND"),"",IF(Y550="RP",_xlfn.LET(_xlpm.desc,_xlfn.XLOOKUP(1,(--(Sheet1!$F$2:$F$754=AE550))*(--ISNUMBER(FIND("-",Sheet1!$W$2:$W$754,FIND("-",Sheet1!$W$2:$W$754)+1))),Sheet1!$W$2:$W$754,""),IF(_xlpm.desc="","NOT FOUND",LEFT(_xlpm.desc,FIND("-",_xlpm.desc,FIND("-",_xlpm.desc)+1))&amp;AE550)),LEFT(J550,FIND("-",J550,FIND("-",J550)+1))&amp;AE550))</f>
        <v>KRTS-APWN26-GETKRTSFUT6002</v>
      </c>
    </row>
    <row r="551" spans="1:34" ht="15.75" customHeight="1" x14ac:dyDescent="0.2">
      <c r="A551" t="s">
        <v>30</v>
      </c>
      <c r="B551" t="s">
        <v>333</v>
      </c>
      <c r="C551" t="s">
        <v>64</v>
      </c>
      <c r="D551" t="s">
        <v>292</v>
      </c>
      <c r="E551" t="s">
        <v>34</v>
      </c>
      <c r="F551" t="s">
        <v>35</v>
      </c>
      <c r="G551" t="s">
        <v>36</v>
      </c>
      <c r="H551" t="s">
        <v>334</v>
      </c>
      <c r="I551" t="s">
        <v>335</v>
      </c>
      <c r="J551" t="s">
        <v>336</v>
      </c>
      <c r="K551" t="s">
        <v>474</v>
      </c>
      <c r="L551" t="s">
        <v>40</v>
      </c>
      <c r="M551">
        <v>1</v>
      </c>
      <c r="N551">
        <v>30</v>
      </c>
      <c r="O551">
        <v>30</v>
      </c>
      <c r="P551" t="s">
        <v>41</v>
      </c>
      <c r="Q551">
        <v>494.7</v>
      </c>
      <c r="R551">
        <v>494.7</v>
      </c>
      <c r="S551">
        <v>742.05</v>
      </c>
      <c r="T551">
        <v>14841</v>
      </c>
      <c r="U551">
        <v>5</v>
      </c>
      <c r="V551" t="s">
        <v>42</v>
      </c>
      <c r="W551" t="s">
        <v>474</v>
      </c>
      <c r="X551" s="6" t="str">
        <f t="shared" si="30"/>
        <v>441811011</v>
      </c>
      <c r="Y551" s="7" t="str">
        <f t="shared" si="31"/>
        <v>DC</v>
      </c>
      <c r="Z551" s="7">
        <f t="shared" si="32"/>
        <v>0</v>
      </c>
      <c r="AA551" s="7">
        <f t="shared" si="33"/>
        <v>0</v>
      </c>
      <c r="AB551" s="7">
        <f t="shared" si="34"/>
        <v>0</v>
      </c>
      <c r="AC551" s="7">
        <f t="shared" si="35"/>
        <v>0</v>
      </c>
      <c r="AD551" s="7">
        <f t="shared" si="36"/>
        <v>30</v>
      </c>
      <c r="AE551" s="8" t="str" cm="1">
        <f t="array" ref="AE551">IFERROR(_xlfn.XLOOKUP(H551,Sheet1!$G:$G,Sheet1!$F:$F),IFERROR(_xlfn.XLOOKUP(1,(--($X$2:$X$1074=X551))*(--ISNUMBER(MATCH($H$2:$H$1074,Sheet1!$G:$G,0))),_xlfn.XLOOKUP($H$2:$H$1074,Sheet1!$G:$G,Sheet1!$F:$F,"")),"NOT FOUND"))</f>
        <v>GETCRDSFUT6206</v>
      </c>
      <c r="AF551" s="9" t="str">
        <f t="shared" si="37"/>
        <v>TEAL</v>
      </c>
      <c r="AG551" s="10" t="str">
        <f t="shared" si="38"/>
        <v>Bangalore</v>
      </c>
      <c r="AH551" s="8" t="str" cm="1">
        <f t="array" ref="AH551">IF(OR(J551="",AE551="",AE551="NOT FOUND"),"",IF(Y551="RP",_xlfn.LET(_xlpm.desc,_xlfn.XLOOKUP(1,(--(Sheet1!$F$2:$F$754=AE551))*(--ISNUMBER(FIND("-",Sheet1!$W$2:$W$754,FIND("-",Sheet1!$W$2:$W$754)+1))),Sheet1!$W$2:$W$754,""),IF(_xlpm.desc="","NOT FOUND",LEFT(_xlpm.desc,FIND("-",_xlpm.desc,FIND("-",_xlpm.desc)+1))&amp;AE551)),LEFT(J551,FIND("-",J551,FIND("-",J551)+1))&amp;AE551))</f>
        <v>SKD-APWN26-GETCRDSFUT6206</v>
      </c>
    </row>
    <row r="552" spans="1:34" ht="15.75" customHeight="1" x14ac:dyDescent="0.2">
      <c r="A552" t="s">
        <v>30</v>
      </c>
      <c r="B552" t="s">
        <v>333</v>
      </c>
      <c r="C552" t="s">
        <v>64</v>
      </c>
      <c r="D552" t="s">
        <v>292</v>
      </c>
      <c r="E552" t="s">
        <v>34</v>
      </c>
      <c r="F552" t="s">
        <v>35</v>
      </c>
      <c r="G552" t="s">
        <v>43</v>
      </c>
      <c r="H552" t="s">
        <v>337</v>
      </c>
      <c r="I552" t="s">
        <v>338</v>
      </c>
      <c r="J552" t="s">
        <v>339</v>
      </c>
      <c r="K552" t="s">
        <v>474</v>
      </c>
      <c r="L552" t="s">
        <v>40</v>
      </c>
      <c r="M552">
        <v>1</v>
      </c>
      <c r="N552">
        <v>114</v>
      </c>
      <c r="O552">
        <v>114</v>
      </c>
      <c r="P552" t="s">
        <v>41</v>
      </c>
      <c r="Q552">
        <v>494.7</v>
      </c>
      <c r="R552">
        <v>494.7</v>
      </c>
      <c r="S552">
        <v>2819.79</v>
      </c>
      <c r="T552">
        <v>56395.8</v>
      </c>
      <c r="U552">
        <v>5</v>
      </c>
      <c r="V552" t="s">
        <v>42</v>
      </c>
      <c r="W552" t="s">
        <v>474</v>
      </c>
      <c r="X552" s="6" t="str">
        <f t="shared" si="30"/>
        <v>441811011</v>
      </c>
      <c r="Y552" s="7" t="str">
        <f t="shared" si="31"/>
        <v>DC</v>
      </c>
      <c r="Z552" s="7">
        <f t="shared" si="32"/>
        <v>0</v>
      </c>
      <c r="AA552" s="7">
        <f t="shared" si="33"/>
        <v>0</v>
      </c>
      <c r="AB552" s="7">
        <f t="shared" si="34"/>
        <v>114</v>
      </c>
      <c r="AC552" s="7">
        <f t="shared" si="35"/>
        <v>0</v>
      </c>
      <c r="AD552" s="7">
        <f t="shared" si="36"/>
        <v>0</v>
      </c>
      <c r="AE552" s="8" t="str" cm="1">
        <f t="array" ref="AE552">IFERROR(_xlfn.XLOOKUP(H552,Sheet1!$G:$G,Sheet1!$F:$F),IFERROR(_xlfn.XLOOKUP(1,(--($X$2:$X$1074=X552))*(--ISNUMBER(MATCH($H$2:$H$1074,Sheet1!$G:$G,0))),_xlfn.XLOOKUP($H$2:$H$1074,Sheet1!$G:$G,Sheet1!$F:$F,"")),"NOT FOUND"))</f>
        <v>GETCRDSFUT6206</v>
      </c>
      <c r="AF552" s="9" t="str">
        <f t="shared" si="37"/>
        <v>TEAL</v>
      </c>
      <c r="AG552" s="10" t="str">
        <f t="shared" si="38"/>
        <v>Bangalore</v>
      </c>
      <c r="AH552" s="8" t="str" cm="1">
        <f t="array" ref="AH552">IF(OR(J552="",AE552="",AE552="NOT FOUND"),"",IF(Y552="RP",_xlfn.LET(_xlpm.desc,_xlfn.XLOOKUP(1,(--(Sheet1!$F$2:$F$754=AE552))*(--ISNUMBER(FIND("-",Sheet1!$W$2:$W$754,FIND("-",Sheet1!$W$2:$W$754)+1))),Sheet1!$W$2:$W$754,""),IF(_xlpm.desc="","NOT FOUND",LEFT(_xlpm.desc,FIND("-",_xlpm.desc,FIND("-",_xlpm.desc)+1))&amp;AE552)),LEFT(J552,FIND("-",J552,FIND("-",J552)+1))&amp;AE552))</f>
        <v>SKD-APWN26-GETCRDSFUT6206</v>
      </c>
    </row>
    <row r="553" spans="1:34" ht="15.75" customHeight="1" x14ac:dyDescent="0.2">
      <c r="A553" t="s">
        <v>30</v>
      </c>
      <c r="B553" t="s">
        <v>333</v>
      </c>
      <c r="C553" t="s">
        <v>64</v>
      </c>
      <c r="D553" t="s">
        <v>292</v>
      </c>
      <c r="E553" t="s">
        <v>34</v>
      </c>
      <c r="F553" t="s">
        <v>35</v>
      </c>
      <c r="G553" t="s">
        <v>47</v>
      </c>
      <c r="H553" t="s">
        <v>340</v>
      </c>
      <c r="I553" t="s">
        <v>341</v>
      </c>
      <c r="J553" t="s">
        <v>342</v>
      </c>
      <c r="K553" t="s">
        <v>474</v>
      </c>
      <c r="L553" t="s">
        <v>40</v>
      </c>
      <c r="M553">
        <v>1</v>
      </c>
      <c r="N553">
        <v>120</v>
      </c>
      <c r="O553">
        <v>120</v>
      </c>
      <c r="P553" t="s">
        <v>41</v>
      </c>
      <c r="Q553">
        <v>494.7</v>
      </c>
      <c r="R553">
        <v>494.7</v>
      </c>
      <c r="S553">
        <v>2968.2</v>
      </c>
      <c r="T553">
        <v>59364</v>
      </c>
      <c r="U553">
        <v>5</v>
      </c>
      <c r="V553" t="s">
        <v>42</v>
      </c>
      <c r="W553" t="s">
        <v>474</v>
      </c>
      <c r="X553" s="6" t="str">
        <f t="shared" si="30"/>
        <v>441811011</v>
      </c>
      <c r="Y553" s="7" t="str">
        <f t="shared" si="31"/>
        <v>DC</v>
      </c>
      <c r="Z553" s="7">
        <f t="shared" si="32"/>
        <v>0</v>
      </c>
      <c r="AA553" s="7">
        <f t="shared" si="33"/>
        <v>120</v>
      </c>
      <c r="AB553" s="7">
        <f t="shared" si="34"/>
        <v>0</v>
      </c>
      <c r="AC553" s="7">
        <f t="shared" si="35"/>
        <v>0</v>
      </c>
      <c r="AD553" s="7">
        <f t="shared" si="36"/>
        <v>0</v>
      </c>
      <c r="AE553" s="8" t="str" cm="1">
        <f t="array" ref="AE553">IFERROR(_xlfn.XLOOKUP(H553,Sheet1!$G:$G,Sheet1!$F:$F),IFERROR(_xlfn.XLOOKUP(1,(--($X$2:$X$1074=X553))*(--ISNUMBER(MATCH($H$2:$H$1074,Sheet1!$G:$G,0))),_xlfn.XLOOKUP($H$2:$H$1074,Sheet1!$G:$G,Sheet1!$F:$F,"")),"NOT FOUND"))</f>
        <v>GETCRDSFUT6206</v>
      </c>
      <c r="AF553" s="9" t="str">
        <f t="shared" si="37"/>
        <v>TEAL</v>
      </c>
      <c r="AG553" s="10" t="str">
        <f t="shared" si="38"/>
        <v>Bangalore</v>
      </c>
      <c r="AH553" s="8" t="str" cm="1">
        <f t="array" ref="AH553">IF(OR(J553="",AE553="",AE553="NOT FOUND"),"",IF(Y553="RP",_xlfn.LET(_xlpm.desc,_xlfn.XLOOKUP(1,(--(Sheet1!$F$2:$F$754=AE553))*(--ISNUMBER(FIND("-",Sheet1!$W$2:$W$754,FIND("-",Sheet1!$W$2:$W$754)+1))),Sheet1!$W$2:$W$754,""),IF(_xlpm.desc="","NOT FOUND",LEFT(_xlpm.desc,FIND("-",_xlpm.desc,FIND("-",_xlpm.desc)+1))&amp;AE553)),LEFT(J553,FIND("-",J553,FIND("-",J553)+1))&amp;AE553))</f>
        <v>SKD-APWN26-GETCRDSFUT6206</v>
      </c>
    </row>
    <row r="554" spans="1:34" ht="15.75" customHeight="1" x14ac:dyDescent="0.2">
      <c r="A554" t="s">
        <v>30</v>
      </c>
      <c r="B554" t="s">
        <v>333</v>
      </c>
      <c r="C554" t="s">
        <v>64</v>
      </c>
      <c r="D554" t="s">
        <v>292</v>
      </c>
      <c r="E554" t="s">
        <v>34</v>
      </c>
      <c r="F554" t="s">
        <v>35</v>
      </c>
      <c r="G554" t="s">
        <v>51</v>
      </c>
      <c r="H554" t="s">
        <v>343</v>
      </c>
      <c r="I554" t="s">
        <v>344</v>
      </c>
      <c r="J554" t="s">
        <v>345</v>
      </c>
      <c r="K554" t="s">
        <v>474</v>
      </c>
      <c r="L554" t="s">
        <v>40</v>
      </c>
      <c r="M554">
        <v>1</v>
      </c>
      <c r="N554">
        <v>36</v>
      </c>
      <c r="O554">
        <v>36</v>
      </c>
      <c r="P554" t="s">
        <v>41</v>
      </c>
      <c r="Q554">
        <v>494.7</v>
      </c>
      <c r="R554">
        <v>494.7</v>
      </c>
      <c r="S554">
        <v>890.46</v>
      </c>
      <c r="T554">
        <v>17809.2</v>
      </c>
      <c r="U554">
        <v>5</v>
      </c>
      <c r="V554" t="s">
        <v>42</v>
      </c>
      <c r="W554" t="s">
        <v>474</v>
      </c>
      <c r="X554" s="6" t="str">
        <f t="shared" si="30"/>
        <v>441811011</v>
      </c>
      <c r="Y554" s="7" t="str">
        <f t="shared" si="31"/>
        <v>DC</v>
      </c>
      <c r="Z554" s="7">
        <f t="shared" si="32"/>
        <v>36</v>
      </c>
      <c r="AA554" s="7">
        <f t="shared" si="33"/>
        <v>0</v>
      </c>
      <c r="AB554" s="7">
        <f t="shared" si="34"/>
        <v>0</v>
      </c>
      <c r="AC554" s="7">
        <f t="shared" si="35"/>
        <v>0</v>
      </c>
      <c r="AD554" s="7">
        <f t="shared" si="36"/>
        <v>0</v>
      </c>
      <c r="AE554" s="8" t="str" cm="1">
        <f t="array" ref="AE554">IFERROR(_xlfn.XLOOKUP(H554,Sheet1!$G:$G,Sheet1!$F:$F),IFERROR(_xlfn.XLOOKUP(1,(--($X$2:$X$1074=X554))*(--ISNUMBER(MATCH($H$2:$H$1074,Sheet1!$G:$G,0))),_xlfn.XLOOKUP($H$2:$H$1074,Sheet1!$G:$G,Sheet1!$F:$F,"")),"NOT FOUND"))</f>
        <v>GETCRDSFUT6206</v>
      </c>
      <c r="AF554" s="9" t="str">
        <f t="shared" si="37"/>
        <v>TEAL</v>
      </c>
      <c r="AG554" s="10" t="str">
        <f t="shared" si="38"/>
        <v>Bangalore</v>
      </c>
      <c r="AH554" s="8" t="str" cm="1">
        <f t="array" ref="AH554">IF(OR(J554="",AE554="",AE554="NOT FOUND"),"",IF(Y554="RP",_xlfn.LET(_xlpm.desc,_xlfn.XLOOKUP(1,(--(Sheet1!$F$2:$F$754=AE554))*(--ISNUMBER(FIND("-",Sheet1!$W$2:$W$754,FIND("-",Sheet1!$W$2:$W$754)+1))),Sheet1!$W$2:$W$754,""),IF(_xlpm.desc="","NOT FOUND",LEFT(_xlpm.desc,FIND("-",_xlpm.desc,FIND("-",_xlpm.desc)+1))&amp;AE554)),LEFT(J554,FIND("-",J554,FIND("-",J554)+1))&amp;AE554))</f>
        <v>SKD-APWN26-GETCRDSFUT6206</v>
      </c>
    </row>
    <row r="555" spans="1:34" ht="15.75" customHeight="1" x14ac:dyDescent="0.2">
      <c r="A555" t="s">
        <v>30</v>
      </c>
      <c r="B555" t="s">
        <v>333</v>
      </c>
      <c r="C555" t="s">
        <v>64</v>
      </c>
      <c r="D555" t="s">
        <v>292</v>
      </c>
      <c r="E555" t="s">
        <v>34</v>
      </c>
      <c r="F555" t="s">
        <v>35</v>
      </c>
      <c r="G555" t="s">
        <v>55</v>
      </c>
      <c r="H555" t="s">
        <v>346</v>
      </c>
      <c r="I555" t="s">
        <v>347</v>
      </c>
      <c r="J555" t="s">
        <v>348</v>
      </c>
      <c r="K555" t="s">
        <v>474</v>
      </c>
      <c r="L555" t="s">
        <v>40</v>
      </c>
      <c r="M555">
        <v>1</v>
      </c>
      <c r="N555">
        <v>114</v>
      </c>
      <c r="O555">
        <v>114</v>
      </c>
      <c r="P555" t="s">
        <v>41</v>
      </c>
      <c r="Q555">
        <v>494.7</v>
      </c>
      <c r="R555">
        <v>494.7</v>
      </c>
      <c r="S555">
        <v>2819.79</v>
      </c>
      <c r="T555">
        <v>56395.8</v>
      </c>
      <c r="U555">
        <v>5</v>
      </c>
      <c r="V555" t="s">
        <v>42</v>
      </c>
      <c r="W555" t="s">
        <v>474</v>
      </c>
      <c r="X555" s="6" t="str">
        <f t="shared" si="30"/>
        <v>441811011</v>
      </c>
      <c r="Y555" s="7" t="str">
        <f t="shared" si="31"/>
        <v>DC</v>
      </c>
      <c r="Z555" s="7">
        <f t="shared" si="32"/>
        <v>0</v>
      </c>
      <c r="AA555" s="7">
        <f t="shared" si="33"/>
        <v>0</v>
      </c>
      <c r="AB555" s="7">
        <f t="shared" si="34"/>
        <v>0</v>
      </c>
      <c r="AC555" s="7">
        <f t="shared" si="35"/>
        <v>114</v>
      </c>
      <c r="AD555" s="7">
        <f t="shared" si="36"/>
        <v>0</v>
      </c>
      <c r="AE555" s="8" t="str" cm="1">
        <f t="array" ref="AE555">IFERROR(_xlfn.XLOOKUP(H555,Sheet1!$G:$G,Sheet1!$F:$F),IFERROR(_xlfn.XLOOKUP(1,(--($X$2:$X$1074=X555))*(--ISNUMBER(MATCH($H$2:$H$1074,Sheet1!$G:$G,0))),_xlfn.XLOOKUP($H$2:$H$1074,Sheet1!$G:$G,Sheet1!$F:$F,"")),"NOT FOUND"))</f>
        <v>GETCRDSFUT6206</v>
      </c>
      <c r="AF555" s="9" t="str">
        <f t="shared" si="37"/>
        <v>TEAL</v>
      </c>
      <c r="AG555" s="10" t="str">
        <f t="shared" si="38"/>
        <v>Bangalore</v>
      </c>
      <c r="AH555" s="8" t="str" cm="1">
        <f t="array" ref="AH555">IF(OR(J555="",AE555="",AE555="NOT FOUND"),"",IF(Y555="RP",_xlfn.LET(_xlpm.desc,_xlfn.XLOOKUP(1,(--(Sheet1!$F$2:$F$754=AE555))*(--ISNUMBER(FIND("-",Sheet1!$W$2:$W$754,FIND("-",Sheet1!$W$2:$W$754)+1))),Sheet1!$W$2:$W$754,""),IF(_xlpm.desc="","NOT FOUND",LEFT(_xlpm.desc,FIND("-",_xlpm.desc,FIND("-",_xlpm.desc)+1))&amp;AE555)),LEFT(J555,FIND("-",J555,FIND("-",J555)+1))&amp;AE555))</f>
        <v>SKD-APWN26-GETCRDSFUT6206</v>
      </c>
    </row>
    <row r="556" spans="1:34" ht="15.75" customHeight="1" x14ac:dyDescent="0.2">
      <c r="A556" t="s">
        <v>30</v>
      </c>
      <c r="B556" t="s">
        <v>349</v>
      </c>
      <c r="C556" t="s">
        <v>64</v>
      </c>
      <c r="D556" t="s">
        <v>189</v>
      </c>
      <c r="E556" t="s">
        <v>34</v>
      </c>
      <c r="F556" t="s">
        <v>35</v>
      </c>
      <c r="G556" t="s">
        <v>36</v>
      </c>
      <c r="H556" t="s">
        <v>350</v>
      </c>
      <c r="I556" t="s">
        <v>351</v>
      </c>
      <c r="J556" t="s">
        <v>352</v>
      </c>
      <c r="K556" t="s">
        <v>474</v>
      </c>
      <c r="L556" t="s">
        <v>40</v>
      </c>
      <c r="M556">
        <v>1</v>
      </c>
      <c r="N556">
        <v>30</v>
      </c>
      <c r="O556">
        <v>30</v>
      </c>
      <c r="P556" t="s">
        <v>41</v>
      </c>
      <c r="Q556">
        <v>592.70000000000005</v>
      </c>
      <c r="R556">
        <v>592.70000000000005</v>
      </c>
      <c r="S556">
        <v>889.05</v>
      </c>
      <c r="T556">
        <v>17781</v>
      </c>
      <c r="U556">
        <v>5</v>
      </c>
      <c r="V556" t="s">
        <v>42</v>
      </c>
      <c r="W556" t="s">
        <v>474</v>
      </c>
      <c r="X556" s="6" t="str">
        <f t="shared" si="30"/>
        <v>441811009</v>
      </c>
      <c r="Y556" s="7" t="str">
        <f t="shared" si="31"/>
        <v>DC</v>
      </c>
      <c r="Z556" s="7">
        <f t="shared" si="32"/>
        <v>0</v>
      </c>
      <c r="AA556" s="7">
        <f t="shared" si="33"/>
        <v>0</v>
      </c>
      <c r="AB556" s="7">
        <f t="shared" si="34"/>
        <v>0</v>
      </c>
      <c r="AC556" s="7">
        <f t="shared" si="35"/>
        <v>0</v>
      </c>
      <c r="AD556" s="7">
        <f t="shared" si="36"/>
        <v>30</v>
      </c>
      <c r="AE556" s="8" t="str" cm="1">
        <f t="array" ref="AE556">IFERROR(_xlfn.XLOOKUP(H556,Sheet1!$G:$G,Sheet1!$F:$F),IFERROR(_xlfn.XLOOKUP(1,(--($X$2:$X$1074=X556))*(--ISNUMBER(MATCH($H$2:$H$1074,Sheet1!$G:$G,0))),_xlfn.XLOOKUP($H$2:$H$1074,Sheet1!$G:$G,Sheet1!$F:$F,"")),"NOT FOUND"))</f>
        <v>GETCRDSFUT6099</v>
      </c>
      <c r="AF556" s="9" t="str">
        <f t="shared" si="37"/>
        <v>LIME GREEN</v>
      </c>
      <c r="AG556" s="10" t="str">
        <f t="shared" si="38"/>
        <v>Bangalore</v>
      </c>
      <c r="AH556" s="8" t="str" cm="1">
        <f t="array" ref="AH556">IF(OR(J556="",AE556="",AE556="NOT FOUND"),"",IF(Y556="RP",_xlfn.LET(_xlpm.desc,_xlfn.XLOOKUP(1,(--(Sheet1!$F$2:$F$754=AE556))*(--ISNUMBER(FIND("-",Sheet1!$W$2:$W$754,FIND("-",Sheet1!$W$2:$W$754)+1))),Sheet1!$W$2:$W$754,""),IF(_xlpm.desc="","NOT FOUND",LEFT(_xlpm.desc,FIND("-",_xlpm.desc,FIND("-",_xlpm.desc)+1))&amp;AE556)),LEFT(J556,FIND("-",J556,FIND("-",J556)+1))&amp;AE556))</f>
        <v>SKD-APWN26-GETCRDSFUT6099</v>
      </c>
    </row>
    <row r="557" spans="1:34" ht="15.75" customHeight="1" x14ac:dyDescent="0.2">
      <c r="A557" t="s">
        <v>30</v>
      </c>
      <c r="B557" t="s">
        <v>349</v>
      </c>
      <c r="C557" t="s">
        <v>64</v>
      </c>
      <c r="D557" t="s">
        <v>189</v>
      </c>
      <c r="E557" t="s">
        <v>34</v>
      </c>
      <c r="F557" t="s">
        <v>35</v>
      </c>
      <c r="G557" t="s">
        <v>43</v>
      </c>
      <c r="H557" t="s">
        <v>353</v>
      </c>
      <c r="I557" t="s">
        <v>354</v>
      </c>
      <c r="J557" t="s">
        <v>355</v>
      </c>
      <c r="K557" t="s">
        <v>474</v>
      </c>
      <c r="L557" t="s">
        <v>40</v>
      </c>
      <c r="M557">
        <v>1</v>
      </c>
      <c r="N557">
        <v>30</v>
      </c>
      <c r="O557">
        <v>30</v>
      </c>
      <c r="P557" t="s">
        <v>41</v>
      </c>
      <c r="Q557">
        <v>592.70000000000005</v>
      </c>
      <c r="R557">
        <v>592.70000000000005</v>
      </c>
      <c r="S557">
        <v>889.05</v>
      </c>
      <c r="T557">
        <v>17781</v>
      </c>
      <c r="U557">
        <v>5</v>
      </c>
      <c r="V557" t="s">
        <v>42</v>
      </c>
      <c r="W557" t="s">
        <v>474</v>
      </c>
      <c r="X557" s="6" t="str">
        <f t="shared" si="30"/>
        <v>441811009</v>
      </c>
      <c r="Y557" s="7" t="str">
        <f t="shared" si="31"/>
        <v>DC</v>
      </c>
      <c r="Z557" s="7">
        <f t="shared" si="32"/>
        <v>0</v>
      </c>
      <c r="AA557" s="7">
        <f t="shared" si="33"/>
        <v>0</v>
      </c>
      <c r="AB557" s="7">
        <f t="shared" si="34"/>
        <v>30</v>
      </c>
      <c r="AC557" s="7">
        <f t="shared" si="35"/>
        <v>0</v>
      </c>
      <c r="AD557" s="7">
        <f t="shared" si="36"/>
        <v>0</v>
      </c>
      <c r="AE557" s="8" t="str" cm="1">
        <f t="array" ref="AE557">IFERROR(_xlfn.XLOOKUP(H557,Sheet1!$G:$G,Sheet1!$F:$F),IFERROR(_xlfn.XLOOKUP(1,(--($X$2:$X$1074=X557))*(--ISNUMBER(MATCH($H$2:$H$1074,Sheet1!$G:$G,0))),_xlfn.XLOOKUP($H$2:$H$1074,Sheet1!$G:$G,Sheet1!$F:$F,"")),"NOT FOUND"))</f>
        <v>GETCRDSFUT6099</v>
      </c>
      <c r="AF557" s="9" t="str">
        <f t="shared" si="37"/>
        <v>LIME GREEN</v>
      </c>
      <c r="AG557" s="10" t="str">
        <f t="shared" si="38"/>
        <v>Bangalore</v>
      </c>
      <c r="AH557" s="8" t="str" cm="1">
        <f t="array" ref="AH557">IF(OR(J557="",AE557="",AE557="NOT FOUND"),"",IF(Y557="RP",_xlfn.LET(_xlpm.desc,_xlfn.XLOOKUP(1,(--(Sheet1!$F$2:$F$754=AE557))*(--ISNUMBER(FIND("-",Sheet1!$W$2:$W$754,FIND("-",Sheet1!$W$2:$W$754)+1))),Sheet1!$W$2:$W$754,""),IF(_xlpm.desc="","NOT FOUND",LEFT(_xlpm.desc,FIND("-",_xlpm.desc,FIND("-",_xlpm.desc)+1))&amp;AE557)),LEFT(J557,FIND("-",J557,FIND("-",J557)+1))&amp;AE557))</f>
        <v>SKD-APWN26-GETCRDSFUT6099</v>
      </c>
    </row>
    <row r="558" spans="1:34" ht="15.75" customHeight="1" x14ac:dyDescent="0.2">
      <c r="A558" t="s">
        <v>30</v>
      </c>
      <c r="B558" t="s">
        <v>349</v>
      </c>
      <c r="C558" t="s">
        <v>64</v>
      </c>
      <c r="D558" t="s">
        <v>189</v>
      </c>
      <c r="E558" t="s">
        <v>34</v>
      </c>
      <c r="F558" t="s">
        <v>35</v>
      </c>
      <c r="G558" t="s">
        <v>47</v>
      </c>
      <c r="H558" t="s">
        <v>356</v>
      </c>
      <c r="I558" t="s">
        <v>357</v>
      </c>
      <c r="J558" t="s">
        <v>358</v>
      </c>
      <c r="K558" t="s">
        <v>474</v>
      </c>
      <c r="L558" t="s">
        <v>40</v>
      </c>
      <c r="M558">
        <v>1</v>
      </c>
      <c r="N558">
        <v>32</v>
      </c>
      <c r="O558">
        <v>32</v>
      </c>
      <c r="P558" t="s">
        <v>41</v>
      </c>
      <c r="Q558">
        <v>592.70000000000005</v>
      </c>
      <c r="R558">
        <v>592.70000000000005</v>
      </c>
      <c r="S558">
        <v>948.32</v>
      </c>
      <c r="T558">
        <v>18966.400000000001</v>
      </c>
      <c r="U558">
        <v>5</v>
      </c>
      <c r="V558" t="s">
        <v>42</v>
      </c>
      <c r="W558" t="s">
        <v>474</v>
      </c>
      <c r="X558" s="6" t="str">
        <f t="shared" si="30"/>
        <v>441811009</v>
      </c>
      <c r="Y558" s="7" t="str">
        <f t="shared" si="31"/>
        <v>DC</v>
      </c>
      <c r="Z558" s="7">
        <f t="shared" si="32"/>
        <v>0</v>
      </c>
      <c r="AA558" s="7">
        <f t="shared" si="33"/>
        <v>32</v>
      </c>
      <c r="AB558" s="7">
        <f t="shared" si="34"/>
        <v>0</v>
      </c>
      <c r="AC558" s="7">
        <f t="shared" si="35"/>
        <v>0</v>
      </c>
      <c r="AD558" s="7">
        <f t="shared" si="36"/>
        <v>0</v>
      </c>
      <c r="AE558" s="8" t="str" cm="1">
        <f t="array" ref="AE558">IFERROR(_xlfn.XLOOKUP(H558,Sheet1!$G:$G,Sheet1!$F:$F),IFERROR(_xlfn.XLOOKUP(1,(--($X$2:$X$1074=X558))*(--ISNUMBER(MATCH($H$2:$H$1074,Sheet1!$G:$G,0))),_xlfn.XLOOKUP($H$2:$H$1074,Sheet1!$G:$G,Sheet1!$F:$F,"")),"NOT FOUND"))</f>
        <v>GETCRDSFUT6099</v>
      </c>
      <c r="AF558" s="9" t="str">
        <f t="shared" si="37"/>
        <v>LIME GREEN</v>
      </c>
      <c r="AG558" s="10" t="str">
        <f t="shared" si="38"/>
        <v>Bangalore</v>
      </c>
      <c r="AH558" s="8" t="str" cm="1">
        <f t="array" ref="AH558">IF(OR(J558="",AE558="",AE558="NOT FOUND"),"",IF(Y558="RP",_xlfn.LET(_xlpm.desc,_xlfn.XLOOKUP(1,(--(Sheet1!$F$2:$F$754=AE558))*(--ISNUMBER(FIND("-",Sheet1!$W$2:$W$754,FIND("-",Sheet1!$W$2:$W$754)+1))),Sheet1!$W$2:$W$754,""),IF(_xlpm.desc="","NOT FOUND",LEFT(_xlpm.desc,FIND("-",_xlpm.desc,FIND("-",_xlpm.desc)+1))&amp;AE558)),LEFT(J558,FIND("-",J558,FIND("-",J558)+1))&amp;AE558))</f>
        <v>SKD-APWN26-GETCRDSFUT6099</v>
      </c>
    </row>
    <row r="559" spans="1:34" ht="15.75" customHeight="1" x14ac:dyDescent="0.2">
      <c r="A559" t="s">
        <v>30</v>
      </c>
      <c r="B559" t="s">
        <v>349</v>
      </c>
      <c r="C559" t="s">
        <v>64</v>
      </c>
      <c r="D559" t="s">
        <v>189</v>
      </c>
      <c r="E559" t="s">
        <v>34</v>
      </c>
      <c r="F559" t="s">
        <v>35</v>
      </c>
      <c r="G559" t="s">
        <v>51</v>
      </c>
      <c r="H559" t="s">
        <v>359</v>
      </c>
      <c r="I559" t="s">
        <v>360</v>
      </c>
      <c r="J559" t="s">
        <v>361</v>
      </c>
      <c r="K559" t="s">
        <v>474</v>
      </c>
      <c r="L559" t="s">
        <v>40</v>
      </c>
      <c r="M559">
        <v>1</v>
      </c>
      <c r="N559">
        <v>30</v>
      </c>
      <c r="O559">
        <v>30</v>
      </c>
      <c r="P559" t="s">
        <v>41</v>
      </c>
      <c r="Q559">
        <v>592.70000000000005</v>
      </c>
      <c r="R559">
        <v>592.70000000000005</v>
      </c>
      <c r="S559">
        <v>889.05</v>
      </c>
      <c r="T559">
        <v>17781</v>
      </c>
      <c r="U559">
        <v>5</v>
      </c>
      <c r="V559" t="s">
        <v>42</v>
      </c>
      <c r="W559" t="s">
        <v>474</v>
      </c>
      <c r="X559" s="6" t="str">
        <f t="shared" si="30"/>
        <v>441811009</v>
      </c>
      <c r="Y559" s="7" t="str">
        <f t="shared" si="31"/>
        <v>DC</v>
      </c>
      <c r="Z559" s="7">
        <f t="shared" si="32"/>
        <v>30</v>
      </c>
      <c r="AA559" s="7">
        <f t="shared" si="33"/>
        <v>0</v>
      </c>
      <c r="AB559" s="7">
        <f t="shared" si="34"/>
        <v>0</v>
      </c>
      <c r="AC559" s="7">
        <f t="shared" si="35"/>
        <v>0</v>
      </c>
      <c r="AD559" s="7">
        <f t="shared" si="36"/>
        <v>0</v>
      </c>
      <c r="AE559" s="8" t="str" cm="1">
        <f t="array" ref="AE559">IFERROR(_xlfn.XLOOKUP(H559,Sheet1!$G:$G,Sheet1!$F:$F),IFERROR(_xlfn.XLOOKUP(1,(--($X$2:$X$1074=X559))*(--ISNUMBER(MATCH($H$2:$H$1074,Sheet1!$G:$G,0))),_xlfn.XLOOKUP($H$2:$H$1074,Sheet1!$G:$G,Sheet1!$F:$F,"")),"NOT FOUND"))</f>
        <v>GETCRDSFUT6099</v>
      </c>
      <c r="AF559" s="9" t="str">
        <f t="shared" si="37"/>
        <v>LIME GREEN</v>
      </c>
      <c r="AG559" s="10" t="str">
        <f t="shared" si="38"/>
        <v>Bangalore</v>
      </c>
      <c r="AH559" s="8" t="str" cm="1">
        <f t="array" ref="AH559">IF(OR(J559="",AE559="",AE559="NOT FOUND"),"",IF(Y559="RP",_xlfn.LET(_xlpm.desc,_xlfn.XLOOKUP(1,(--(Sheet1!$F$2:$F$754=AE559))*(--ISNUMBER(FIND("-",Sheet1!$W$2:$W$754,FIND("-",Sheet1!$W$2:$W$754)+1))),Sheet1!$W$2:$W$754,""),IF(_xlpm.desc="","NOT FOUND",LEFT(_xlpm.desc,FIND("-",_xlpm.desc,FIND("-",_xlpm.desc)+1))&amp;AE559)),LEFT(J559,FIND("-",J559,FIND("-",J559)+1))&amp;AE559))</f>
        <v>SKD-APWN26-GETCRDSFUT6099</v>
      </c>
    </row>
    <row r="560" spans="1:34" ht="15.75" customHeight="1" x14ac:dyDescent="0.2">
      <c r="A560" t="s">
        <v>30</v>
      </c>
      <c r="B560" t="s">
        <v>349</v>
      </c>
      <c r="C560" t="s">
        <v>64</v>
      </c>
      <c r="D560" t="s">
        <v>189</v>
      </c>
      <c r="E560" t="s">
        <v>34</v>
      </c>
      <c r="F560" t="s">
        <v>35</v>
      </c>
      <c r="G560" t="s">
        <v>55</v>
      </c>
      <c r="H560" t="s">
        <v>362</v>
      </c>
      <c r="I560" t="s">
        <v>363</v>
      </c>
      <c r="J560" t="s">
        <v>364</v>
      </c>
      <c r="K560" t="s">
        <v>474</v>
      </c>
      <c r="L560" t="s">
        <v>40</v>
      </c>
      <c r="M560">
        <v>1</v>
      </c>
      <c r="N560">
        <v>30</v>
      </c>
      <c r="O560">
        <v>30</v>
      </c>
      <c r="P560" t="s">
        <v>41</v>
      </c>
      <c r="Q560">
        <v>592.70000000000005</v>
      </c>
      <c r="R560">
        <v>592.70000000000005</v>
      </c>
      <c r="S560">
        <v>889.05</v>
      </c>
      <c r="T560">
        <v>17781</v>
      </c>
      <c r="U560">
        <v>5</v>
      </c>
      <c r="V560" t="s">
        <v>42</v>
      </c>
      <c r="W560" t="s">
        <v>474</v>
      </c>
      <c r="X560" s="6" t="str">
        <f t="shared" si="30"/>
        <v>441811009</v>
      </c>
      <c r="Y560" s="7" t="str">
        <f t="shared" si="31"/>
        <v>DC</v>
      </c>
      <c r="Z560" s="7">
        <f t="shared" si="32"/>
        <v>0</v>
      </c>
      <c r="AA560" s="7">
        <f t="shared" si="33"/>
        <v>0</v>
      </c>
      <c r="AB560" s="7">
        <f t="shared" si="34"/>
        <v>0</v>
      </c>
      <c r="AC560" s="7">
        <f t="shared" si="35"/>
        <v>30</v>
      </c>
      <c r="AD560" s="7">
        <f t="shared" si="36"/>
        <v>0</v>
      </c>
      <c r="AE560" s="8" t="str" cm="1">
        <f t="array" ref="AE560">IFERROR(_xlfn.XLOOKUP(H560,Sheet1!$G:$G,Sheet1!$F:$F),IFERROR(_xlfn.XLOOKUP(1,(--($X$2:$X$1074=X560))*(--ISNUMBER(MATCH($H$2:$H$1074,Sheet1!$G:$G,0))),_xlfn.XLOOKUP($H$2:$H$1074,Sheet1!$G:$G,Sheet1!$F:$F,"")),"NOT FOUND"))</f>
        <v>GETCRDSFUT6099</v>
      </c>
      <c r="AF560" s="9" t="str">
        <f t="shared" si="37"/>
        <v>LIME GREEN</v>
      </c>
      <c r="AG560" s="10" t="str">
        <f t="shared" si="38"/>
        <v>Bangalore</v>
      </c>
      <c r="AH560" s="8" t="str" cm="1">
        <f t="array" ref="AH560">IF(OR(J560="",AE560="",AE560="NOT FOUND"),"",IF(Y560="RP",_xlfn.LET(_xlpm.desc,_xlfn.XLOOKUP(1,(--(Sheet1!$F$2:$F$754=AE560))*(--ISNUMBER(FIND("-",Sheet1!$W$2:$W$754,FIND("-",Sheet1!$W$2:$W$754)+1))),Sheet1!$W$2:$W$754,""),IF(_xlpm.desc="","NOT FOUND",LEFT(_xlpm.desc,FIND("-",_xlpm.desc,FIND("-",_xlpm.desc)+1))&amp;AE560)),LEFT(J560,FIND("-",J560,FIND("-",J560)+1))&amp;AE560))</f>
        <v>SKD-APWN26-GETCRDSFUT6099</v>
      </c>
    </row>
    <row r="561" spans="1:34" ht="15.75" customHeight="1" x14ac:dyDescent="0.2">
      <c r="A561" t="s">
        <v>59</v>
      </c>
      <c r="B561" t="s">
        <v>365</v>
      </c>
      <c r="C561" t="s">
        <v>64</v>
      </c>
      <c r="D561" t="s">
        <v>292</v>
      </c>
      <c r="E561" t="s">
        <v>34</v>
      </c>
      <c r="F561" t="s">
        <v>35</v>
      </c>
      <c r="G561" t="s">
        <v>36</v>
      </c>
      <c r="H561" t="s">
        <v>334</v>
      </c>
      <c r="I561" t="s">
        <v>335</v>
      </c>
      <c r="J561" t="s">
        <v>336</v>
      </c>
      <c r="K561" t="s">
        <v>474</v>
      </c>
      <c r="L561" t="s">
        <v>40</v>
      </c>
      <c r="M561">
        <v>1</v>
      </c>
      <c r="N561">
        <v>30</v>
      </c>
      <c r="O561">
        <v>30</v>
      </c>
      <c r="P561" t="s">
        <v>41</v>
      </c>
      <c r="Q561">
        <v>494.7</v>
      </c>
      <c r="R561">
        <v>494.7</v>
      </c>
      <c r="S561">
        <v>742.05</v>
      </c>
      <c r="T561">
        <v>14841</v>
      </c>
      <c r="U561">
        <v>5</v>
      </c>
      <c r="V561" t="s">
        <v>42</v>
      </c>
      <c r="W561" t="s">
        <v>474</v>
      </c>
      <c r="X561" s="6" t="str">
        <f t="shared" si="30"/>
        <v>441811011</v>
      </c>
      <c r="Y561" s="7" t="str">
        <f t="shared" si="31"/>
        <v>DC</v>
      </c>
      <c r="Z561" s="7">
        <f t="shared" si="32"/>
        <v>0</v>
      </c>
      <c r="AA561" s="7">
        <f t="shared" si="33"/>
        <v>0</v>
      </c>
      <c r="AB561" s="7">
        <f t="shared" si="34"/>
        <v>0</v>
      </c>
      <c r="AC561" s="7">
        <f t="shared" si="35"/>
        <v>0</v>
      </c>
      <c r="AD561" s="7">
        <f t="shared" si="36"/>
        <v>30</v>
      </c>
      <c r="AE561" s="8" t="str" cm="1">
        <f t="array" ref="AE561">IFERROR(_xlfn.XLOOKUP(H561,Sheet1!$G:$G,Sheet1!$F:$F),IFERROR(_xlfn.XLOOKUP(1,(--($X$2:$X$1074=X561))*(--ISNUMBER(MATCH($H$2:$H$1074,Sheet1!$G:$G,0))),_xlfn.XLOOKUP($H$2:$H$1074,Sheet1!$G:$G,Sheet1!$F:$F,"")),"NOT FOUND"))</f>
        <v>GETCRDSFUT6206</v>
      </c>
      <c r="AF561" s="9" t="str">
        <f t="shared" si="37"/>
        <v>TEAL</v>
      </c>
      <c r="AG561" s="10" t="str">
        <f t="shared" si="38"/>
        <v>JHAJJAR</v>
      </c>
      <c r="AH561" s="8" t="str" cm="1">
        <f t="array" ref="AH561">IF(OR(J561="",AE561="",AE561="NOT FOUND"),"",IF(Y561="RP",_xlfn.LET(_xlpm.desc,_xlfn.XLOOKUP(1,(--(Sheet1!$F$2:$F$754=AE561))*(--ISNUMBER(FIND("-",Sheet1!$W$2:$W$754,FIND("-",Sheet1!$W$2:$W$754)+1))),Sheet1!$W$2:$W$754,""),IF(_xlpm.desc="","NOT FOUND",LEFT(_xlpm.desc,FIND("-",_xlpm.desc,FIND("-",_xlpm.desc)+1))&amp;AE561)),LEFT(J561,FIND("-",J561,FIND("-",J561)+1))&amp;AE561))</f>
        <v>SKD-APWN26-GETCRDSFUT6206</v>
      </c>
    </row>
    <row r="562" spans="1:34" ht="15.75" customHeight="1" x14ac:dyDescent="0.2">
      <c r="A562" t="s">
        <v>59</v>
      </c>
      <c r="B562" t="s">
        <v>365</v>
      </c>
      <c r="C562" t="s">
        <v>64</v>
      </c>
      <c r="D562" t="s">
        <v>292</v>
      </c>
      <c r="E562" t="s">
        <v>34</v>
      </c>
      <c r="F562" t="s">
        <v>35</v>
      </c>
      <c r="G562" t="s">
        <v>43</v>
      </c>
      <c r="H562" t="s">
        <v>337</v>
      </c>
      <c r="I562" t="s">
        <v>338</v>
      </c>
      <c r="J562" t="s">
        <v>339</v>
      </c>
      <c r="K562" t="s">
        <v>474</v>
      </c>
      <c r="L562" t="s">
        <v>40</v>
      </c>
      <c r="M562">
        <v>1</v>
      </c>
      <c r="N562">
        <v>71</v>
      </c>
      <c r="O562">
        <v>71</v>
      </c>
      <c r="P562" t="s">
        <v>41</v>
      </c>
      <c r="Q562">
        <v>494.7</v>
      </c>
      <c r="R562">
        <v>494.7</v>
      </c>
      <c r="S562">
        <v>1756.19</v>
      </c>
      <c r="T562">
        <v>35123.699999999997</v>
      </c>
      <c r="U562">
        <v>5</v>
      </c>
      <c r="V562" t="s">
        <v>42</v>
      </c>
      <c r="W562" t="s">
        <v>474</v>
      </c>
      <c r="X562" s="6" t="str">
        <f t="shared" si="30"/>
        <v>441811011</v>
      </c>
      <c r="Y562" s="7" t="str">
        <f t="shared" si="31"/>
        <v>DC</v>
      </c>
      <c r="Z562" s="7">
        <f t="shared" si="32"/>
        <v>0</v>
      </c>
      <c r="AA562" s="7">
        <f t="shared" si="33"/>
        <v>0</v>
      </c>
      <c r="AB562" s="7">
        <f t="shared" si="34"/>
        <v>71</v>
      </c>
      <c r="AC562" s="7">
        <f t="shared" si="35"/>
        <v>0</v>
      </c>
      <c r="AD562" s="7">
        <f t="shared" si="36"/>
        <v>0</v>
      </c>
      <c r="AE562" s="8" t="str" cm="1">
        <f t="array" ref="AE562">IFERROR(_xlfn.XLOOKUP(H562,Sheet1!$G:$G,Sheet1!$F:$F),IFERROR(_xlfn.XLOOKUP(1,(--($X$2:$X$1074=X562))*(--ISNUMBER(MATCH($H$2:$H$1074,Sheet1!$G:$G,0))),_xlfn.XLOOKUP($H$2:$H$1074,Sheet1!$G:$G,Sheet1!$F:$F,"")),"NOT FOUND"))</f>
        <v>GETCRDSFUT6206</v>
      </c>
      <c r="AF562" s="9" t="str">
        <f t="shared" si="37"/>
        <v>TEAL</v>
      </c>
      <c r="AG562" s="10" t="str">
        <f t="shared" si="38"/>
        <v>JHAJJAR</v>
      </c>
      <c r="AH562" s="8" t="str" cm="1">
        <f t="array" ref="AH562">IF(OR(J562="",AE562="",AE562="NOT FOUND"),"",IF(Y562="RP",_xlfn.LET(_xlpm.desc,_xlfn.XLOOKUP(1,(--(Sheet1!$F$2:$F$754=AE562))*(--ISNUMBER(FIND("-",Sheet1!$W$2:$W$754,FIND("-",Sheet1!$W$2:$W$754)+1))),Sheet1!$W$2:$W$754,""),IF(_xlpm.desc="","NOT FOUND",LEFT(_xlpm.desc,FIND("-",_xlpm.desc,FIND("-",_xlpm.desc)+1))&amp;AE562)),LEFT(J562,FIND("-",J562,FIND("-",J562)+1))&amp;AE562))</f>
        <v>SKD-APWN26-GETCRDSFUT6206</v>
      </c>
    </row>
    <row r="563" spans="1:34" ht="15.75" customHeight="1" x14ac:dyDescent="0.2">
      <c r="A563" t="s">
        <v>59</v>
      </c>
      <c r="B563" t="s">
        <v>365</v>
      </c>
      <c r="C563" t="s">
        <v>64</v>
      </c>
      <c r="D563" t="s">
        <v>292</v>
      </c>
      <c r="E563" t="s">
        <v>34</v>
      </c>
      <c r="F563" t="s">
        <v>35</v>
      </c>
      <c r="G563" t="s">
        <v>47</v>
      </c>
      <c r="H563" t="s">
        <v>340</v>
      </c>
      <c r="I563" t="s">
        <v>341</v>
      </c>
      <c r="J563" t="s">
        <v>342</v>
      </c>
      <c r="K563" t="s">
        <v>474</v>
      </c>
      <c r="L563" t="s">
        <v>40</v>
      </c>
      <c r="M563">
        <v>1</v>
      </c>
      <c r="N563">
        <v>75</v>
      </c>
      <c r="O563">
        <v>75</v>
      </c>
      <c r="P563" t="s">
        <v>41</v>
      </c>
      <c r="Q563">
        <v>494.7</v>
      </c>
      <c r="R563">
        <v>494.7</v>
      </c>
      <c r="S563">
        <v>1855.13</v>
      </c>
      <c r="T563">
        <v>37102.5</v>
      </c>
      <c r="U563">
        <v>5</v>
      </c>
      <c r="V563" t="s">
        <v>42</v>
      </c>
      <c r="W563" t="s">
        <v>474</v>
      </c>
      <c r="X563" s="6" t="str">
        <f t="shared" si="30"/>
        <v>441811011</v>
      </c>
      <c r="Y563" s="7" t="str">
        <f t="shared" si="31"/>
        <v>DC</v>
      </c>
      <c r="Z563" s="7">
        <f t="shared" si="32"/>
        <v>0</v>
      </c>
      <c r="AA563" s="7">
        <f t="shared" si="33"/>
        <v>75</v>
      </c>
      <c r="AB563" s="7">
        <f t="shared" si="34"/>
        <v>0</v>
      </c>
      <c r="AC563" s="7">
        <f t="shared" si="35"/>
        <v>0</v>
      </c>
      <c r="AD563" s="7">
        <f t="shared" si="36"/>
        <v>0</v>
      </c>
      <c r="AE563" s="8" t="str" cm="1">
        <f t="array" ref="AE563">IFERROR(_xlfn.XLOOKUP(H563,Sheet1!$G:$G,Sheet1!$F:$F),IFERROR(_xlfn.XLOOKUP(1,(--($X$2:$X$1074=X563))*(--ISNUMBER(MATCH($H$2:$H$1074,Sheet1!$G:$G,0))),_xlfn.XLOOKUP($H$2:$H$1074,Sheet1!$G:$G,Sheet1!$F:$F,"")),"NOT FOUND"))</f>
        <v>GETCRDSFUT6206</v>
      </c>
      <c r="AF563" s="9" t="str">
        <f t="shared" si="37"/>
        <v>TEAL</v>
      </c>
      <c r="AG563" s="10" t="str">
        <f t="shared" si="38"/>
        <v>JHAJJAR</v>
      </c>
      <c r="AH563" s="8" t="str" cm="1">
        <f t="array" ref="AH563">IF(OR(J563="",AE563="",AE563="NOT FOUND"),"",IF(Y563="RP",_xlfn.LET(_xlpm.desc,_xlfn.XLOOKUP(1,(--(Sheet1!$F$2:$F$754=AE563))*(--ISNUMBER(FIND("-",Sheet1!$W$2:$W$754,FIND("-",Sheet1!$W$2:$W$754)+1))),Sheet1!$W$2:$W$754,""),IF(_xlpm.desc="","NOT FOUND",LEFT(_xlpm.desc,FIND("-",_xlpm.desc,FIND("-",_xlpm.desc)+1))&amp;AE563)),LEFT(J563,FIND("-",J563,FIND("-",J563)+1))&amp;AE563))</f>
        <v>SKD-APWN26-GETCRDSFUT6206</v>
      </c>
    </row>
    <row r="564" spans="1:34" ht="15.75" customHeight="1" x14ac:dyDescent="0.2">
      <c r="A564" t="s">
        <v>59</v>
      </c>
      <c r="B564" t="s">
        <v>365</v>
      </c>
      <c r="C564" t="s">
        <v>64</v>
      </c>
      <c r="D564" t="s">
        <v>292</v>
      </c>
      <c r="E564" t="s">
        <v>34</v>
      </c>
      <c r="F564" t="s">
        <v>35</v>
      </c>
      <c r="G564" t="s">
        <v>51</v>
      </c>
      <c r="H564" t="s">
        <v>343</v>
      </c>
      <c r="I564" t="s">
        <v>344</v>
      </c>
      <c r="J564" t="s">
        <v>345</v>
      </c>
      <c r="K564" t="s">
        <v>474</v>
      </c>
      <c r="L564" t="s">
        <v>40</v>
      </c>
      <c r="M564">
        <v>1</v>
      </c>
      <c r="N564">
        <v>30</v>
      </c>
      <c r="O564">
        <v>30</v>
      </c>
      <c r="P564" t="s">
        <v>41</v>
      </c>
      <c r="Q564">
        <v>494.7</v>
      </c>
      <c r="R564">
        <v>494.7</v>
      </c>
      <c r="S564">
        <v>742.05</v>
      </c>
      <c r="T564">
        <v>14841</v>
      </c>
      <c r="U564">
        <v>5</v>
      </c>
      <c r="V564" t="s">
        <v>42</v>
      </c>
      <c r="W564" t="s">
        <v>474</v>
      </c>
      <c r="X564" s="6" t="str">
        <f t="shared" si="30"/>
        <v>441811011</v>
      </c>
      <c r="Y564" s="7" t="str">
        <f t="shared" si="31"/>
        <v>DC</v>
      </c>
      <c r="Z564" s="7">
        <f t="shared" si="32"/>
        <v>30</v>
      </c>
      <c r="AA564" s="7">
        <f t="shared" si="33"/>
        <v>0</v>
      </c>
      <c r="AB564" s="7">
        <f t="shared" si="34"/>
        <v>0</v>
      </c>
      <c r="AC564" s="7">
        <f t="shared" si="35"/>
        <v>0</v>
      </c>
      <c r="AD564" s="7">
        <f t="shared" si="36"/>
        <v>0</v>
      </c>
      <c r="AE564" s="8" t="str" cm="1">
        <f t="array" ref="AE564">IFERROR(_xlfn.XLOOKUP(H564,Sheet1!$G:$G,Sheet1!$F:$F),IFERROR(_xlfn.XLOOKUP(1,(--($X$2:$X$1074=X564))*(--ISNUMBER(MATCH($H$2:$H$1074,Sheet1!$G:$G,0))),_xlfn.XLOOKUP($H$2:$H$1074,Sheet1!$G:$G,Sheet1!$F:$F,"")),"NOT FOUND"))</f>
        <v>GETCRDSFUT6206</v>
      </c>
      <c r="AF564" s="9" t="str">
        <f t="shared" si="37"/>
        <v>TEAL</v>
      </c>
      <c r="AG564" s="10" t="str">
        <f t="shared" si="38"/>
        <v>JHAJJAR</v>
      </c>
      <c r="AH564" s="8" t="str" cm="1">
        <f t="array" ref="AH564">IF(OR(J564="",AE564="",AE564="NOT FOUND"),"",IF(Y564="RP",_xlfn.LET(_xlpm.desc,_xlfn.XLOOKUP(1,(--(Sheet1!$F$2:$F$754=AE564))*(--ISNUMBER(FIND("-",Sheet1!$W$2:$W$754,FIND("-",Sheet1!$W$2:$W$754)+1))),Sheet1!$W$2:$W$754,""),IF(_xlpm.desc="","NOT FOUND",LEFT(_xlpm.desc,FIND("-",_xlpm.desc,FIND("-",_xlpm.desc)+1))&amp;AE564)),LEFT(J564,FIND("-",J564,FIND("-",J564)+1))&amp;AE564))</f>
        <v>SKD-APWN26-GETCRDSFUT6206</v>
      </c>
    </row>
    <row r="565" spans="1:34" ht="15.75" customHeight="1" x14ac:dyDescent="0.2">
      <c r="A565" t="s">
        <v>59</v>
      </c>
      <c r="B565" t="s">
        <v>365</v>
      </c>
      <c r="C565" t="s">
        <v>64</v>
      </c>
      <c r="D565" t="s">
        <v>292</v>
      </c>
      <c r="E565" t="s">
        <v>34</v>
      </c>
      <c r="F565" t="s">
        <v>35</v>
      </c>
      <c r="G565" t="s">
        <v>55</v>
      </c>
      <c r="H565" t="s">
        <v>346</v>
      </c>
      <c r="I565" t="s">
        <v>347</v>
      </c>
      <c r="J565" t="s">
        <v>348</v>
      </c>
      <c r="K565" t="s">
        <v>474</v>
      </c>
      <c r="L565" t="s">
        <v>40</v>
      </c>
      <c r="M565">
        <v>1</v>
      </c>
      <c r="N565">
        <v>71</v>
      </c>
      <c r="O565">
        <v>71</v>
      </c>
      <c r="P565" t="s">
        <v>41</v>
      </c>
      <c r="Q565">
        <v>494.7</v>
      </c>
      <c r="R565">
        <v>494.7</v>
      </c>
      <c r="S565">
        <v>1756.19</v>
      </c>
      <c r="T565">
        <v>35123.699999999997</v>
      </c>
      <c r="U565">
        <v>5</v>
      </c>
      <c r="V565" t="s">
        <v>42</v>
      </c>
      <c r="W565" t="s">
        <v>474</v>
      </c>
      <c r="X565" s="6" t="str">
        <f t="shared" si="30"/>
        <v>441811011</v>
      </c>
      <c r="Y565" s="7" t="str">
        <f t="shared" si="31"/>
        <v>DC</v>
      </c>
      <c r="Z565" s="7">
        <f t="shared" si="32"/>
        <v>0</v>
      </c>
      <c r="AA565" s="7">
        <f t="shared" si="33"/>
        <v>0</v>
      </c>
      <c r="AB565" s="7">
        <f t="shared" si="34"/>
        <v>0</v>
      </c>
      <c r="AC565" s="7">
        <f t="shared" si="35"/>
        <v>71</v>
      </c>
      <c r="AD565" s="7">
        <f t="shared" si="36"/>
        <v>0</v>
      </c>
      <c r="AE565" s="8" t="str" cm="1">
        <f t="array" ref="AE565">IFERROR(_xlfn.XLOOKUP(H565,Sheet1!$G:$G,Sheet1!$F:$F),IFERROR(_xlfn.XLOOKUP(1,(--($X$2:$X$1074=X565))*(--ISNUMBER(MATCH($H$2:$H$1074,Sheet1!$G:$G,0))),_xlfn.XLOOKUP($H$2:$H$1074,Sheet1!$G:$G,Sheet1!$F:$F,"")),"NOT FOUND"))</f>
        <v>GETCRDSFUT6206</v>
      </c>
      <c r="AF565" s="9" t="str">
        <f t="shared" si="37"/>
        <v>TEAL</v>
      </c>
      <c r="AG565" s="10" t="str">
        <f t="shared" si="38"/>
        <v>JHAJJAR</v>
      </c>
      <c r="AH565" s="8" t="str" cm="1">
        <f t="array" ref="AH565">IF(OR(J565="",AE565="",AE565="NOT FOUND"),"",IF(Y565="RP",_xlfn.LET(_xlpm.desc,_xlfn.XLOOKUP(1,(--(Sheet1!$F$2:$F$754=AE565))*(--ISNUMBER(FIND("-",Sheet1!$W$2:$W$754,FIND("-",Sheet1!$W$2:$W$754)+1))),Sheet1!$W$2:$W$754,""),IF(_xlpm.desc="","NOT FOUND",LEFT(_xlpm.desc,FIND("-",_xlpm.desc,FIND("-",_xlpm.desc)+1))&amp;AE565)),LEFT(J565,FIND("-",J565,FIND("-",J565)+1))&amp;AE565))</f>
        <v>SKD-APWN26-GETCRDSFUT6206</v>
      </c>
    </row>
    <row r="566" spans="1:34" ht="15.75" customHeight="1" x14ac:dyDescent="0.2">
      <c r="A566" t="s">
        <v>59</v>
      </c>
      <c r="B566" t="s">
        <v>366</v>
      </c>
      <c r="C566" t="s">
        <v>64</v>
      </c>
      <c r="D566" t="s">
        <v>189</v>
      </c>
      <c r="E566" t="s">
        <v>34</v>
      </c>
      <c r="F566" t="s">
        <v>35</v>
      </c>
      <c r="G566" t="s">
        <v>36</v>
      </c>
      <c r="H566" t="s">
        <v>350</v>
      </c>
      <c r="I566" t="s">
        <v>351</v>
      </c>
      <c r="J566" t="s">
        <v>352</v>
      </c>
      <c r="K566" t="s">
        <v>474</v>
      </c>
      <c r="L566" t="s">
        <v>40</v>
      </c>
      <c r="M566">
        <v>1</v>
      </c>
      <c r="N566">
        <v>30</v>
      </c>
      <c r="O566">
        <v>30</v>
      </c>
      <c r="P566" t="s">
        <v>41</v>
      </c>
      <c r="Q566">
        <v>592.70000000000005</v>
      </c>
      <c r="R566">
        <v>592.70000000000005</v>
      </c>
      <c r="S566">
        <v>889.05</v>
      </c>
      <c r="T566">
        <v>17781</v>
      </c>
      <c r="U566">
        <v>5</v>
      </c>
      <c r="V566" t="s">
        <v>42</v>
      </c>
      <c r="W566" t="s">
        <v>474</v>
      </c>
      <c r="X566" s="6" t="str">
        <f t="shared" si="30"/>
        <v>441811009</v>
      </c>
      <c r="Y566" s="7" t="str">
        <f t="shared" si="31"/>
        <v>DC</v>
      </c>
      <c r="Z566" s="7">
        <f t="shared" si="32"/>
        <v>0</v>
      </c>
      <c r="AA566" s="7">
        <f t="shared" si="33"/>
        <v>0</v>
      </c>
      <c r="AB566" s="7">
        <f t="shared" si="34"/>
        <v>0</v>
      </c>
      <c r="AC566" s="7">
        <f t="shared" si="35"/>
        <v>0</v>
      </c>
      <c r="AD566" s="7">
        <f t="shared" si="36"/>
        <v>30</v>
      </c>
      <c r="AE566" s="8" t="str" cm="1">
        <f t="array" ref="AE566">IFERROR(_xlfn.XLOOKUP(H566,Sheet1!$G:$G,Sheet1!$F:$F),IFERROR(_xlfn.XLOOKUP(1,(--($X$2:$X$1074=X566))*(--ISNUMBER(MATCH($H$2:$H$1074,Sheet1!$G:$G,0))),_xlfn.XLOOKUP($H$2:$H$1074,Sheet1!$G:$G,Sheet1!$F:$F,"")),"NOT FOUND"))</f>
        <v>GETCRDSFUT6099</v>
      </c>
      <c r="AF566" s="9" t="str">
        <f t="shared" si="37"/>
        <v>LIME GREEN</v>
      </c>
      <c r="AG566" s="10" t="str">
        <f t="shared" si="38"/>
        <v>JHAJJAR</v>
      </c>
      <c r="AH566" s="8" t="str" cm="1">
        <f t="array" ref="AH566">IF(OR(J566="",AE566="",AE566="NOT FOUND"),"",IF(Y566="RP",_xlfn.LET(_xlpm.desc,_xlfn.XLOOKUP(1,(--(Sheet1!$F$2:$F$754=AE566))*(--ISNUMBER(FIND("-",Sheet1!$W$2:$W$754,FIND("-",Sheet1!$W$2:$W$754)+1))),Sheet1!$W$2:$W$754,""),IF(_xlpm.desc="","NOT FOUND",LEFT(_xlpm.desc,FIND("-",_xlpm.desc,FIND("-",_xlpm.desc)+1))&amp;AE566)),LEFT(J566,FIND("-",J566,FIND("-",J566)+1))&amp;AE566))</f>
        <v>SKD-APWN26-GETCRDSFUT6099</v>
      </c>
    </row>
    <row r="567" spans="1:34" ht="15.75" customHeight="1" x14ac:dyDescent="0.2">
      <c r="A567" t="s">
        <v>59</v>
      </c>
      <c r="B567" t="s">
        <v>366</v>
      </c>
      <c r="C567" t="s">
        <v>64</v>
      </c>
      <c r="D567" t="s">
        <v>189</v>
      </c>
      <c r="E567" t="s">
        <v>34</v>
      </c>
      <c r="F567" t="s">
        <v>35</v>
      </c>
      <c r="G567" t="s">
        <v>43</v>
      </c>
      <c r="H567" t="s">
        <v>353</v>
      </c>
      <c r="I567" t="s">
        <v>354</v>
      </c>
      <c r="J567" t="s">
        <v>355</v>
      </c>
      <c r="K567" t="s">
        <v>474</v>
      </c>
      <c r="L567" t="s">
        <v>40</v>
      </c>
      <c r="M567">
        <v>1</v>
      </c>
      <c r="N567">
        <v>30</v>
      </c>
      <c r="O567">
        <v>30</v>
      </c>
      <c r="P567" t="s">
        <v>41</v>
      </c>
      <c r="Q567">
        <v>592.70000000000005</v>
      </c>
      <c r="R567">
        <v>592.70000000000005</v>
      </c>
      <c r="S567">
        <v>889.05</v>
      </c>
      <c r="T567">
        <v>17781</v>
      </c>
      <c r="U567">
        <v>5</v>
      </c>
      <c r="V567" t="s">
        <v>42</v>
      </c>
      <c r="W567" t="s">
        <v>474</v>
      </c>
      <c r="X567" s="6" t="str">
        <f t="shared" si="30"/>
        <v>441811009</v>
      </c>
      <c r="Y567" s="7" t="str">
        <f t="shared" si="31"/>
        <v>DC</v>
      </c>
      <c r="Z567" s="7">
        <f t="shared" si="32"/>
        <v>0</v>
      </c>
      <c r="AA567" s="7">
        <f t="shared" si="33"/>
        <v>0</v>
      </c>
      <c r="AB567" s="7">
        <f t="shared" si="34"/>
        <v>30</v>
      </c>
      <c r="AC567" s="7">
        <f t="shared" si="35"/>
        <v>0</v>
      </c>
      <c r="AD567" s="7">
        <f t="shared" si="36"/>
        <v>0</v>
      </c>
      <c r="AE567" s="8" t="str" cm="1">
        <f t="array" ref="AE567">IFERROR(_xlfn.XLOOKUP(H567,Sheet1!$G:$G,Sheet1!$F:$F),IFERROR(_xlfn.XLOOKUP(1,(--($X$2:$X$1074=X567))*(--ISNUMBER(MATCH($H$2:$H$1074,Sheet1!$G:$G,0))),_xlfn.XLOOKUP($H$2:$H$1074,Sheet1!$G:$G,Sheet1!$F:$F,"")),"NOT FOUND"))</f>
        <v>GETCRDSFUT6099</v>
      </c>
      <c r="AF567" s="9" t="str">
        <f t="shared" si="37"/>
        <v>LIME GREEN</v>
      </c>
      <c r="AG567" s="10" t="str">
        <f t="shared" si="38"/>
        <v>JHAJJAR</v>
      </c>
      <c r="AH567" s="8" t="str" cm="1">
        <f t="array" ref="AH567">IF(OR(J567="",AE567="",AE567="NOT FOUND"),"",IF(Y567="RP",_xlfn.LET(_xlpm.desc,_xlfn.XLOOKUP(1,(--(Sheet1!$F$2:$F$754=AE567))*(--ISNUMBER(FIND("-",Sheet1!$W$2:$W$754,FIND("-",Sheet1!$W$2:$W$754)+1))),Sheet1!$W$2:$W$754,""),IF(_xlpm.desc="","NOT FOUND",LEFT(_xlpm.desc,FIND("-",_xlpm.desc,FIND("-",_xlpm.desc)+1))&amp;AE567)),LEFT(J567,FIND("-",J567,FIND("-",J567)+1))&amp;AE567))</f>
        <v>SKD-APWN26-GETCRDSFUT6099</v>
      </c>
    </row>
    <row r="568" spans="1:34" ht="15.75" customHeight="1" x14ac:dyDescent="0.2">
      <c r="A568" t="s">
        <v>59</v>
      </c>
      <c r="B568" t="s">
        <v>366</v>
      </c>
      <c r="C568" t="s">
        <v>64</v>
      </c>
      <c r="D568" t="s">
        <v>189</v>
      </c>
      <c r="E568" t="s">
        <v>34</v>
      </c>
      <c r="F568" t="s">
        <v>35</v>
      </c>
      <c r="G568" t="s">
        <v>47</v>
      </c>
      <c r="H568" t="s">
        <v>356</v>
      </c>
      <c r="I568" t="s">
        <v>357</v>
      </c>
      <c r="J568" t="s">
        <v>358</v>
      </c>
      <c r="K568" t="s">
        <v>474</v>
      </c>
      <c r="L568" t="s">
        <v>40</v>
      </c>
      <c r="M568">
        <v>1</v>
      </c>
      <c r="N568">
        <v>30</v>
      </c>
      <c r="O568">
        <v>30</v>
      </c>
      <c r="P568" t="s">
        <v>41</v>
      </c>
      <c r="Q568">
        <v>592.70000000000005</v>
      </c>
      <c r="R568">
        <v>592.70000000000005</v>
      </c>
      <c r="S568">
        <v>889.05</v>
      </c>
      <c r="T568">
        <v>17781</v>
      </c>
      <c r="U568">
        <v>5</v>
      </c>
      <c r="V568" t="s">
        <v>42</v>
      </c>
      <c r="W568" t="s">
        <v>474</v>
      </c>
      <c r="X568" s="6" t="str">
        <f t="shared" si="30"/>
        <v>441811009</v>
      </c>
      <c r="Y568" s="7" t="str">
        <f t="shared" si="31"/>
        <v>DC</v>
      </c>
      <c r="Z568" s="7">
        <f t="shared" si="32"/>
        <v>0</v>
      </c>
      <c r="AA568" s="7">
        <f t="shared" si="33"/>
        <v>30</v>
      </c>
      <c r="AB568" s="7">
        <f t="shared" si="34"/>
        <v>0</v>
      </c>
      <c r="AC568" s="7">
        <f t="shared" si="35"/>
        <v>0</v>
      </c>
      <c r="AD568" s="7">
        <f t="shared" si="36"/>
        <v>0</v>
      </c>
      <c r="AE568" s="8" t="str" cm="1">
        <f t="array" ref="AE568">IFERROR(_xlfn.XLOOKUP(H568,Sheet1!$G:$G,Sheet1!$F:$F),IFERROR(_xlfn.XLOOKUP(1,(--($X$2:$X$1074=X568))*(--ISNUMBER(MATCH($H$2:$H$1074,Sheet1!$G:$G,0))),_xlfn.XLOOKUP($H$2:$H$1074,Sheet1!$G:$G,Sheet1!$F:$F,"")),"NOT FOUND"))</f>
        <v>GETCRDSFUT6099</v>
      </c>
      <c r="AF568" s="9" t="str">
        <f t="shared" si="37"/>
        <v>LIME GREEN</v>
      </c>
      <c r="AG568" s="10" t="str">
        <f t="shared" si="38"/>
        <v>JHAJJAR</v>
      </c>
      <c r="AH568" s="8" t="str" cm="1">
        <f t="array" ref="AH568">IF(OR(J568="",AE568="",AE568="NOT FOUND"),"",IF(Y568="RP",_xlfn.LET(_xlpm.desc,_xlfn.XLOOKUP(1,(--(Sheet1!$F$2:$F$754=AE568))*(--ISNUMBER(FIND("-",Sheet1!$W$2:$W$754,FIND("-",Sheet1!$W$2:$W$754)+1))),Sheet1!$W$2:$W$754,""),IF(_xlpm.desc="","NOT FOUND",LEFT(_xlpm.desc,FIND("-",_xlpm.desc,FIND("-",_xlpm.desc)+1))&amp;AE568)),LEFT(J568,FIND("-",J568,FIND("-",J568)+1))&amp;AE568))</f>
        <v>SKD-APWN26-GETCRDSFUT6099</v>
      </c>
    </row>
    <row r="569" spans="1:34" ht="15.75" customHeight="1" x14ac:dyDescent="0.2">
      <c r="A569" t="s">
        <v>59</v>
      </c>
      <c r="B569" t="s">
        <v>366</v>
      </c>
      <c r="C569" t="s">
        <v>64</v>
      </c>
      <c r="D569" t="s">
        <v>189</v>
      </c>
      <c r="E569" t="s">
        <v>34</v>
      </c>
      <c r="F569" t="s">
        <v>35</v>
      </c>
      <c r="G569" t="s">
        <v>51</v>
      </c>
      <c r="H569" t="s">
        <v>359</v>
      </c>
      <c r="I569" t="s">
        <v>360</v>
      </c>
      <c r="J569" t="s">
        <v>361</v>
      </c>
      <c r="K569" t="s">
        <v>474</v>
      </c>
      <c r="L569" t="s">
        <v>40</v>
      </c>
      <c r="M569">
        <v>1</v>
      </c>
      <c r="N569">
        <v>30</v>
      </c>
      <c r="O569">
        <v>30</v>
      </c>
      <c r="P569" t="s">
        <v>41</v>
      </c>
      <c r="Q569">
        <v>592.70000000000005</v>
      </c>
      <c r="R569">
        <v>592.70000000000005</v>
      </c>
      <c r="S569">
        <v>889.05</v>
      </c>
      <c r="T569">
        <v>17781</v>
      </c>
      <c r="U569">
        <v>5</v>
      </c>
      <c r="V569" t="s">
        <v>42</v>
      </c>
      <c r="W569" t="s">
        <v>474</v>
      </c>
      <c r="X569" s="6" t="str">
        <f t="shared" si="30"/>
        <v>441811009</v>
      </c>
      <c r="Y569" s="7" t="str">
        <f t="shared" si="31"/>
        <v>DC</v>
      </c>
      <c r="Z569" s="7">
        <f t="shared" si="32"/>
        <v>30</v>
      </c>
      <c r="AA569" s="7">
        <f t="shared" si="33"/>
        <v>0</v>
      </c>
      <c r="AB569" s="7">
        <f t="shared" si="34"/>
        <v>0</v>
      </c>
      <c r="AC569" s="7">
        <f t="shared" si="35"/>
        <v>0</v>
      </c>
      <c r="AD569" s="7">
        <f t="shared" si="36"/>
        <v>0</v>
      </c>
      <c r="AE569" s="8" t="str" cm="1">
        <f t="array" ref="AE569">IFERROR(_xlfn.XLOOKUP(H569,Sheet1!$G:$G,Sheet1!$F:$F),IFERROR(_xlfn.XLOOKUP(1,(--($X$2:$X$1074=X569))*(--ISNUMBER(MATCH($H$2:$H$1074,Sheet1!$G:$G,0))),_xlfn.XLOOKUP($H$2:$H$1074,Sheet1!$G:$G,Sheet1!$F:$F,"")),"NOT FOUND"))</f>
        <v>GETCRDSFUT6099</v>
      </c>
      <c r="AF569" s="9" t="str">
        <f t="shared" si="37"/>
        <v>LIME GREEN</v>
      </c>
      <c r="AG569" s="10" t="str">
        <f t="shared" si="38"/>
        <v>JHAJJAR</v>
      </c>
      <c r="AH569" s="8" t="str" cm="1">
        <f t="array" ref="AH569">IF(OR(J569="",AE569="",AE569="NOT FOUND"),"",IF(Y569="RP",_xlfn.LET(_xlpm.desc,_xlfn.XLOOKUP(1,(--(Sheet1!$F$2:$F$754=AE569))*(--ISNUMBER(FIND("-",Sheet1!$W$2:$W$754,FIND("-",Sheet1!$W$2:$W$754)+1))),Sheet1!$W$2:$W$754,""),IF(_xlpm.desc="","NOT FOUND",LEFT(_xlpm.desc,FIND("-",_xlpm.desc,FIND("-",_xlpm.desc)+1))&amp;AE569)),LEFT(J569,FIND("-",J569,FIND("-",J569)+1))&amp;AE569))</f>
        <v>SKD-APWN26-GETCRDSFUT6099</v>
      </c>
    </row>
    <row r="570" spans="1:34" ht="15.75" customHeight="1" x14ac:dyDescent="0.2">
      <c r="A570" t="s">
        <v>59</v>
      </c>
      <c r="B570" t="s">
        <v>366</v>
      </c>
      <c r="C570" t="s">
        <v>64</v>
      </c>
      <c r="D570" t="s">
        <v>189</v>
      </c>
      <c r="E570" t="s">
        <v>34</v>
      </c>
      <c r="F570" t="s">
        <v>35</v>
      </c>
      <c r="G570" t="s">
        <v>55</v>
      </c>
      <c r="H570" t="s">
        <v>362</v>
      </c>
      <c r="I570" t="s">
        <v>363</v>
      </c>
      <c r="J570" t="s">
        <v>364</v>
      </c>
      <c r="K570" t="s">
        <v>474</v>
      </c>
      <c r="L570" t="s">
        <v>40</v>
      </c>
      <c r="M570">
        <v>1</v>
      </c>
      <c r="N570">
        <v>30</v>
      </c>
      <c r="O570">
        <v>30</v>
      </c>
      <c r="P570" t="s">
        <v>41</v>
      </c>
      <c r="Q570">
        <v>592.70000000000005</v>
      </c>
      <c r="R570">
        <v>592.70000000000005</v>
      </c>
      <c r="S570">
        <v>889.05</v>
      </c>
      <c r="T570">
        <v>17781</v>
      </c>
      <c r="U570">
        <v>5</v>
      </c>
      <c r="V570" t="s">
        <v>42</v>
      </c>
      <c r="W570" t="s">
        <v>474</v>
      </c>
      <c r="X570" s="6" t="str">
        <f t="shared" si="30"/>
        <v>441811009</v>
      </c>
      <c r="Y570" s="7" t="str">
        <f t="shared" si="31"/>
        <v>DC</v>
      </c>
      <c r="Z570" s="7">
        <f t="shared" si="32"/>
        <v>0</v>
      </c>
      <c r="AA570" s="7">
        <f t="shared" si="33"/>
        <v>0</v>
      </c>
      <c r="AB570" s="7">
        <f t="shared" si="34"/>
        <v>0</v>
      </c>
      <c r="AC570" s="7">
        <f t="shared" si="35"/>
        <v>30</v>
      </c>
      <c r="AD570" s="7">
        <f t="shared" si="36"/>
        <v>0</v>
      </c>
      <c r="AE570" s="8" t="str" cm="1">
        <f t="array" ref="AE570">IFERROR(_xlfn.XLOOKUP(H570,Sheet1!$G:$G,Sheet1!$F:$F),IFERROR(_xlfn.XLOOKUP(1,(--($X$2:$X$1074=X570))*(--ISNUMBER(MATCH($H$2:$H$1074,Sheet1!$G:$G,0))),_xlfn.XLOOKUP($H$2:$H$1074,Sheet1!$G:$G,Sheet1!$F:$F,"")),"NOT FOUND"))</f>
        <v>GETCRDSFUT6099</v>
      </c>
      <c r="AF570" s="9" t="str">
        <f t="shared" si="37"/>
        <v>LIME GREEN</v>
      </c>
      <c r="AG570" s="10" t="str">
        <f t="shared" si="38"/>
        <v>JHAJJAR</v>
      </c>
      <c r="AH570" s="8" t="str" cm="1">
        <f t="array" ref="AH570">IF(OR(J570="",AE570="",AE570="NOT FOUND"),"",IF(Y570="RP",_xlfn.LET(_xlpm.desc,_xlfn.XLOOKUP(1,(--(Sheet1!$F$2:$F$754=AE570))*(--ISNUMBER(FIND("-",Sheet1!$W$2:$W$754,FIND("-",Sheet1!$W$2:$W$754)+1))),Sheet1!$W$2:$W$754,""),IF(_xlpm.desc="","NOT FOUND",LEFT(_xlpm.desc,FIND("-",_xlpm.desc,FIND("-",_xlpm.desc)+1))&amp;AE570)),LEFT(J570,FIND("-",J570,FIND("-",J570)+1))&amp;AE570))</f>
        <v>SKD-APWN26-GETCRDSFUT6099</v>
      </c>
    </row>
    <row r="571" spans="1:34" ht="15.75" customHeight="1" x14ac:dyDescent="0.2">
      <c r="A571" t="s">
        <v>61</v>
      </c>
      <c r="B571" t="s">
        <v>367</v>
      </c>
      <c r="C571" t="s">
        <v>64</v>
      </c>
      <c r="D571" t="s">
        <v>292</v>
      </c>
      <c r="E571" t="s">
        <v>34</v>
      </c>
      <c r="F571" t="s">
        <v>35</v>
      </c>
      <c r="G571" t="s">
        <v>36</v>
      </c>
      <c r="H571" t="s">
        <v>334</v>
      </c>
      <c r="I571" t="s">
        <v>335</v>
      </c>
      <c r="J571" t="s">
        <v>336</v>
      </c>
      <c r="K571" t="s">
        <v>474</v>
      </c>
      <c r="L571" t="s">
        <v>40</v>
      </c>
      <c r="M571">
        <v>1</v>
      </c>
      <c r="N571">
        <v>30</v>
      </c>
      <c r="O571">
        <v>30</v>
      </c>
      <c r="P571" t="s">
        <v>41</v>
      </c>
      <c r="Q571">
        <v>494.7</v>
      </c>
      <c r="R571">
        <v>494.7</v>
      </c>
      <c r="S571">
        <v>742.05</v>
      </c>
      <c r="T571">
        <v>14841</v>
      </c>
      <c r="U571">
        <v>5</v>
      </c>
      <c r="V571" t="s">
        <v>42</v>
      </c>
      <c r="W571" t="s">
        <v>474</v>
      </c>
      <c r="X571" s="6" t="str">
        <f t="shared" si="30"/>
        <v>441811011</v>
      </c>
      <c r="Y571" s="7" t="str">
        <f t="shared" si="31"/>
        <v>DC</v>
      </c>
      <c r="Z571" s="7">
        <f t="shared" si="32"/>
        <v>0</v>
      </c>
      <c r="AA571" s="7">
        <f t="shared" si="33"/>
        <v>0</v>
      </c>
      <c r="AB571" s="7">
        <f t="shared" si="34"/>
        <v>0</v>
      </c>
      <c r="AC571" s="7">
        <f t="shared" si="35"/>
        <v>0</v>
      </c>
      <c r="AD571" s="7">
        <f t="shared" si="36"/>
        <v>30</v>
      </c>
      <c r="AE571" s="8" t="str" cm="1">
        <f t="array" ref="AE571">IFERROR(_xlfn.XLOOKUP(H571,Sheet1!$G:$G,Sheet1!$F:$F),IFERROR(_xlfn.XLOOKUP(1,(--($X$2:$X$1074=X571))*(--ISNUMBER(MATCH($H$2:$H$1074,Sheet1!$G:$G,0))),_xlfn.XLOOKUP($H$2:$H$1074,Sheet1!$G:$G,Sheet1!$F:$F,"")),"NOT FOUND"))</f>
        <v>GETCRDSFUT6206</v>
      </c>
      <c r="AF571" s="9" t="str">
        <f t="shared" si="37"/>
        <v>TEAL</v>
      </c>
      <c r="AG571" s="10" t="str">
        <f t="shared" si="38"/>
        <v>HARIPAL</v>
      </c>
      <c r="AH571" s="8" t="str" cm="1">
        <f t="array" ref="AH571">IF(OR(J571="",AE571="",AE571="NOT FOUND"),"",IF(Y571="RP",_xlfn.LET(_xlpm.desc,_xlfn.XLOOKUP(1,(--(Sheet1!$F$2:$F$754=AE571))*(--ISNUMBER(FIND("-",Sheet1!$W$2:$W$754,FIND("-",Sheet1!$W$2:$W$754)+1))),Sheet1!$W$2:$W$754,""),IF(_xlpm.desc="","NOT FOUND",LEFT(_xlpm.desc,FIND("-",_xlpm.desc,FIND("-",_xlpm.desc)+1))&amp;AE571)),LEFT(J571,FIND("-",J571,FIND("-",J571)+1))&amp;AE571))</f>
        <v>SKD-APWN26-GETCRDSFUT6206</v>
      </c>
    </row>
    <row r="572" spans="1:34" ht="15.75" customHeight="1" x14ac:dyDescent="0.2">
      <c r="A572" t="s">
        <v>61</v>
      </c>
      <c r="B572" t="s">
        <v>367</v>
      </c>
      <c r="C572" t="s">
        <v>64</v>
      </c>
      <c r="D572" t="s">
        <v>292</v>
      </c>
      <c r="E572" t="s">
        <v>34</v>
      </c>
      <c r="F572" t="s">
        <v>35</v>
      </c>
      <c r="G572" t="s">
        <v>43</v>
      </c>
      <c r="H572" t="s">
        <v>337</v>
      </c>
      <c r="I572" t="s">
        <v>338</v>
      </c>
      <c r="J572" t="s">
        <v>339</v>
      </c>
      <c r="K572" t="s">
        <v>474</v>
      </c>
      <c r="L572" t="s">
        <v>40</v>
      </c>
      <c r="M572">
        <v>1</v>
      </c>
      <c r="N572">
        <v>100</v>
      </c>
      <c r="O572">
        <v>100</v>
      </c>
      <c r="P572" t="s">
        <v>41</v>
      </c>
      <c r="Q572">
        <v>494.7</v>
      </c>
      <c r="R572">
        <v>494.7</v>
      </c>
      <c r="S572">
        <v>2473.5</v>
      </c>
      <c r="T572">
        <v>49470</v>
      </c>
      <c r="U572">
        <v>5</v>
      </c>
      <c r="V572" t="s">
        <v>42</v>
      </c>
      <c r="W572" t="s">
        <v>474</v>
      </c>
      <c r="X572" s="6" t="str">
        <f t="shared" si="30"/>
        <v>441811011</v>
      </c>
      <c r="Y572" s="7" t="str">
        <f t="shared" si="31"/>
        <v>DC</v>
      </c>
      <c r="Z572" s="7">
        <f t="shared" si="32"/>
        <v>0</v>
      </c>
      <c r="AA572" s="7">
        <f t="shared" si="33"/>
        <v>0</v>
      </c>
      <c r="AB572" s="7">
        <f t="shared" si="34"/>
        <v>100</v>
      </c>
      <c r="AC572" s="7">
        <f t="shared" si="35"/>
        <v>0</v>
      </c>
      <c r="AD572" s="7">
        <f t="shared" si="36"/>
        <v>0</v>
      </c>
      <c r="AE572" s="8" t="str" cm="1">
        <f t="array" ref="AE572">IFERROR(_xlfn.XLOOKUP(H572,Sheet1!$G:$G,Sheet1!$F:$F),IFERROR(_xlfn.XLOOKUP(1,(--($X$2:$X$1074=X572))*(--ISNUMBER(MATCH($H$2:$H$1074,Sheet1!$G:$G,0))),_xlfn.XLOOKUP($H$2:$H$1074,Sheet1!$G:$G,Sheet1!$F:$F,"")),"NOT FOUND"))</f>
        <v>GETCRDSFUT6206</v>
      </c>
      <c r="AF572" s="9" t="str">
        <f t="shared" si="37"/>
        <v>TEAL</v>
      </c>
      <c r="AG572" s="10" t="str">
        <f t="shared" si="38"/>
        <v>HARIPAL</v>
      </c>
      <c r="AH572" s="8" t="str" cm="1">
        <f t="array" ref="AH572">IF(OR(J572="",AE572="",AE572="NOT FOUND"),"",IF(Y572="RP",_xlfn.LET(_xlpm.desc,_xlfn.XLOOKUP(1,(--(Sheet1!$F$2:$F$754=AE572))*(--ISNUMBER(FIND("-",Sheet1!$W$2:$W$754,FIND("-",Sheet1!$W$2:$W$754)+1))),Sheet1!$W$2:$W$754,""),IF(_xlpm.desc="","NOT FOUND",LEFT(_xlpm.desc,FIND("-",_xlpm.desc,FIND("-",_xlpm.desc)+1))&amp;AE572)),LEFT(J572,FIND("-",J572,FIND("-",J572)+1))&amp;AE572))</f>
        <v>SKD-APWN26-GETCRDSFUT6206</v>
      </c>
    </row>
    <row r="573" spans="1:34" ht="15.75" customHeight="1" x14ac:dyDescent="0.2">
      <c r="A573" t="s">
        <v>61</v>
      </c>
      <c r="B573" t="s">
        <v>367</v>
      </c>
      <c r="C573" t="s">
        <v>64</v>
      </c>
      <c r="D573" t="s">
        <v>292</v>
      </c>
      <c r="E573" t="s">
        <v>34</v>
      </c>
      <c r="F573" t="s">
        <v>35</v>
      </c>
      <c r="G573" t="s">
        <v>47</v>
      </c>
      <c r="H573" t="s">
        <v>340</v>
      </c>
      <c r="I573" t="s">
        <v>341</v>
      </c>
      <c r="J573" t="s">
        <v>342</v>
      </c>
      <c r="K573" t="s">
        <v>474</v>
      </c>
      <c r="L573" t="s">
        <v>40</v>
      </c>
      <c r="M573">
        <v>1</v>
      </c>
      <c r="N573">
        <v>105</v>
      </c>
      <c r="O573">
        <v>105</v>
      </c>
      <c r="P573" t="s">
        <v>41</v>
      </c>
      <c r="Q573">
        <v>494.7</v>
      </c>
      <c r="R573">
        <v>494.7</v>
      </c>
      <c r="S573">
        <v>2597.1799999999998</v>
      </c>
      <c r="T573">
        <v>51943.5</v>
      </c>
      <c r="U573">
        <v>5</v>
      </c>
      <c r="V573" t="s">
        <v>42</v>
      </c>
      <c r="W573" t="s">
        <v>474</v>
      </c>
      <c r="X573" s="6" t="str">
        <f t="shared" si="30"/>
        <v>441811011</v>
      </c>
      <c r="Y573" s="7" t="str">
        <f t="shared" si="31"/>
        <v>DC</v>
      </c>
      <c r="Z573" s="7">
        <f t="shared" si="32"/>
        <v>0</v>
      </c>
      <c r="AA573" s="7">
        <f t="shared" si="33"/>
        <v>105</v>
      </c>
      <c r="AB573" s="7">
        <f t="shared" si="34"/>
        <v>0</v>
      </c>
      <c r="AC573" s="7">
        <f t="shared" si="35"/>
        <v>0</v>
      </c>
      <c r="AD573" s="7">
        <f t="shared" si="36"/>
        <v>0</v>
      </c>
      <c r="AE573" s="8" t="str" cm="1">
        <f t="array" ref="AE573">IFERROR(_xlfn.XLOOKUP(H573,Sheet1!$G:$G,Sheet1!$F:$F),IFERROR(_xlfn.XLOOKUP(1,(--($X$2:$X$1074=X573))*(--ISNUMBER(MATCH($H$2:$H$1074,Sheet1!$G:$G,0))),_xlfn.XLOOKUP($H$2:$H$1074,Sheet1!$G:$G,Sheet1!$F:$F,"")),"NOT FOUND"))</f>
        <v>GETCRDSFUT6206</v>
      </c>
      <c r="AF573" s="9" t="str">
        <f t="shared" si="37"/>
        <v>TEAL</v>
      </c>
      <c r="AG573" s="10" t="str">
        <f t="shared" si="38"/>
        <v>HARIPAL</v>
      </c>
      <c r="AH573" s="8" t="str" cm="1">
        <f t="array" ref="AH573">IF(OR(J573="",AE573="",AE573="NOT FOUND"),"",IF(Y573="RP",_xlfn.LET(_xlpm.desc,_xlfn.XLOOKUP(1,(--(Sheet1!$F$2:$F$754=AE573))*(--ISNUMBER(FIND("-",Sheet1!$W$2:$W$754,FIND("-",Sheet1!$W$2:$W$754)+1))),Sheet1!$W$2:$W$754,""),IF(_xlpm.desc="","NOT FOUND",LEFT(_xlpm.desc,FIND("-",_xlpm.desc,FIND("-",_xlpm.desc)+1))&amp;AE573)),LEFT(J573,FIND("-",J573,FIND("-",J573)+1))&amp;AE573))</f>
        <v>SKD-APWN26-GETCRDSFUT6206</v>
      </c>
    </row>
    <row r="574" spans="1:34" ht="15.75" customHeight="1" x14ac:dyDescent="0.2">
      <c r="A574" t="s">
        <v>61</v>
      </c>
      <c r="B574" t="s">
        <v>367</v>
      </c>
      <c r="C574" t="s">
        <v>64</v>
      </c>
      <c r="D574" t="s">
        <v>292</v>
      </c>
      <c r="E574" t="s">
        <v>34</v>
      </c>
      <c r="F574" t="s">
        <v>35</v>
      </c>
      <c r="G574" t="s">
        <v>51</v>
      </c>
      <c r="H574" t="s">
        <v>343</v>
      </c>
      <c r="I574" t="s">
        <v>344</v>
      </c>
      <c r="J574" t="s">
        <v>345</v>
      </c>
      <c r="K574" t="s">
        <v>474</v>
      </c>
      <c r="L574" t="s">
        <v>40</v>
      </c>
      <c r="M574">
        <v>1</v>
      </c>
      <c r="N574">
        <v>31</v>
      </c>
      <c r="O574">
        <v>31</v>
      </c>
      <c r="P574" t="s">
        <v>41</v>
      </c>
      <c r="Q574">
        <v>494.7</v>
      </c>
      <c r="R574">
        <v>494.7</v>
      </c>
      <c r="S574">
        <v>766.79</v>
      </c>
      <c r="T574">
        <v>15335.7</v>
      </c>
      <c r="U574">
        <v>5</v>
      </c>
      <c r="V574" t="s">
        <v>42</v>
      </c>
      <c r="W574" t="s">
        <v>474</v>
      </c>
      <c r="X574" s="6" t="str">
        <f t="shared" si="30"/>
        <v>441811011</v>
      </c>
      <c r="Y574" s="7" t="str">
        <f t="shared" si="31"/>
        <v>DC</v>
      </c>
      <c r="Z574" s="7">
        <f t="shared" si="32"/>
        <v>31</v>
      </c>
      <c r="AA574" s="7">
        <f t="shared" si="33"/>
        <v>0</v>
      </c>
      <c r="AB574" s="7">
        <f t="shared" si="34"/>
        <v>0</v>
      </c>
      <c r="AC574" s="7">
        <f t="shared" si="35"/>
        <v>0</v>
      </c>
      <c r="AD574" s="7">
        <f t="shared" si="36"/>
        <v>0</v>
      </c>
      <c r="AE574" s="8" t="str" cm="1">
        <f t="array" ref="AE574">IFERROR(_xlfn.XLOOKUP(H574,Sheet1!$G:$G,Sheet1!$F:$F),IFERROR(_xlfn.XLOOKUP(1,(--($X$2:$X$1074=X574))*(--ISNUMBER(MATCH($H$2:$H$1074,Sheet1!$G:$G,0))),_xlfn.XLOOKUP($H$2:$H$1074,Sheet1!$G:$G,Sheet1!$F:$F,"")),"NOT FOUND"))</f>
        <v>GETCRDSFUT6206</v>
      </c>
      <c r="AF574" s="9" t="str">
        <f t="shared" si="37"/>
        <v>TEAL</v>
      </c>
      <c r="AG574" s="10" t="str">
        <f t="shared" si="38"/>
        <v>HARIPAL</v>
      </c>
      <c r="AH574" s="8" t="str" cm="1">
        <f t="array" ref="AH574">IF(OR(J574="",AE574="",AE574="NOT FOUND"),"",IF(Y574="RP",_xlfn.LET(_xlpm.desc,_xlfn.XLOOKUP(1,(--(Sheet1!$F$2:$F$754=AE574))*(--ISNUMBER(FIND("-",Sheet1!$W$2:$W$754,FIND("-",Sheet1!$W$2:$W$754)+1))),Sheet1!$W$2:$W$754,""),IF(_xlpm.desc="","NOT FOUND",LEFT(_xlpm.desc,FIND("-",_xlpm.desc,FIND("-",_xlpm.desc)+1))&amp;AE574)),LEFT(J574,FIND("-",J574,FIND("-",J574)+1))&amp;AE574))</f>
        <v>SKD-APWN26-GETCRDSFUT6206</v>
      </c>
    </row>
    <row r="575" spans="1:34" ht="15.75" customHeight="1" x14ac:dyDescent="0.2">
      <c r="A575" t="s">
        <v>61</v>
      </c>
      <c r="B575" t="s">
        <v>367</v>
      </c>
      <c r="C575" t="s">
        <v>64</v>
      </c>
      <c r="D575" t="s">
        <v>292</v>
      </c>
      <c r="E575" t="s">
        <v>34</v>
      </c>
      <c r="F575" t="s">
        <v>35</v>
      </c>
      <c r="G575" t="s">
        <v>55</v>
      </c>
      <c r="H575" t="s">
        <v>346</v>
      </c>
      <c r="I575" t="s">
        <v>347</v>
      </c>
      <c r="J575" t="s">
        <v>348</v>
      </c>
      <c r="K575" t="s">
        <v>474</v>
      </c>
      <c r="L575" t="s">
        <v>40</v>
      </c>
      <c r="M575">
        <v>1</v>
      </c>
      <c r="N575">
        <v>100</v>
      </c>
      <c r="O575">
        <v>100</v>
      </c>
      <c r="P575" t="s">
        <v>41</v>
      </c>
      <c r="Q575">
        <v>494.7</v>
      </c>
      <c r="R575">
        <v>494.7</v>
      </c>
      <c r="S575">
        <v>2473.5</v>
      </c>
      <c r="T575">
        <v>49470</v>
      </c>
      <c r="U575">
        <v>5</v>
      </c>
      <c r="V575" t="s">
        <v>42</v>
      </c>
      <c r="W575" t="s">
        <v>474</v>
      </c>
      <c r="X575" s="6" t="str">
        <f t="shared" si="30"/>
        <v>441811011</v>
      </c>
      <c r="Y575" s="7" t="str">
        <f t="shared" si="31"/>
        <v>DC</v>
      </c>
      <c r="Z575" s="7">
        <f t="shared" si="32"/>
        <v>0</v>
      </c>
      <c r="AA575" s="7">
        <f t="shared" si="33"/>
        <v>0</v>
      </c>
      <c r="AB575" s="7">
        <f t="shared" si="34"/>
        <v>0</v>
      </c>
      <c r="AC575" s="7">
        <f t="shared" si="35"/>
        <v>100</v>
      </c>
      <c r="AD575" s="7">
        <f t="shared" si="36"/>
        <v>0</v>
      </c>
      <c r="AE575" s="8" t="str" cm="1">
        <f t="array" ref="AE575">IFERROR(_xlfn.XLOOKUP(H575,Sheet1!$G:$G,Sheet1!$F:$F),IFERROR(_xlfn.XLOOKUP(1,(--($X$2:$X$1074=X575))*(--ISNUMBER(MATCH($H$2:$H$1074,Sheet1!$G:$G,0))),_xlfn.XLOOKUP($H$2:$H$1074,Sheet1!$G:$G,Sheet1!$F:$F,"")),"NOT FOUND"))</f>
        <v>GETCRDSFUT6206</v>
      </c>
      <c r="AF575" s="9" t="str">
        <f t="shared" si="37"/>
        <v>TEAL</v>
      </c>
      <c r="AG575" s="10" t="str">
        <f t="shared" si="38"/>
        <v>HARIPAL</v>
      </c>
      <c r="AH575" s="8" t="str" cm="1">
        <f t="array" ref="AH575">IF(OR(J575="",AE575="",AE575="NOT FOUND"),"",IF(Y575="RP",_xlfn.LET(_xlpm.desc,_xlfn.XLOOKUP(1,(--(Sheet1!$F$2:$F$754=AE575))*(--ISNUMBER(FIND("-",Sheet1!$W$2:$W$754,FIND("-",Sheet1!$W$2:$W$754)+1))),Sheet1!$W$2:$W$754,""),IF(_xlpm.desc="","NOT FOUND",LEFT(_xlpm.desc,FIND("-",_xlpm.desc,FIND("-",_xlpm.desc)+1))&amp;AE575)),LEFT(J575,FIND("-",J575,FIND("-",J575)+1))&amp;AE575))</f>
        <v>SKD-APWN26-GETCRDSFUT6206</v>
      </c>
    </row>
    <row r="576" spans="1:34" ht="15.75" customHeight="1" x14ac:dyDescent="0.2">
      <c r="A576" t="s">
        <v>61</v>
      </c>
      <c r="B576" t="s">
        <v>368</v>
      </c>
      <c r="C576" t="s">
        <v>64</v>
      </c>
      <c r="D576" t="s">
        <v>189</v>
      </c>
      <c r="E576" t="s">
        <v>34</v>
      </c>
      <c r="F576" t="s">
        <v>35</v>
      </c>
      <c r="G576" t="s">
        <v>36</v>
      </c>
      <c r="H576" t="s">
        <v>350</v>
      </c>
      <c r="I576" t="s">
        <v>351</v>
      </c>
      <c r="J576" t="s">
        <v>352</v>
      </c>
      <c r="K576" t="s">
        <v>474</v>
      </c>
      <c r="L576" t="s">
        <v>40</v>
      </c>
      <c r="M576">
        <v>1</v>
      </c>
      <c r="N576">
        <v>30</v>
      </c>
      <c r="O576">
        <v>30</v>
      </c>
      <c r="P576" t="s">
        <v>41</v>
      </c>
      <c r="Q576">
        <v>592.70000000000005</v>
      </c>
      <c r="R576">
        <v>592.70000000000005</v>
      </c>
      <c r="S576">
        <v>889.05</v>
      </c>
      <c r="T576">
        <v>17781</v>
      </c>
      <c r="U576">
        <v>5</v>
      </c>
      <c r="V576" t="s">
        <v>42</v>
      </c>
      <c r="W576" t="s">
        <v>474</v>
      </c>
      <c r="X576" s="6" t="str">
        <f t="shared" si="30"/>
        <v>441811009</v>
      </c>
      <c r="Y576" s="7" t="str">
        <f t="shared" si="31"/>
        <v>DC</v>
      </c>
      <c r="Z576" s="7">
        <f t="shared" si="32"/>
        <v>0</v>
      </c>
      <c r="AA576" s="7">
        <f t="shared" si="33"/>
        <v>0</v>
      </c>
      <c r="AB576" s="7">
        <f t="shared" si="34"/>
        <v>0</v>
      </c>
      <c r="AC576" s="7">
        <f t="shared" si="35"/>
        <v>0</v>
      </c>
      <c r="AD576" s="7">
        <f t="shared" si="36"/>
        <v>30</v>
      </c>
      <c r="AE576" s="8" t="str" cm="1">
        <f t="array" ref="AE576">IFERROR(_xlfn.XLOOKUP(H576,Sheet1!$G:$G,Sheet1!$F:$F),IFERROR(_xlfn.XLOOKUP(1,(--($X$2:$X$1074=X576))*(--ISNUMBER(MATCH($H$2:$H$1074,Sheet1!$G:$G,0))),_xlfn.XLOOKUP($H$2:$H$1074,Sheet1!$G:$G,Sheet1!$F:$F,"")),"NOT FOUND"))</f>
        <v>GETCRDSFUT6099</v>
      </c>
      <c r="AF576" s="9" t="str">
        <f t="shared" si="37"/>
        <v>LIME GREEN</v>
      </c>
      <c r="AG576" s="10" t="str">
        <f t="shared" si="38"/>
        <v>HARIPAL</v>
      </c>
      <c r="AH576" s="8" t="str" cm="1">
        <f t="array" ref="AH576">IF(OR(J576="",AE576="",AE576="NOT FOUND"),"",IF(Y576="RP",_xlfn.LET(_xlpm.desc,_xlfn.XLOOKUP(1,(--(Sheet1!$F$2:$F$754=AE576))*(--ISNUMBER(FIND("-",Sheet1!$W$2:$W$754,FIND("-",Sheet1!$W$2:$W$754)+1))),Sheet1!$W$2:$W$754,""),IF(_xlpm.desc="","NOT FOUND",LEFT(_xlpm.desc,FIND("-",_xlpm.desc,FIND("-",_xlpm.desc)+1))&amp;AE576)),LEFT(J576,FIND("-",J576,FIND("-",J576)+1))&amp;AE576))</f>
        <v>SKD-APWN26-GETCRDSFUT6099</v>
      </c>
    </row>
    <row r="577" spans="1:34" ht="15.75" customHeight="1" x14ac:dyDescent="0.2">
      <c r="A577" t="s">
        <v>61</v>
      </c>
      <c r="B577" t="s">
        <v>368</v>
      </c>
      <c r="C577" t="s">
        <v>64</v>
      </c>
      <c r="D577" t="s">
        <v>189</v>
      </c>
      <c r="E577" t="s">
        <v>34</v>
      </c>
      <c r="F577" t="s">
        <v>35</v>
      </c>
      <c r="G577" t="s">
        <v>43</v>
      </c>
      <c r="H577" t="s">
        <v>353</v>
      </c>
      <c r="I577" t="s">
        <v>354</v>
      </c>
      <c r="J577" t="s">
        <v>355</v>
      </c>
      <c r="K577" t="s">
        <v>474</v>
      </c>
      <c r="L577" t="s">
        <v>40</v>
      </c>
      <c r="M577">
        <v>1</v>
      </c>
      <c r="N577">
        <v>30</v>
      </c>
      <c r="O577">
        <v>30</v>
      </c>
      <c r="P577" t="s">
        <v>41</v>
      </c>
      <c r="Q577">
        <v>592.70000000000005</v>
      </c>
      <c r="R577">
        <v>592.70000000000005</v>
      </c>
      <c r="S577">
        <v>889.05</v>
      </c>
      <c r="T577">
        <v>17781</v>
      </c>
      <c r="U577">
        <v>5</v>
      </c>
      <c r="V577" t="s">
        <v>42</v>
      </c>
      <c r="W577" t="s">
        <v>474</v>
      </c>
      <c r="X577" s="6" t="str">
        <f t="shared" si="30"/>
        <v>441811009</v>
      </c>
      <c r="Y577" s="7" t="str">
        <f t="shared" si="31"/>
        <v>DC</v>
      </c>
      <c r="Z577" s="7">
        <f t="shared" si="32"/>
        <v>0</v>
      </c>
      <c r="AA577" s="7">
        <f t="shared" si="33"/>
        <v>0</v>
      </c>
      <c r="AB577" s="7">
        <f t="shared" si="34"/>
        <v>30</v>
      </c>
      <c r="AC577" s="7">
        <f t="shared" si="35"/>
        <v>0</v>
      </c>
      <c r="AD577" s="7">
        <f t="shared" si="36"/>
        <v>0</v>
      </c>
      <c r="AE577" s="8" t="str" cm="1">
        <f t="array" ref="AE577">IFERROR(_xlfn.XLOOKUP(H577,Sheet1!$G:$G,Sheet1!$F:$F),IFERROR(_xlfn.XLOOKUP(1,(--($X$2:$X$1074=X577))*(--ISNUMBER(MATCH($H$2:$H$1074,Sheet1!$G:$G,0))),_xlfn.XLOOKUP($H$2:$H$1074,Sheet1!$G:$G,Sheet1!$F:$F,"")),"NOT FOUND"))</f>
        <v>GETCRDSFUT6099</v>
      </c>
      <c r="AF577" s="9" t="str">
        <f t="shared" si="37"/>
        <v>LIME GREEN</v>
      </c>
      <c r="AG577" s="10" t="str">
        <f t="shared" si="38"/>
        <v>HARIPAL</v>
      </c>
      <c r="AH577" s="8" t="str" cm="1">
        <f t="array" ref="AH577">IF(OR(J577="",AE577="",AE577="NOT FOUND"),"",IF(Y577="RP",_xlfn.LET(_xlpm.desc,_xlfn.XLOOKUP(1,(--(Sheet1!$F$2:$F$754=AE577))*(--ISNUMBER(FIND("-",Sheet1!$W$2:$W$754,FIND("-",Sheet1!$W$2:$W$754)+1))),Sheet1!$W$2:$W$754,""),IF(_xlpm.desc="","NOT FOUND",LEFT(_xlpm.desc,FIND("-",_xlpm.desc,FIND("-",_xlpm.desc)+1))&amp;AE577)),LEFT(J577,FIND("-",J577,FIND("-",J577)+1))&amp;AE577))</f>
        <v>SKD-APWN26-GETCRDSFUT6099</v>
      </c>
    </row>
    <row r="578" spans="1:34" ht="15.75" customHeight="1" x14ac:dyDescent="0.2">
      <c r="A578" t="s">
        <v>61</v>
      </c>
      <c r="B578" t="s">
        <v>368</v>
      </c>
      <c r="C578" t="s">
        <v>64</v>
      </c>
      <c r="D578" t="s">
        <v>189</v>
      </c>
      <c r="E578" t="s">
        <v>34</v>
      </c>
      <c r="F578" t="s">
        <v>35</v>
      </c>
      <c r="G578" t="s">
        <v>47</v>
      </c>
      <c r="H578" t="s">
        <v>356</v>
      </c>
      <c r="I578" t="s">
        <v>357</v>
      </c>
      <c r="J578" t="s">
        <v>358</v>
      </c>
      <c r="K578" t="s">
        <v>474</v>
      </c>
      <c r="L578" t="s">
        <v>40</v>
      </c>
      <c r="M578">
        <v>1</v>
      </c>
      <c r="N578">
        <v>30</v>
      </c>
      <c r="O578">
        <v>30</v>
      </c>
      <c r="P578" t="s">
        <v>41</v>
      </c>
      <c r="Q578">
        <v>592.70000000000005</v>
      </c>
      <c r="R578">
        <v>592.70000000000005</v>
      </c>
      <c r="S578">
        <v>889.05</v>
      </c>
      <c r="T578">
        <v>17781</v>
      </c>
      <c r="U578">
        <v>5</v>
      </c>
      <c r="V578" t="s">
        <v>42</v>
      </c>
      <c r="W578" t="s">
        <v>474</v>
      </c>
      <c r="X578" s="6" t="str">
        <f t="shared" si="30"/>
        <v>441811009</v>
      </c>
      <c r="Y578" s="7" t="str">
        <f t="shared" si="31"/>
        <v>DC</v>
      </c>
      <c r="Z578" s="7">
        <f t="shared" si="32"/>
        <v>0</v>
      </c>
      <c r="AA578" s="7">
        <f t="shared" si="33"/>
        <v>30</v>
      </c>
      <c r="AB578" s="7">
        <f t="shared" si="34"/>
        <v>0</v>
      </c>
      <c r="AC578" s="7">
        <f t="shared" si="35"/>
        <v>0</v>
      </c>
      <c r="AD578" s="7">
        <f t="shared" si="36"/>
        <v>0</v>
      </c>
      <c r="AE578" s="8" t="str" cm="1">
        <f t="array" ref="AE578">IFERROR(_xlfn.XLOOKUP(H578,Sheet1!$G:$G,Sheet1!$F:$F),IFERROR(_xlfn.XLOOKUP(1,(--($X$2:$X$1074=X578))*(--ISNUMBER(MATCH($H$2:$H$1074,Sheet1!$G:$G,0))),_xlfn.XLOOKUP($H$2:$H$1074,Sheet1!$G:$G,Sheet1!$F:$F,"")),"NOT FOUND"))</f>
        <v>GETCRDSFUT6099</v>
      </c>
      <c r="AF578" s="9" t="str">
        <f t="shared" si="37"/>
        <v>LIME GREEN</v>
      </c>
      <c r="AG578" s="10" t="str">
        <f t="shared" si="38"/>
        <v>HARIPAL</v>
      </c>
      <c r="AH578" s="8" t="str" cm="1">
        <f t="array" ref="AH578">IF(OR(J578="",AE578="",AE578="NOT FOUND"),"",IF(Y578="RP",_xlfn.LET(_xlpm.desc,_xlfn.XLOOKUP(1,(--(Sheet1!$F$2:$F$754=AE578))*(--ISNUMBER(FIND("-",Sheet1!$W$2:$W$754,FIND("-",Sheet1!$W$2:$W$754)+1))),Sheet1!$W$2:$W$754,""),IF(_xlpm.desc="","NOT FOUND",LEFT(_xlpm.desc,FIND("-",_xlpm.desc,FIND("-",_xlpm.desc)+1))&amp;AE578)),LEFT(J578,FIND("-",J578,FIND("-",J578)+1))&amp;AE578))</f>
        <v>SKD-APWN26-GETCRDSFUT6099</v>
      </c>
    </row>
    <row r="579" spans="1:34" ht="15.75" customHeight="1" x14ac:dyDescent="0.2">
      <c r="A579" t="s">
        <v>61</v>
      </c>
      <c r="B579" t="s">
        <v>368</v>
      </c>
      <c r="C579" t="s">
        <v>64</v>
      </c>
      <c r="D579" t="s">
        <v>189</v>
      </c>
      <c r="E579" t="s">
        <v>34</v>
      </c>
      <c r="F579" t="s">
        <v>35</v>
      </c>
      <c r="G579" t="s">
        <v>51</v>
      </c>
      <c r="H579" t="s">
        <v>359</v>
      </c>
      <c r="I579" t="s">
        <v>360</v>
      </c>
      <c r="J579" t="s">
        <v>361</v>
      </c>
      <c r="K579" t="s">
        <v>474</v>
      </c>
      <c r="L579" t="s">
        <v>40</v>
      </c>
      <c r="M579">
        <v>1</v>
      </c>
      <c r="N579">
        <v>30</v>
      </c>
      <c r="O579">
        <v>30</v>
      </c>
      <c r="P579" t="s">
        <v>41</v>
      </c>
      <c r="Q579">
        <v>592.70000000000005</v>
      </c>
      <c r="R579">
        <v>592.70000000000005</v>
      </c>
      <c r="S579">
        <v>889.05</v>
      </c>
      <c r="T579">
        <v>17781</v>
      </c>
      <c r="U579">
        <v>5</v>
      </c>
      <c r="V579" t="s">
        <v>42</v>
      </c>
      <c r="W579" t="s">
        <v>474</v>
      </c>
      <c r="X579" s="6" t="str">
        <f t="shared" si="30"/>
        <v>441811009</v>
      </c>
      <c r="Y579" s="7" t="str">
        <f t="shared" si="31"/>
        <v>DC</v>
      </c>
      <c r="Z579" s="7">
        <f t="shared" si="32"/>
        <v>30</v>
      </c>
      <c r="AA579" s="7">
        <f t="shared" si="33"/>
        <v>0</v>
      </c>
      <c r="AB579" s="7">
        <f t="shared" si="34"/>
        <v>0</v>
      </c>
      <c r="AC579" s="7">
        <f t="shared" si="35"/>
        <v>0</v>
      </c>
      <c r="AD579" s="7">
        <f t="shared" si="36"/>
        <v>0</v>
      </c>
      <c r="AE579" s="8" t="str" cm="1">
        <f t="array" ref="AE579">IFERROR(_xlfn.XLOOKUP(H579,Sheet1!$G:$G,Sheet1!$F:$F),IFERROR(_xlfn.XLOOKUP(1,(--($X$2:$X$1074=X579))*(--ISNUMBER(MATCH($H$2:$H$1074,Sheet1!$G:$G,0))),_xlfn.XLOOKUP($H$2:$H$1074,Sheet1!$G:$G,Sheet1!$F:$F,"")),"NOT FOUND"))</f>
        <v>GETCRDSFUT6099</v>
      </c>
      <c r="AF579" s="9" t="str">
        <f t="shared" ref="AF579:AF642" si="39">IFERROR(IF(ISNUMBER(SEARCH("(RP)",J579)),TRIM(SUBSTITUTE(MID(J579,10,LEN(J579)),"(RP)","")),TRIM(MID(J579,FIND(",",J579)+1,FIND(",",J579,FIND(",",J579)+1)-FIND(",",J579)-1))),"")</f>
        <v>LIME GREEN</v>
      </c>
      <c r="AG579" s="10" t="str">
        <f t="shared" ref="AG579:AG642" si="40">IF(A579="SZAF","Bangalore",IF(A579="SAEX","JHAJJAR",IF(A579="S0EU","HARIPAL","")))</f>
        <v>HARIPAL</v>
      </c>
      <c r="AH579" s="8" t="str" cm="1">
        <f t="array" ref="AH579">IF(OR(J579="",AE579="",AE579="NOT FOUND"),"",IF(Y579="RP",_xlfn.LET(_xlpm.desc,_xlfn.XLOOKUP(1,(--(Sheet1!$F$2:$F$754=AE579))*(--ISNUMBER(FIND("-",Sheet1!$W$2:$W$754,FIND("-",Sheet1!$W$2:$W$754)+1))),Sheet1!$W$2:$W$754,""),IF(_xlpm.desc="","NOT FOUND",LEFT(_xlpm.desc,FIND("-",_xlpm.desc,FIND("-",_xlpm.desc)+1))&amp;AE579)),LEFT(J579,FIND("-",J579,FIND("-",J579)+1))&amp;AE579))</f>
        <v>SKD-APWN26-GETCRDSFUT6099</v>
      </c>
    </row>
    <row r="580" spans="1:34" ht="15.75" customHeight="1" x14ac:dyDescent="0.2">
      <c r="A580" t="s">
        <v>61</v>
      </c>
      <c r="B580" t="s">
        <v>368</v>
      </c>
      <c r="C580" t="s">
        <v>64</v>
      </c>
      <c r="D580" t="s">
        <v>189</v>
      </c>
      <c r="E580" t="s">
        <v>34</v>
      </c>
      <c r="F580" t="s">
        <v>35</v>
      </c>
      <c r="G580" t="s">
        <v>55</v>
      </c>
      <c r="H580" t="s">
        <v>362</v>
      </c>
      <c r="I580" t="s">
        <v>363</v>
      </c>
      <c r="J580" t="s">
        <v>364</v>
      </c>
      <c r="K580" t="s">
        <v>474</v>
      </c>
      <c r="L580" t="s">
        <v>40</v>
      </c>
      <c r="M580">
        <v>1</v>
      </c>
      <c r="N580">
        <v>30</v>
      </c>
      <c r="O580">
        <v>30</v>
      </c>
      <c r="P580" t="s">
        <v>41</v>
      </c>
      <c r="Q580">
        <v>592.70000000000005</v>
      </c>
      <c r="R580">
        <v>592.70000000000005</v>
      </c>
      <c r="S580">
        <v>889.05</v>
      </c>
      <c r="T580">
        <v>17781</v>
      </c>
      <c r="U580">
        <v>5</v>
      </c>
      <c r="V580" t="s">
        <v>42</v>
      </c>
      <c r="W580" t="s">
        <v>474</v>
      </c>
      <c r="X580" s="6" t="str">
        <f t="shared" si="30"/>
        <v>441811009</v>
      </c>
      <c r="Y580" s="7" t="str">
        <f t="shared" si="31"/>
        <v>DC</v>
      </c>
      <c r="Z580" s="7">
        <f t="shared" si="32"/>
        <v>0</v>
      </c>
      <c r="AA580" s="7">
        <f t="shared" si="33"/>
        <v>0</v>
      </c>
      <c r="AB580" s="7">
        <f t="shared" si="34"/>
        <v>0</v>
      </c>
      <c r="AC580" s="7">
        <f t="shared" si="35"/>
        <v>30</v>
      </c>
      <c r="AD580" s="7">
        <f t="shared" si="36"/>
        <v>0</v>
      </c>
      <c r="AE580" s="8" t="str" cm="1">
        <f t="array" ref="AE580">IFERROR(_xlfn.XLOOKUP(H580,Sheet1!$G:$G,Sheet1!$F:$F),IFERROR(_xlfn.XLOOKUP(1,(--($X$2:$X$1074=X580))*(--ISNUMBER(MATCH($H$2:$H$1074,Sheet1!$G:$G,0))),_xlfn.XLOOKUP($H$2:$H$1074,Sheet1!$G:$G,Sheet1!$F:$F,"")),"NOT FOUND"))</f>
        <v>GETCRDSFUT6099</v>
      </c>
      <c r="AF580" s="9" t="str">
        <f t="shared" si="39"/>
        <v>LIME GREEN</v>
      </c>
      <c r="AG580" s="10" t="str">
        <f t="shared" si="40"/>
        <v>HARIPAL</v>
      </c>
      <c r="AH580" s="8" t="str" cm="1">
        <f t="array" ref="AH580">IF(OR(J580="",AE580="",AE580="NOT FOUND"),"",IF(Y580="RP",_xlfn.LET(_xlpm.desc,_xlfn.XLOOKUP(1,(--(Sheet1!$F$2:$F$754=AE580))*(--ISNUMBER(FIND("-",Sheet1!$W$2:$W$754,FIND("-",Sheet1!$W$2:$W$754)+1))),Sheet1!$W$2:$W$754,""),IF(_xlpm.desc="","NOT FOUND",LEFT(_xlpm.desc,FIND("-",_xlpm.desc,FIND("-",_xlpm.desc)+1))&amp;AE580)),LEFT(J580,FIND("-",J580,FIND("-",J580)+1))&amp;AE580))</f>
        <v>SKD-APWN26-GETCRDSFUT6099</v>
      </c>
    </row>
    <row r="581" spans="1:34" ht="15.75" customHeight="1" x14ac:dyDescent="0.2">
      <c r="A581" t="s">
        <v>30</v>
      </c>
      <c r="B581" t="s">
        <v>376</v>
      </c>
      <c r="C581" t="s">
        <v>369</v>
      </c>
      <c r="D581" t="s">
        <v>595</v>
      </c>
      <c r="E581" t="s">
        <v>34</v>
      </c>
      <c r="F581" t="s">
        <v>35</v>
      </c>
      <c r="G581" t="s">
        <v>36</v>
      </c>
      <c r="H581" t="s">
        <v>377</v>
      </c>
      <c r="I581" t="s">
        <v>378</v>
      </c>
      <c r="J581" t="s">
        <v>379</v>
      </c>
      <c r="K581" t="s">
        <v>474</v>
      </c>
      <c r="L581" t="s">
        <v>40</v>
      </c>
      <c r="M581">
        <v>1</v>
      </c>
      <c r="N581">
        <v>253</v>
      </c>
      <c r="O581">
        <v>253</v>
      </c>
      <c r="P581" t="s">
        <v>41</v>
      </c>
      <c r="Q581">
        <v>1873.5</v>
      </c>
      <c r="R581">
        <v>1873.5</v>
      </c>
      <c r="S581">
        <v>23699.78</v>
      </c>
      <c r="T581">
        <v>473995.5</v>
      </c>
      <c r="U581">
        <v>5</v>
      </c>
      <c r="V581" t="s">
        <v>42</v>
      </c>
      <c r="W581" t="s">
        <v>474</v>
      </c>
      <c r="X581" s="6" t="str">
        <f t="shared" si="30"/>
        <v>441811094</v>
      </c>
      <c r="Y581" s="7" t="str">
        <f t="shared" si="31"/>
        <v>RP</v>
      </c>
      <c r="Z581" s="7">
        <f t="shared" si="32"/>
        <v>253</v>
      </c>
      <c r="AA581" s="7">
        <f t="shared" si="33"/>
        <v>253</v>
      </c>
      <c r="AB581" s="7">
        <f t="shared" si="34"/>
        <v>253</v>
      </c>
      <c r="AC581" s="7">
        <f t="shared" si="35"/>
        <v>253</v>
      </c>
      <c r="AD581" s="7">
        <f t="shared" si="36"/>
        <v>253</v>
      </c>
      <c r="AE581" s="8" t="str" cm="1">
        <f t="array" ref="AE581">IFERROR(_xlfn.XLOOKUP(H581,Sheet1!$G:$G,Sheet1!$F:$F),IFERROR(_xlfn.XLOOKUP(1,(--($X$2:$X$1074=X581))*(--ISNUMBER(MATCH($H$2:$H$1074,Sheet1!$G:$G,0))),_xlfn.XLOOKUP($H$2:$H$1074,Sheet1!$G:$G,Sheet1!$F:$F,"")),"NOT FOUND"))</f>
        <v>GETKRTSFUT6002</v>
      </c>
      <c r="AF581" s="9" t="str">
        <f t="shared" si="39"/>
        <v>MUSTARD</v>
      </c>
      <c r="AG581" s="10" t="str">
        <f t="shared" si="40"/>
        <v>Bangalore</v>
      </c>
      <c r="AH581" s="8" t="str" cm="1">
        <f t="array" ref="AH581">IF(OR(J581="",AE581="",AE581="NOT FOUND"),"",IF(Y581="RP",_xlfn.LET(_xlpm.desc,_xlfn.XLOOKUP(1,(--(Sheet1!$F$2:$F$754=AE581))*(--ISNUMBER(FIND("-",Sheet1!$W$2:$W$754,FIND("-",Sheet1!$W$2:$W$754)+1))),Sheet1!$W$2:$W$754,""),IF(_xlpm.desc="","NOT FOUND",LEFT(_xlpm.desc,FIND("-",_xlpm.desc,FIND("-",_xlpm.desc)+1))&amp;AE581)),LEFT(J581,FIND("-",J581,FIND("-",J581)+1))&amp;AE581))</f>
        <v>KRTS-APWN26-GETKRTSFUT6002</v>
      </c>
    </row>
    <row r="582" spans="1:34" ht="15.75" customHeight="1" x14ac:dyDescent="0.2">
      <c r="A582" t="s">
        <v>59</v>
      </c>
      <c r="B582" t="s">
        <v>386</v>
      </c>
      <c r="C582" t="s">
        <v>369</v>
      </c>
      <c r="D582" t="s">
        <v>370</v>
      </c>
      <c r="E582" t="s">
        <v>34</v>
      </c>
      <c r="F582" t="s">
        <v>35</v>
      </c>
      <c r="G582" t="s">
        <v>36</v>
      </c>
      <c r="H582" t="s">
        <v>387</v>
      </c>
      <c r="I582" t="s">
        <v>388</v>
      </c>
      <c r="J582" t="s">
        <v>389</v>
      </c>
      <c r="K582" t="s">
        <v>474</v>
      </c>
      <c r="L582" t="s">
        <v>40</v>
      </c>
      <c r="M582">
        <v>1</v>
      </c>
      <c r="N582">
        <v>146</v>
      </c>
      <c r="O582">
        <v>146</v>
      </c>
      <c r="P582" t="s">
        <v>41</v>
      </c>
      <c r="Q582">
        <v>1973.5</v>
      </c>
      <c r="R582">
        <v>1973.5</v>
      </c>
      <c r="S582">
        <v>14406.55</v>
      </c>
      <c r="T582">
        <v>288131</v>
      </c>
      <c r="U582">
        <v>5</v>
      </c>
      <c r="V582" t="s">
        <v>42</v>
      </c>
      <c r="W582" t="s">
        <v>474</v>
      </c>
      <c r="X582" s="6" t="str">
        <f t="shared" si="30"/>
        <v>441811104</v>
      </c>
      <c r="Y582" s="7" t="str">
        <f t="shared" si="31"/>
        <v>RP</v>
      </c>
      <c r="Z582" s="7">
        <f t="shared" si="32"/>
        <v>146</v>
      </c>
      <c r="AA582" s="7">
        <f t="shared" si="33"/>
        <v>146</v>
      </c>
      <c r="AB582" s="7">
        <f t="shared" si="34"/>
        <v>146</v>
      </c>
      <c r="AC582" s="7">
        <f t="shared" si="35"/>
        <v>146</v>
      </c>
      <c r="AD582" s="7">
        <f t="shared" si="36"/>
        <v>146</v>
      </c>
      <c r="AE582" s="8" t="str" cm="1">
        <f t="array" ref="AE582">IFERROR(_xlfn.XLOOKUP(H582,Sheet1!$G:$G,Sheet1!$F:$F),IFERROR(_xlfn.XLOOKUP(1,(--($X$2:$X$1074=X582))*(--ISNUMBER(MATCH($H$2:$H$1074,Sheet1!$G:$G,0))),_xlfn.XLOOKUP($H$2:$H$1074,Sheet1!$G:$G,Sheet1!$F:$F,"")),"NOT FOUND"))</f>
        <v>GETKRTSFUT6202</v>
      </c>
      <c r="AF582" s="9" t="str">
        <f t="shared" si="39"/>
        <v>NAVY</v>
      </c>
      <c r="AG582" s="10" t="str">
        <f t="shared" si="40"/>
        <v>JHAJJAR</v>
      </c>
      <c r="AH582" s="8" t="str" cm="1">
        <f t="array" ref="AH582">IF(OR(J582="",AE582="",AE582="NOT FOUND"),"",IF(Y582="RP",_xlfn.LET(_xlpm.desc,_xlfn.XLOOKUP(1,(--(Sheet1!$F$2:$F$754=AE582))*(--ISNUMBER(FIND("-",Sheet1!$W$2:$W$754,FIND("-",Sheet1!$W$2:$W$754)+1))),Sheet1!$W$2:$W$754,""),IF(_xlpm.desc="","NOT FOUND",LEFT(_xlpm.desc,FIND("-",_xlpm.desc,FIND("-",_xlpm.desc)+1))&amp;AE582)),LEFT(J582,FIND("-",J582,FIND("-",J582)+1))&amp;AE582))</f>
        <v>KRTS-APWN26-GETKRTSFUT6202</v>
      </c>
    </row>
    <row r="583" spans="1:34" ht="15.75" customHeight="1" x14ac:dyDescent="0.2">
      <c r="A583" t="s">
        <v>61</v>
      </c>
      <c r="B583" t="s">
        <v>393</v>
      </c>
      <c r="C583" t="s">
        <v>369</v>
      </c>
      <c r="D583" t="s">
        <v>370</v>
      </c>
      <c r="E583" t="s">
        <v>34</v>
      </c>
      <c r="F583" t="s">
        <v>35</v>
      </c>
      <c r="G583" t="s">
        <v>36</v>
      </c>
      <c r="H583" t="s">
        <v>387</v>
      </c>
      <c r="I583" t="s">
        <v>388</v>
      </c>
      <c r="J583" t="s">
        <v>389</v>
      </c>
      <c r="K583" t="s">
        <v>474</v>
      </c>
      <c r="L583" t="s">
        <v>40</v>
      </c>
      <c r="M583">
        <v>1</v>
      </c>
      <c r="N583">
        <v>174</v>
      </c>
      <c r="O583">
        <v>174</v>
      </c>
      <c r="P583" t="s">
        <v>41</v>
      </c>
      <c r="Q583">
        <v>1973.5</v>
      </c>
      <c r="R583">
        <v>1973.5</v>
      </c>
      <c r="S583">
        <v>17169.45</v>
      </c>
      <c r="T583">
        <v>343389</v>
      </c>
      <c r="U583">
        <v>5</v>
      </c>
      <c r="V583" t="s">
        <v>42</v>
      </c>
      <c r="W583" t="s">
        <v>474</v>
      </c>
      <c r="X583" s="6" t="str">
        <f t="shared" si="30"/>
        <v>441811104</v>
      </c>
      <c r="Y583" s="7" t="str">
        <f t="shared" si="31"/>
        <v>RP</v>
      </c>
      <c r="Z583" s="7">
        <f t="shared" si="32"/>
        <v>174</v>
      </c>
      <c r="AA583" s="7">
        <f t="shared" si="33"/>
        <v>174</v>
      </c>
      <c r="AB583" s="7">
        <f t="shared" si="34"/>
        <v>174</v>
      </c>
      <c r="AC583" s="7">
        <f t="shared" si="35"/>
        <v>174</v>
      </c>
      <c r="AD583" s="7">
        <f t="shared" si="36"/>
        <v>174</v>
      </c>
      <c r="AE583" s="8" t="str" cm="1">
        <f t="array" ref="AE583">IFERROR(_xlfn.XLOOKUP(H583,Sheet1!$G:$G,Sheet1!$F:$F),IFERROR(_xlfn.XLOOKUP(1,(--($X$2:$X$1074=X583))*(--ISNUMBER(MATCH($H$2:$H$1074,Sheet1!$G:$G,0))),_xlfn.XLOOKUP($H$2:$H$1074,Sheet1!$G:$G,Sheet1!$F:$F,"")),"NOT FOUND"))</f>
        <v>GETKRTSFUT6202</v>
      </c>
      <c r="AF583" s="9" t="str">
        <f t="shared" si="39"/>
        <v>NAVY</v>
      </c>
      <c r="AG583" s="10" t="str">
        <f t="shared" si="40"/>
        <v>HARIPAL</v>
      </c>
      <c r="AH583" s="8" t="str" cm="1">
        <f t="array" ref="AH583">IF(OR(J583="",AE583="",AE583="NOT FOUND"),"",IF(Y583="RP",_xlfn.LET(_xlpm.desc,_xlfn.XLOOKUP(1,(--(Sheet1!$F$2:$F$754=AE583))*(--ISNUMBER(FIND("-",Sheet1!$W$2:$W$754,FIND("-",Sheet1!$W$2:$W$754)+1))),Sheet1!$W$2:$W$754,""),IF(_xlpm.desc="","NOT FOUND",LEFT(_xlpm.desc,FIND("-",_xlpm.desc,FIND("-",_xlpm.desc)+1))&amp;AE583)),LEFT(J583,FIND("-",J583,FIND("-",J583)+1))&amp;AE583))</f>
        <v>KRTS-APWN26-GETKRTSFUT6202</v>
      </c>
    </row>
    <row r="584" spans="1:34" ht="15.75" customHeight="1" x14ac:dyDescent="0.2">
      <c r="A584" t="s">
        <v>61</v>
      </c>
      <c r="B584" t="s">
        <v>394</v>
      </c>
      <c r="C584" t="s">
        <v>369</v>
      </c>
      <c r="D584" t="s">
        <v>372</v>
      </c>
      <c r="E584" t="s">
        <v>34</v>
      </c>
      <c r="F584" t="s">
        <v>35</v>
      </c>
      <c r="G584" t="s">
        <v>36</v>
      </c>
      <c r="H584" t="s">
        <v>373</v>
      </c>
      <c r="I584" t="s">
        <v>374</v>
      </c>
      <c r="J584" t="s">
        <v>375</v>
      </c>
      <c r="K584" t="s">
        <v>474</v>
      </c>
      <c r="L584" t="s">
        <v>40</v>
      </c>
      <c r="M584">
        <v>1</v>
      </c>
      <c r="N584">
        <v>147</v>
      </c>
      <c r="O584">
        <v>147</v>
      </c>
      <c r="P584" t="s">
        <v>41</v>
      </c>
      <c r="Q584">
        <v>2473.5</v>
      </c>
      <c r="R584">
        <v>2473.5</v>
      </c>
      <c r="S584">
        <v>18180.23</v>
      </c>
      <c r="T584">
        <v>363604.5</v>
      </c>
      <c r="U584">
        <v>5</v>
      </c>
      <c r="V584" t="s">
        <v>42</v>
      </c>
      <c r="W584" t="s">
        <v>474</v>
      </c>
      <c r="X584" s="6" t="str">
        <f t="shared" si="30"/>
        <v>441811011</v>
      </c>
      <c r="Y584" s="7" t="str">
        <f t="shared" si="31"/>
        <v>RP</v>
      </c>
      <c r="Z584" s="7">
        <f t="shared" si="32"/>
        <v>147</v>
      </c>
      <c r="AA584" s="7">
        <f t="shared" si="33"/>
        <v>147</v>
      </c>
      <c r="AB584" s="7">
        <f t="shared" si="34"/>
        <v>147</v>
      </c>
      <c r="AC584" s="7">
        <f t="shared" si="35"/>
        <v>147</v>
      </c>
      <c r="AD584" s="7">
        <f t="shared" si="36"/>
        <v>147</v>
      </c>
      <c r="AE584" s="8" t="str" cm="1">
        <f t="array" ref="AE584">IFERROR(_xlfn.XLOOKUP(H584,Sheet1!$G:$G,Sheet1!$F:$F),IFERROR(_xlfn.XLOOKUP(1,(--($X$2:$X$1074=X584))*(--ISNUMBER(MATCH($H$2:$H$1074,Sheet1!$G:$G,0))),_xlfn.XLOOKUP($H$2:$H$1074,Sheet1!$G:$G,Sheet1!$F:$F,"")),"NOT FOUND"))</f>
        <v>GETCRDSFUT6206</v>
      </c>
      <c r="AF584" s="9" t="str">
        <f t="shared" si="39"/>
        <v>TEAL</v>
      </c>
      <c r="AG584" s="10" t="str">
        <f t="shared" si="40"/>
        <v>HARIPAL</v>
      </c>
      <c r="AH584" s="8" t="str" cm="1">
        <f t="array" ref="AH584">IF(OR(J584="",AE584="",AE584="NOT FOUND"),"",IF(Y584="RP",_xlfn.LET(_xlpm.desc,_xlfn.XLOOKUP(1,(--(Sheet1!$F$2:$F$754=AE584))*(--ISNUMBER(FIND("-",Sheet1!$W$2:$W$754,FIND("-",Sheet1!$W$2:$W$754)+1))),Sheet1!$W$2:$W$754,""),IF(_xlpm.desc="","NOT FOUND",LEFT(_xlpm.desc,FIND("-",_xlpm.desc,FIND("-",_xlpm.desc)+1))&amp;AE584)),LEFT(J584,FIND("-",J584,FIND("-",J584)+1))&amp;AE584))</f>
        <v>SKD-APWN26-GETCRDSFUT6206</v>
      </c>
    </row>
    <row r="585" spans="1:34" ht="15.75" customHeight="1" x14ac:dyDescent="0.2">
      <c r="A585" t="s">
        <v>61</v>
      </c>
      <c r="B585" t="s">
        <v>395</v>
      </c>
      <c r="C585" t="s">
        <v>369</v>
      </c>
      <c r="D585" t="s">
        <v>370</v>
      </c>
      <c r="E585" t="s">
        <v>34</v>
      </c>
      <c r="F585" t="s">
        <v>35</v>
      </c>
      <c r="G585" t="s">
        <v>36</v>
      </c>
      <c r="H585" t="s">
        <v>383</v>
      </c>
      <c r="I585" t="s">
        <v>384</v>
      </c>
      <c r="J585" t="s">
        <v>385</v>
      </c>
      <c r="K585" t="s">
        <v>474</v>
      </c>
      <c r="L585" t="s">
        <v>40</v>
      </c>
      <c r="M585">
        <v>1</v>
      </c>
      <c r="N585">
        <v>174</v>
      </c>
      <c r="O585">
        <v>174</v>
      </c>
      <c r="P585" t="s">
        <v>41</v>
      </c>
      <c r="Q585">
        <v>2098.5</v>
      </c>
      <c r="R585">
        <v>2098.5</v>
      </c>
      <c r="S585">
        <v>18256.95</v>
      </c>
      <c r="T585">
        <v>365139</v>
      </c>
      <c r="U585">
        <v>5</v>
      </c>
      <c r="V585" t="s">
        <v>42</v>
      </c>
      <c r="W585" t="s">
        <v>474</v>
      </c>
      <c r="X585" s="6" t="str">
        <f t="shared" si="30"/>
        <v>441811107</v>
      </c>
      <c r="Y585" s="7" t="str">
        <f t="shared" si="31"/>
        <v>RP</v>
      </c>
      <c r="Z585" s="7">
        <f t="shared" si="32"/>
        <v>174</v>
      </c>
      <c r="AA585" s="7">
        <f t="shared" si="33"/>
        <v>174</v>
      </c>
      <c r="AB585" s="7">
        <f t="shared" si="34"/>
        <v>174</v>
      </c>
      <c r="AC585" s="7">
        <f t="shared" si="35"/>
        <v>174</v>
      </c>
      <c r="AD585" s="7">
        <f t="shared" si="36"/>
        <v>174</v>
      </c>
      <c r="AE585" s="8" t="str" cm="1">
        <f t="array" ref="AE585">IFERROR(_xlfn.XLOOKUP(H585,Sheet1!$G:$G,Sheet1!$F:$F),IFERROR(_xlfn.XLOOKUP(1,(--($X$2:$X$1074=X585))*(--ISNUMBER(MATCH($H$2:$H$1074,Sheet1!$G:$G,0))),_xlfn.XLOOKUP($H$2:$H$1074,Sheet1!$G:$G,Sheet1!$F:$F,"")),"NOT FOUND"))</f>
        <v>GETKRTSFUT6205</v>
      </c>
      <c r="AF585" s="9" t="str">
        <f t="shared" si="39"/>
        <v>GREEN</v>
      </c>
      <c r="AG585" s="10" t="str">
        <f t="shared" si="40"/>
        <v>HARIPAL</v>
      </c>
      <c r="AH585" s="8" t="str" cm="1">
        <f t="array" ref="AH585">IF(OR(J585="",AE585="",AE585="NOT FOUND"),"",IF(Y585="RP",_xlfn.LET(_xlpm.desc,_xlfn.XLOOKUP(1,(--(Sheet1!$F$2:$F$754=AE585))*(--ISNUMBER(FIND("-",Sheet1!$W$2:$W$754,FIND("-",Sheet1!$W$2:$W$754)+1))),Sheet1!$W$2:$W$754,""),IF(_xlpm.desc="","NOT FOUND",LEFT(_xlpm.desc,FIND("-",_xlpm.desc,FIND("-",_xlpm.desc)+1))&amp;AE585)),LEFT(J585,FIND("-",J585,FIND("-",J585)+1))&amp;AE585))</f>
        <v>KRTS-APWN26-GETKRTSFUT6205</v>
      </c>
    </row>
    <row r="586" spans="1:34" ht="15.75" customHeight="1" x14ac:dyDescent="0.2">
      <c r="A586" t="s">
        <v>30</v>
      </c>
      <c r="B586" t="s">
        <v>396</v>
      </c>
      <c r="C586" t="s">
        <v>369</v>
      </c>
      <c r="D586" t="s">
        <v>372</v>
      </c>
      <c r="E586" t="s">
        <v>34</v>
      </c>
      <c r="F586" t="s">
        <v>35</v>
      </c>
      <c r="G586" t="s">
        <v>36</v>
      </c>
      <c r="H586" t="s">
        <v>390</v>
      </c>
      <c r="I586" t="s">
        <v>391</v>
      </c>
      <c r="J586" t="s">
        <v>392</v>
      </c>
      <c r="K586" t="s">
        <v>474</v>
      </c>
      <c r="L586" t="s">
        <v>40</v>
      </c>
      <c r="M586">
        <v>1</v>
      </c>
      <c r="N586">
        <v>253</v>
      </c>
      <c r="O586">
        <v>253</v>
      </c>
      <c r="P586" t="s">
        <v>41</v>
      </c>
      <c r="Q586">
        <v>1873.5</v>
      </c>
      <c r="R586">
        <v>1873.5</v>
      </c>
      <c r="S586">
        <v>23699.78</v>
      </c>
      <c r="T586">
        <v>473995.5</v>
      </c>
      <c r="U586">
        <v>5</v>
      </c>
      <c r="V586" t="s">
        <v>42</v>
      </c>
      <c r="W586" t="s">
        <v>474</v>
      </c>
      <c r="X586" s="6" t="str">
        <f t="shared" si="30"/>
        <v>441811094</v>
      </c>
      <c r="Y586" s="7" t="str">
        <f t="shared" si="31"/>
        <v>RP</v>
      </c>
      <c r="Z586" s="7">
        <f t="shared" si="32"/>
        <v>253</v>
      </c>
      <c r="AA586" s="7">
        <f t="shared" si="33"/>
        <v>253</v>
      </c>
      <c r="AB586" s="7">
        <f t="shared" si="34"/>
        <v>253</v>
      </c>
      <c r="AC586" s="7">
        <f t="shared" si="35"/>
        <v>253</v>
      </c>
      <c r="AD586" s="7">
        <f t="shared" si="36"/>
        <v>253</v>
      </c>
      <c r="AE586" s="8" t="str" cm="1">
        <f t="array" ref="AE586">IFERROR(_xlfn.XLOOKUP(H586,Sheet1!$G:$G,Sheet1!$F:$F),IFERROR(_xlfn.XLOOKUP(1,(--($X$2:$X$1074=X586))*(--ISNUMBER(MATCH($H$2:$H$1074,Sheet1!$G:$G,0))),_xlfn.XLOOKUP($H$2:$H$1074,Sheet1!$G:$G,Sheet1!$F:$F,"")),"NOT FOUND"))</f>
        <v>GETKRTSFUT6002</v>
      </c>
      <c r="AF586" s="9" t="str">
        <f t="shared" si="39"/>
        <v>MAROON</v>
      </c>
      <c r="AG586" s="10" t="str">
        <f t="shared" si="40"/>
        <v>Bangalore</v>
      </c>
      <c r="AH586" s="8" t="str" cm="1">
        <f t="array" ref="AH586">IF(OR(J586="",AE586="",AE586="NOT FOUND"),"",IF(Y586="RP",_xlfn.LET(_xlpm.desc,_xlfn.XLOOKUP(1,(--(Sheet1!$F$2:$F$754=AE586))*(--ISNUMBER(FIND("-",Sheet1!$W$2:$W$754,FIND("-",Sheet1!$W$2:$W$754)+1))),Sheet1!$W$2:$W$754,""),IF(_xlpm.desc="","NOT FOUND",LEFT(_xlpm.desc,FIND("-",_xlpm.desc,FIND("-",_xlpm.desc)+1))&amp;AE586)),LEFT(J586,FIND("-",J586,FIND("-",J586)+1))&amp;AE586))</f>
        <v>KRTS-APWN26-GETKRTSFUT6002</v>
      </c>
    </row>
    <row r="587" spans="1:34" ht="15.75" customHeight="1" x14ac:dyDescent="0.2">
      <c r="A587" t="s">
        <v>30</v>
      </c>
      <c r="B587" t="s">
        <v>397</v>
      </c>
      <c r="C587" t="s">
        <v>369</v>
      </c>
      <c r="D587" t="s">
        <v>370</v>
      </c>
      <c r="E587" t="s">
        <v>34</v>
      </c>
      <c r="F587" t="s">
        <v>35</v>
      </c>
      <c r="G587" t="s">
        <v>36</v>
      </c>
      <c r="H587" t="s">
        <v>387</v>
      </c>
      <c r="I587" t="s">
        <v>388</v>
      </c>
      <c r="J587" t="s">
        <v>389</v>
      </c>
      <c r="K587" t="s">
        <v>474</v>
      </c>
      <c r="L587" t="s">
        <v>40</v>
      </c>
      <c r="M587">
        <v>1</v>
      </c>
      <c r="N587">
        <v>241</v>
      </c>
      <c r="O587">
        <v>241</v>
      </c>
      <c r="P587" t="s">
        <v>41</v>
      </c>
      <c r="Q587">
        <v>1973.5</v>
      </c>
      <c r="R587">
        <v>1973.5</v>
      </c>
      <c r="S587">
        <v>23780.68</v>
      </c>
      <c r="T587">
        <v>475613.5</v>
      </c>
      <c r="U587">
        <v>5</v>
      </c>
      <c r="V587" t="s">
        <v>42</v>
      </c>
      <c r="W587" t="s">
        <v>474</v>
      </c>
      <c r="X587" s="6" t="str">
        <f t="shared" si="30"/>
        <v>441811104</v>
      </c>
      <c r="Y587" s="7" t="str">
        <f t="shared" si="31"/>
        <v>RP</v>
      </c>
      <c r="Z587" s="7">
        <f t="shared" si="32"/>
        <v>241</v>
      </c>
      <c r="AA587" s="7">
        <f t="shared" si="33"/>
        <v>241</v>
      </c>
      <c r="AB587" s="7">
        <f t="shared" si="34"/>
        <v>241</v>
      </c>
      <c r="AC587" s="7">
        <f t="shared" si="35"/>
        <v>241</v>
      </c>
      <c r="AD587" s="7">
        <f t="shared" si="36"/>
        <v>241</v>
      </c>
      <c r="AE587" s="8" t="str" cm="1">
        <f t="array" ref="AE587">IFERROR(_xlfn.XLOOKUP(H587,Sheet1!$G:$G,Sheet1!$F:$F),IFERROR(_xlfn.XLOOKUP(1,(--($X$2:$X$1074=X587))*(--ISNUMBER(MATCH($H$2:$H$1074,Sheet1!$G:$G,0))),_xlfn.XLOOKUP($H$2:$H$1074,Sheet1!$G:$G,Sheet1!$F:$F,"")),"NOT FOUND"))</f>
        <v>GETKRTSFUT6202</v>
      </c>
      <c r="AF587" s="9" t="str">
        <f t="shared" si="39"/>
        <v>NAVY</v>
      </c>
      <c r="AG587" s="10" t="str">
        <f t="shared" si="40"/>
        <v>Bangalore</v>
      </c>
      <c r="AH587" s="8" t="str" cm="1">
        <f t="array" ref="AH587">IF(OR(J587="",AE587="",AE587="NOT FOUND"),"",IF(Y587="RP",_xlfn.LET(_xlpm.desc,_xlfn.XLOOKUP(1,(--(Sheet1!$F$2:$F$754=AE587))*(--ISNUMBER(FIND("-",Sheet1!$W$2:$W$754,FIND("-",Sheet1!$W$2:$W$754)+1))),Sheet1!$W$2:$W$754,""),IF(_xlpm.desc="","NOT FOUND",LEFT(_xlpm.desc,FIND("-",_xlpm.desc,FIND("-",_xlpm.desc)+1))&amp;AE587)),LEFT(J587,FIND("-",J587,FIND("-",J587)+1))&amp;AE587))</f>
        <v>KRTS-APWN26-GETKRTSFUT6202</v>
      </c>
    </row>
    <row r="588" spans="1:34" ht="15.75" customHeight="1" x14ac:dyDescent="0.2">
      <c r="A588" t="s">
        <v>59</v>
      </c>
      <c r="B588" t="s">
        <v>398</v>
      </c>
      <c r="C588" t="s">
        <v>369</v>
      </c>
      <c r="D588" t="s">
        <v>370</v>
      </c>
      <c r="E588" t="s">
        <v>34</v>
      </c>
      <c r="F588" t="s">
        <v>35</v>
      </c>
      <c r="G588" t="s">
        <v>36</v>
      </c>
      <c r="H588" t="s">
        <v>380</v>
      </c>
      <c r="I588" t="s">
        <v>381</v>
      </c>
      <c r="J588" t="s">
        <v>382</v>
      </c>
      <c r="K588" t="s">
        <v>474</v>
      </c>
      <c r="L588" t="s">
        <v>40</v>
      </c>
      <c r="M588">
        <v>1</v>
      </c>
      <c r="N588">
        <v>146</v>
      </c>
      <c r="O588">
        <v>146</v>
      </c>
      <c r="P588" t="s">
        <v>41</v>
      </c>
      <c r="Q588">
        <v>2023.5</v>
      </c>
      <c r="R588">
        <v>2023.5</v>
      </c>
      <c r="S588">
        <v>14771.55</v>
      </c>
      <c r="T588">
        <v>295431</v>
      </c>
      <c r="U588">
        <v>5</v>
      </c>
      <c r="V588" t="s">
        <v>42</v>
      </c>
      <c r="W588" t="s">
        <v>474</v>
      </c>
      <c r="X588" s="6" t="str">
        <f t="shared" si="30"/>
        <v>441811101</v>
      </c>
      <c r="Y588" s="7" t="str">
        <f t="shared" si="31"/>
        <v>RP</v>
      </c>
      <c r="Z588" s="7">
        <f t="shared" si="32"/>
        <v>146</v>
      </c>
      <c r="AA588" s="7">
        <f t="shared" si="33"/>
        <v>146</v>
      </c>
      <c r="AB588" s="7">
        <f t="shared" si="34"/>
        <v>146</v>
      </c>
      <c r="AC588" s="7">
        <f t="shared" si="35"/>
        <v>146</v>
      </c>
      <c r="AD588" s="7">
        <f t="shared" si="36"/>
        <v>146</v>
      </c>
      <c r="AE588" s="8" t="str" cm="1">
        <f t="array" ref="AE588">IFERROR(_xlfn.XLOOKUP(H588,Sheet1!$G:$G,Sheet1!$F:$F),IFERROR(_xlfn.XLOOKUP(1,(--($X$2:$X$1074=X588))*(--ISNUMBER(MATCH($H$2:$H$1074,Sheet1!$G:$G,0))),_xlfn.XLOOKUP($H$2:$H$1074,Sheet1!$G:$G,Sheet1!$F:$F,"")),"NOT FOUND"))</f>
        <v>GETKRTSFUT6103</v>
      </c>
      <c r="AF588" s="9" t="str">
        <f t="shared" si="39"/>
        <v>LIME GREEN</v>
      </c>
      <c r="AG588" s="10" t="str">
        <f t="shared" si="40"/>
        <v>JHAJJAR</v>
      </c>
      <c r="AH588" s="8" t="str" cm="1">
        <f t="array" ref="AH588">IF(OR(J588="",AE588="",AE588="NOT FOUND"),"",IF(Y588="RP",_xlfn.LET(_xlpm.desc,_xlfn.XLOOKUP(1,(--(Sheet1!$F$2:$F$754=AE588))*(--ISNUMBER(FIND("-",Sheet1!$W$2:$W$754,FIND("-",Sheet1!$W$2:$W$754)+1))),Sheet1!$W$2:$W$754,""),IF(_xlpm.desc="","NOT FOUND",LEFT(_xlpm.desc,FIND("-",_xlpm.desc,FIND("-",_xlpm.desc)+1))&amp;AE588)),LEFT(J588,FIND("-",J588,FIND("-",J588)+1))&amp;AE588))</f>
        <v>KRTS-APWN26-GETKRTSFUT6103</v>
      </c>
    </row>
    <row r="589" spans="1:34" ht="15.75" customHeight="1" x14ac:dyDescent="0.2">
      <c r="A589" t="s">
        <v>61</v>
      </c>
      <c r="B589" t="s">
        <v>399</v>
      </c>
      <c r="C589" t="s">
        <v>369</v>
      </c>
      <c r="D589" t="s">
        <v>595</v>
      </c>
      <c r="E589" t="s">
        <v>34</v>
      </c>
      <c r="F589" t="s">
        <v>35</v>
      </c>
      <c r="G589" t="s">
        <v>36</v>
      </c>
      <c r="H589" t="s">
        <v>377</v>
      </c>
      <c r="I589" t="s">
        <v>378</v>
      </c>
      <c r="J589" t="s">
        <v>379</v>
      </c>
      <c r="K589" t="s">
        <v>474</v>
      </c>
      <c r="L589" t="s">
        <v>40</v>
      </c>
      <c r="M589">
        <v>1</v>
      </c>
      <c r="N589">
        <v>182</v>
      </c>
      <c r="O589">
        <v>182</v>
      </c>
      <c r="P589" t="s">
        <v>41</v>
      </c>
      <c r="Q589">
        <v>1873.5</v>
      </c>
      <c r="R589">
        <v>1873.5</v>
      </c>
      <c r="S589">
        <v>17048.849999999999</v>
      </c>
      <c r="T589">
        <v>340977</v>
      </c>
      <c r="U589">
        <v>5</v>
      </c>
      <c r="V589" t="s">
        <v>42</v>
      </c>
      <c r="W589" t="s">
        <v>474</v>
      </c>
      <c r="X589" s="6" t="str">
        <f t="shared" si="30"/>
        <v>441811094</v>
      </c>
      <c r="Y589" s="7" t="str">
        <f t="shared" si="31"/>
        <v>RP</v>
      </c>
      <c r="Z589" s="7">
        <f t="shared" si="32"/>
        <v>182</v>
      </c>
      <c r="AA589" s="7">
        <f t="shared" si="33"/>
        <v>182</v>
      </c>
      <c r="AB589" s="7">
        <f t="shared" si="34"/>
        <v>182</v>
      </c>
      <c r="AC589" s="7">
        <f t="shared" si="35"/>
        <v>182</v>
      </c>
      <c r="AD589" s="7">
        <f t="shared" si="36"/>
        <v>182</v>
      </c>
      <c r="AE589" s="8" t="str" cm="1">
        <f t="array" ref="AE589">IFERROR(_xlfn.XLOOKUP(H589,Sheet1!$G:$G,Sheet1!$F:$F),IFERROR(_xlfn.XLOOKUP(1,(--($X$2:$X$1074=X589))*(--ISNUMBER(MATCH($H$2:$H$1074,Sheet1!$G:$G,0))),_xlfn.XLOOKUP($H$2:$H$1074,Sheet1!$G:$G,Sheet1!$F:$F,"")),"NOT FOUND"))</f>
        <v>GETKRTSFUT6002</v>
      </c>
      <c r="AF589" s="9" t="str">
        <f t="shared" si="39"/>
        <v>MUSTARD</v>
      </c>
      <c r="AG589" s="10" t="str">
        <f t="shared" si="40"/>
        <v>HARIPAL</v>
      </c>
      <c r="AH589" s="8" t="str" cm="1">
        <f t="array" ref="AH589">IF(OR(J589="",AE589="",AE589="NOT FOUND"),"",IF(Y589="RP",_xlfn.LET(_xlpm.desc,_xlfn.XLOOKUP(1,(--(Sheet1!$F$2:$F$754=AE589))*(--ISNUMBER(FIND("-",Sheet1!$W$2:$W$754,FIND("-",Sheet1!$W$2:$W$754)+1))),Sheet1!$W$2:$W$754,""),IF(_xlpm.desc="","NOT FOUND",LEFT(_xlpm.desc,FIND("-",_xlpm.desc,FIND("-",_xlpm.desc)+1))&amp;AE589)),LEFT(J589,FIND("-",J589,FIND("-",J589)+1))&amp;AE589))</f>
        <v>KRTS-APWN26-GETKRTSFUT6002</v>
      </c>
    </row>
    <row r="590" spans="1:34" ht="15.75" customHeight="1" x14ac:dyDescent="0.2">
      <c r="A590" t="s">
        <v>30</v>
      </c>
      <c r="B590" t="s">
        <v>400</v>
      </c>
      <c r="C590" t="s">
        <v>401</v>
      </c>
      <c r="D590" t="s">
        <v>115</v>
      </c>
      <c r="E590" t="s">
        <v>34</v>
      </c>
      <c r="F590" t="s">
        <v>35</v>
      </c>
      <c r="G590" t="s">
        <v>36</v>
      </c>
      <c r="H590" t="s">
        <v>403</v>
      </c>
      <c r="I590" t="s">
        <v>404</v>
      </c>
      <c r="J590" t="s">
        <v>405</v>
      </c>
      <c r="K590" t="s">
        <v>474</v>
      </c>
      <c r="L590" t="s">
        <v>40</v>
      </c>
      <c r="M590">
        <v>1</v>
      </c>
      <c r="N590">
        <v>332</v>
      </c>
      <c r="O590">
        <v>332</v>
      </c>
      <c r="P590" t="s">
        <v>41</v>
      </c>
      <c r="Q590">
        <v>1598.5</v>
      </c>
      <c r="R590">
        <v>1598.5</v>
      </c>
      <c r="S590">
        <v>26535.1</v>
      </c>
      <c r="T590">
        <v>530702</v>
      </c>
      <c r="U590">
        <v>5</v>
      </c>
      <c r="V590" t="s">
        <v>42</v>
      </c>
      <c r="W590" t="s">
        <v>474</v>
      </c>
      <c r="X590" s="6" t="str">
        <f t="shared" si="30"/>
        <v>441811105</v>
      </c>
      <c r="Y590" s="7" t="str">
        <f t="shared" si="31"/>
        <v>RP</v>
      </c>
      <c r="Z590" s="7">
        <f t="shared" si="32"/>
        <v>332</v>
      </c>
      <c r="AA590" s="7">
        <f t="shared" si="33"/>
        <v>332</v>
      </c>
      <c r="AB590" s="7">
        <f t="shared" si="34"/>
        <v>332</v>
      </c>
      <c r="AC590" s="7">
        <f t="shared" si="35"/>
        <v>332</v>
      </c>
      <c r="AD590" s="7">
        <f t="shared" si="36"/>
        <v>332</v>
      </c>
      <c r="AE590" s="8" t="str" cm="1">
        <f t="array" ref="AE590">IFERROR(_xlfn.XLOOKUP(H590,Sheet1!$G:$G,Sheet1!$F:$F),IFERROR(_xlfn.XLOOKUP(1,(--($X$2:$X$1074=X590))*(--ISNUMBER(MATCH($H$2:$H$1074,Sheet1!$G:$G,0))),_xlfn.XLOOKUP($H$2:$H$1074,Sheet1!$G:$G,Sheet1!$F:$F,"")),"NOT FOUND"))</f>
        <v>GETKRTSFUT6203</v>
      </c>
      <c r="AF590" s="9" t="str">
        <f t="shared" si="39"/>
        <v>BLACK</v>
      </c>
      <c r="AG590" s="10" t="str">
        <f t="shared" si="40"/>
        <v>Bangalore</v>
      </c>
      <c r="AH590" s="8" t="str" cm="1">
        <f t="array" ref="AH590">IF(OR(J590="",AE590="",AE590="NOT FOUND"),"",IF(Y590="RP",_xlfn.LET(_xlpm.desc,_xlfn.XLOOKUP(1,(--(Sheet1!$F$2:$F$754=AE590))*(--ISNUMBER(FIND("-",Sheet1!$W$2:$W$754,FIND("-",Sheet1!$W$2:$W$754)+1))),Sheet1!$W$2:$W$754,""),IF(_xlpm.desc="","NOT FOUND",LEFT(_xlpm.desc,FIND("-",_xlpm.desc,FIND("-",_xlpm.desc)+1))&amp;AE590)),LEFT(J590,FIND("-",J590,FIND("-",J590)+1))&amp;AE590))</f>
        <v>KRTS-APWN26-GETKRTSFUT6203</v>
      </c>
    </row>
    <row r="591" spans="1:34" ht="15.75" customHeight="1" x14ac:dyDescent="0.2">
      <c r="A591" t="s">
        <v>30</v>
      </c>
      <c r="B591" t="s">
        <v>406</v>
      </c>
      <c r="C591" t="s">
        <v>401</v>
      </c>
      <c r="D591" t="s">
        <v>1157</v>
      </c>
      <c r="E591" t="s">
        <v>34</v>
      </c>
      <c r="F591" t="s">
        <v>35</v>
      </c>
      <c r="G591" t="s">
        <v>36</v>
      </c>
      <c r="H591" t="s">
        <v>407</v>
      </c>
      <c r="I591" t="s">
        <v>408</v>
      </c>
      <c r="J591" t="s">
        <v>409</v>
      </c>
      <c r="K591" t="s">
        <v>474</v>
      </c>
      <c r="L591" t="s">
        <v>40</v>
      </c>
      <c r="M591">
        <v>1</v>
      </c>
      <c r="N591">
        <v>332</v>
      </c>
      <c r="O591">
        <v>332</v>
      </c>
      <c r="P591" t="s">
        <v>41</v>
      </c>
      <c r="Q591">
        <v>1563.5</v>
      </c>
      <c r="R591">
        <v>1563.5</v>
      </c>
      <c r="S591">
        <v>25954.1</v>
      </c>
      <c r="T591">
        <v>519082</v>
      </c>
      <c r="U591">
        <v>5</v>
      </c>
      <c r="V591" t="s">
        <v>42</v>
      </c>
      <c r="W591" t="s">
        <v>474</v>
      </c>
      <c r="X591" s="6" t="str">
        <f t="shared" si="30"/>
        <v>441811099</v>
      </c>
      <c r="Y591" s="7" t="str">
        <f t="shared" si="31"/>
        <v>RP</v>
      </c>
      <c r="Z591" s="7">
        <f t="shared" si="32"/>
        <v>332</v>
      </c>
      <c r="AA591" s="7">
        <f t="shared" si="33"/>
        <v>332</v>
      </c>
      <c r="AB591" s="7">
        <f t="shared" si="34"/>
        <v>332</v>
      </c>
      <c r="AC591" s="7">
        <f t="shared" si="35"/>
        <v>332</v>
      </c>
      <c r="AD591" s="7">
        <f t="shared" si="36"/>
        <v>332</v>
      </c>
      <c r="AE591" s="8" t="str" cm="1">
        <f t="array" ref="AE591">IFERROR(_xlfn.XLOOKUP(H591,Sheet1!$G:$G,Sheet1!$F:$F),IFERROR(_xlfn.XLOOKUP(1,(--($X$2:$X$1074=X591))*(--ISNUMBER(MATCH($H$2:$H$1074,Sheet1!$G:$G,0))),_xlfn.XLOOKUP($H$2:$H$1074,Sheet1!$G:$G,Sheet1!$F:$F,"")),"NOT FOUND"))</f>
        <v>GETKRTSFUT6100</v>
      </c>
      <c r="AF591" s="9" t="str">
        <f t="shared" si="39"/>
        <v>MUSTARD</v>
      </c>
      <c r="AG591" s="10" t="str">
        <f t="shared" si="40"/>
        <v>Bangalore</v>
      </c>
      <c r="AH591" s="8" t="str" cm="1">
        <f t="array" ref="AH591">IF(OR(J591="",AE591="",AE591="NOT FOUND"),"",IF(Y591="RP",_xlfn.LET(_xlpm.desc,_xlfn.XLOOKUP(1,(--(Sheet1!$F$2:$F$754=AE591))*(--ISNUMBER(FIND("-",Sheet1!$W$2:$W$754,FIND("-",Sheet1!$W$2:$W$754)+1))),Sheet1!$W$2:$W$754,""),IF(_xlpm.desc="","NOT FOUND",LEFT(_xlpm.desc,FIND("-",_xlpm.desc,FIND("-",_xlpm.desc)+1))&amp;AE591)),LEFT(J591,FIND("-",J591,FIND("-",J591)+1))&amp;AE591))</f>
        <v>KRTS-APWN26-GETKRTSFUT6100</v>
      </c>
    </row>
    <row r="592" spans="1:34" ht="15.75" customHeight="1" x14ac:dyDescent="0.2">
      <c r="A592" t="s">
        <v>30</v>
      </c>
      <c r="B592" t="s">
        <v>417</v>
      </c>
      <c r="C592" t="s">
        <v>401</v>
      </c>
      <c r="D592" t="s">
        <v>418</v>
      </c>
      <c r="E592" t="s">
        <v>34</v>
      </c>
      <c r="F592" t="s">
        <v>35</v>
      </c>
      <c r="G592" t="s">
        <v>36</v>
      </c>
      <c r="H592" t="s">
        <v>419</v>
      </c>
      <c r="I592" t="s">
        <v>420</v>
      </c>
      <c r="J592" t="s">
        <v>421</v>
      </c>
      <c r="K592" t="s">
        <v>474</v>
      </c>
      <c r="L592" t="s">
        <v>40</v>
      </c>
      <c r="M592">
        <v>1</v>
      </c>
      <c r="N592">
        <v>332</v>
      </c>
      <c r="O592">
        <v>332</v>
      </c>
      <c r="P592" t="s">
        <v>41</v>
      </c>
      <c r="Q592">
        <v>1573.5</v>
      </c>
      <c r="R592">
        <v>1573.5</v>
      </c>
      <c r="S592">
        <v>26120.1</v>
      </c>
      <c r="T592">
        <v>522402</v>
      </c>
      <c r="U592">
        <v>5</v>
      </c>
      <c r="V592" t="s">
        <v>42</v>
      </c>
      <c r="W592" t="s">
        <v>474</v>
      </c>
      <c r="X592" s="6" t="str">
        <f t="shared" si="30"/>
        <v>441811508</v>
      </c>
      <c r="Y592" s="7" t="str">
        <f t="shared" si="31"/>
        <v>RP</v>
      </c>
      <c r="Z592" s="7">
        <f t="shared" si="32"/>
        <v>332</v>
      </c>
      <c r="AA592" s="7">
        <f t="shared" si="33"/>
        <v>332</v>
      </c>
      <c r="AB592" s="7">
        <f t="shared" si="34"/>
        <v>332</v>
      </c>
      <c r="AC592" s="7">
        <f t="shared" si="35"/>
        <v>332</v>
      </c>
      <c r="AD592" s="7">
        <f t="shared" si="36"/>
        <v>332</v>
      </c>
      <c r="AE592" s="8" t="str" cm="1">
        <f t="array" ref="AE592">IFERROR(_xlfn.XLOOKUP(H592,Sheet1!$G:$G,Sheet1!$F:$F),IFERROR(_xlfn.XLOOKUP(1,(--($X$2:$X$1074=X592))*(--ISNUMBER(MATCH($H$2:$H$1074,Sheet1!$G:$G,0))),_xlfn.XLOOKUP($H$2:$H$1074,Sheet1!$G:$G,Sheet1!$F:$F,"")),"NOT FOUND"))</f>
        <v>GETKRTSFUT6125</v>
      </c>
      <c r="AF592" s="9" t="str">
        <f t="shared" si="39"/>
        <v>OFF WHITE</v>
      </c>
      <c r="AG592" s="10" t="str">
        <f t="shared" si="40"/>
        <v>Bangalore</v>
      </c>
      <c r="AH592" s="8" t="str" cm="1">
        <f t="array" ref="AH592">IF(OR(J592="",AE592="",AE592="NOT FOUND"),"",IF(Y592="RP",_xlfn.LET(_xlpm.desc,_xlfn.XLOOKUP(1,(--(Sheet1!$F$2:$F$754=AE592))*(--ISNUMBER(FIND("-",Sheet1!$W$2:$W$754,FIND("-",Sheet1!$W$2:$W$754)+1))),Sheet1!$W$2:$W$754,""),IF(_xlpm.desc="","NOT FOUND",LEFT(_xlpm.desc,FIND("-",_xlpm.desc,FIND("-",_xlpm.desc)+1))&amp;AE592)),LEFT(J592,FIND("-",J592,FIND("-",J592)+1))&amp;AE592))</f>
        <v>KRTS-APWN26-GETKRTSFUT6125</v>
      </c>
    </row>
    <row r="593" spans="1:34" ht="15.75" customHeight="1" x14ac:dyDescent="0.2">
      <c r="A593" t="s">
        <v>59</v>
      </c>
      <c r="B593" t="s">
        <v>428</v>
      </c>
      <c r="C593" t="s">
        <v>401</v>
      </c>
      <c r="D593" t="s">
        <v>410</v>
      </c>
      <c r="E593" t="s">
        <v>34</v>
      </c>
      <c r="F593" t="s">
        <v>35</v>
      </c>
      <c r="G593" t="s">
        <v>36</v>
      </c>
      <c r="H593" t="s">
        <v>414</v>
      </c>
      <c r="I593" t="s">
        <v>415</v>
      </c>
      <c r="J593" t="s">
        <v>416</v>
      </c>
      <c r="K593" t="s">
        <v>474</v>
      </c>
      <c r="L593" t="s">
        <v>40</v>
      </c>
      <c r="M593">
        <v>1</v>
      </c>
      <c r="N593">
        <v>208</v>
      </c>
      <c r="O593">
        <v>208</v>
      </c>
      <c r="P593" t="s">
        <v>41</v>
      </c>
      <c r="Q593">
        <v>1623.5</v>
      </c>
      <c r="R593">
        <v>1623.5</v>
      </c>
      <c r="S593">
        <v>16884.400000000001</v>
      </c>
      <c r="T593">
        <v>337688</v>
      </c>
      <c r="U593">
        <v>5</v>
      </c>
      <c r="V593" t="s">
        <v>42</v>
      </c>
      <c r="W593" t="s">
        <v>474</v>
      </c>
      <c r="X593" s="6" t="str">
        <f t="shared" si="30"/>
        <v>441811096</v>
      </c>
      <c r="Y593" s="7" t="str">
        <f t="shared" si="31"/>
        <v>RP</v>
      </c>
      <c r="Z593" s="7">
        <f t="shared" si="32"/>
        <v>208</v>
      </c>
      <c r="AA593" s="7">
        <f t="shared" si="33"/>
        <v>208</v>
      </c>
      <c r="AB593" s="7">
        <f t="shared" si="34"/>
        <v>208</v>
      </c>
      <c r="AC593" s="7">
        <f t="shared" si="35"/>
        <v>208</v>
      </c>
      <c r="AD593" s="7">
        <f t="shared" si="36"/>
        <v>208</v>
      </c>
      <c r="AE593" s="8" t="str" cm="1">
        <f t="array" ref="AE593">IFERROR(_xlfn.XLOOKUP(H593,Sheet1!$G:$G,Sheet1!$F:$F),IFERROR(_xlfn.XLOOKUP(1,(--($X$2:$X$1074=X593))*(--ISNUMBER(MATCH($H$2:$H$1074,Sheet1!$G:$G,0))),_xlfn.XLOOKUP($H$2:$H$1074,Sheet1!$G:$G,Sheet1!$F:$F,"")),"NOT FOUND"))</f>
        <v>GETKRTSFUT6087</v>
      </c>
      <c r="AF593" s="9" t="str">
        <f t="shared" si="39"/>
        <v>CORAL</v>
      </c>
      <c r="AG593" s="10" t="str">
        <f t="shared" si="40"/>
        <v>JHAJJAR</v>
      </c>
      <c r="AH593" s="8" t="str" cm="1">
        <f t="array" ref="AH593">IF(OR(J593="",AE593="",AE593="NOT FOUND"),"",IF(Y593="RP",_xlfn.LET(_xlpm.desc,_xlfn.XLOOKUP(1,(--(Sheet1!$F$2:$F$754=AE593))*(--ISNUMBER(FIND("-",Sheet1!$W$2:$W$754,FIND("-",Sheet1!$W$2:$W$754)+1))),Sheet1!$W$2:$W$754,""),IF(_xlpm.desc="","NOT FOUND",LEFT(_xlpm.desc,FIND("-",_xlpm.desc,FIND("-",_xlpm.desc)+1))&amp;AE593)),LEFT(J593,FIND("-",J593,FIND("-",J593)+1))&amp;AE593))</f>
        <v>KRTS-APWN26-GETKRTSFUT6087</v>
      </c>
    </row>
    <row r="594" spans="1:34" ht="15.75" customHeight="1" x14ac:dyDescent="0.2">
      <c r="A594" t="s">
        <v>59</v>
      </c>
      <c r="B594" t="s">
        <v>429</v>
      </c>
      <c r="C594" t="s">
        <v>401</v>
      </c>
      <c r="D594" t="s">
        <v>410</v>
      </c>
      <c r="E594" t="s">
        <v>34</v>
      </c>
      <c r="F594" t="s">
        <v>35</v>
      </c>
      <c r="G594" t="s">
        <v>36</v>
      </c>
      <c r="H594" t="s">
        <v>411</v>
      </c>
      <c r="I594" t="s">
        <v>412</v>
      </c>
      <c r="J594" t="s">
        <v>413</v>
      </c>
      <c r="K594" t="s">
        <v>474</v>
      </c>
      <c r="L594" t="s">
        <v>40</v>
      </c>
      <c r="M594">
        <v>1</v>
      </c>
      <c r="N594">
        <v>208</v>
      </c>
      <c r="O594">
        <v>208</v>
      </c>
      <c r="P594" t="s">
        <v>41</v>
      </c>
      <c r="Q594">
        <v>1573.5</v>
      </c>
      <c r="R594">
        <v>1573.5</v>
      </c>
      <c r="S594">
        <v>16364.4</v>
      </c>
      <c r="T594">
        <v>327288</v>
      </c>
      <c r="U594">
        <v>5</v>
      </c>
      <c r="V594" t="s">
        <v>42</v>
      </c>
      <c r="W594" t="s">
        <v>474</v>
      </c>
      <c r="X594" s="6" t="str">
        <f t="shared" si="30"/>
        <v>441811106</v>
      </c>
      <c r="Y594" s="7" t="str">
        <f t="shared" si="31"/>
        <v>RP</v>
      </c>
      <c r="Z594" s="7">
        <f t="shared" si="32"/>
        <v>208</v>
      </c>
      <c r="AA594" s="7">
        <f t="shared" si="33"/>
        <v>208</v>
      </c>
      <c r="AB594" s="7">
        <f t="shared" si="34"/>
        <v>208</v>
      </c>
      <c r="AC594" s="7">
        <f t="shared" si="35"/>
        <v>208</v>
      </c>
      <c r="AD594" s="7">
        <f t="shared" si="36"/>
        <v>208</v>
      </c>
      <c r="AE594" s="8" t="str" cm="1">
        <f t="array" ref="AE594">IFERROR(_xlfn.XLOOKUP(H594,Sheet1!$G:$G,Sheet1!$F:$F),IFERROR(_xlfn.XLOOKUP(1,(--($X$2:$X$1074=X594))*(--ISNUMBER(MATCH($H$2:$H$1074,Sheet1!$G:$G,0))),_xlfn.XLOOKUP($H$2:$H$1074,Sheet1!$G:$G,Sheet1!$F:$F,"")),"NOT FOUND"))</f>
        <v>GETKRTSFUT6204</v>
      </c>
      <c r="AF594" s="9" t="str">
        <f t="shared" si="39"/>
        <v>GREEN</v>
      </c>
      <c r="AG594" s="10" t="str">
        <f t="shared" si="40"/>
        <v>JHAJJAR</v>
      </c>
      <c r="AH594" s="8" t="str" cm="1">
        <f t="array" ref="AH594">IF(OR(J594="",AE594="",AE594="NOT FOUND"),"",IF(Y594="RP",_xlfn.LET(_xlpm.desc,_xlfn.XLOOKUP(1,(--(Sheet1!$F$2:$F$754=AE594))*(--ISNUMBER(FIND("-",Sheet1!$W$2:$W$754,FIND("-",Sheet1!$W$2:$W$754)+1))),Sheet1!$W$2:$W$754,""),IF(_xlpm.desc="","NOT FOUND",LEFT(_xlpm.desc,FIND("-",_xlpm.desc,FIND("-",_xlpm.desc)+1))&amp;AE594)),LEFT(J594,FIND("-",J594,FIND("-",J594)+1))&amp;AE594))</f>
        <v>KRTS-APWN26-GETKRTSFUT6204</v>
      </c>
    </row>
    <row r="595" spans="1:34" ht="15.75" customHeight="1" x14ac:dyDescent="0.2">
      <c r="A595" t="s">
        <v>59</v>
      </c>
      <c r="B595" t="s">
        <v>430</v>
      </c>
      <c r="C595" t="s">
        <v>401</v>
      </c>
      <c r="D595" t="s">
        <v>418</v>
      </c>
      <c r="E595" t="s">
        <v>34</v>
      </c>
      <c r="F595" t="s">
        <v>35</v>
      </c>
      <c r="G595" t="s">
        <v>36</v>
      </c>
      <c r="H595" t="s">
        <v>422</v>
      </c>
      <c r="I595" t="s">
        <v>423</v>
      </c>
      <c r="J595" t="s">
        <v>424</v>
      </c>
      <c r="K595" t="s">
        <v>474</v>
      </c>
      <c r="L595" t="s">
        <v>40</v>
      </c>
      <c r="M595">
        <v>1</v>
      </c>
      <c r="N595">
        <v>208</v>
      </c>
      <c r="O595">
        <v>208</v>
      </c>
      <c r="P595" t="s">
        <v>41</v>
      </c>
      <c r="Q595">
        <v>1548.5</v>
      </c>
      <c r="R595">
        <v>1548.5</v>
      </c>
      <c r="S595">
        <v>16104.4</v>
      </c>
      <c r="T595">
        <v>322088</v>
      </c>
      <c r="U595">
        <v>5</v>
      </c>
      <c r="V595" t="s">
        <v>42</v>
      </c>
      <c r="W595" t="s">
        <v>474</v>
      </c>
      <c r="X595" s="6" t="str">
        <f t="shared" si="30"/>
        <v>441811102</v>
      </c>
      <c r="Y595" s="7" t="str">
        <f t="shared" si="31"/>
        <v>RP</v>
      </c>
      <c r="Z595" s="7">
        <f t="shared" si="32"/>
        <v>208</v>
      </c>
      <c r="AA595" s="7">
        <f t="shared" si="33"/>
        <v>208</v>
      </c>
      <c r="AB595" s="7">
        <f t="shared" si="34"/>
        <v>208</v>
      </c>
      <c r="AC595" s="7">
        <f t="shared" si="35"/>
        <v>208</v>
      </c>
      <c r="AD595" s="7">
        <f t="shared" si="36"/>
        <v>208</v>
      </c>
      <c r="AE595" s="8" t="str" cm="1">
        <f t="array" ref="AE595">IFERROR(_xlfn.XLOOKUP(H595,Sheet1!$G:$G,Sheet1!$F:$F),IFERROR(_xlfn.XLOOKUP(1,(--($X$2:$X$1074=X595))*(--ISNUMBER(MATCH($H$2:$H$1074,Sheet1!$G:$G,0))),_xlfn.XLOOKUP($H$2:$H$1074,Sheet1!$G:$G,Sheet1!$F:$F,"")),"NOT FOUND"))</f>
        <v>GETKRTSFUT6105</v>
      </c>
      <c r="AF595" s="9" t="str">
        <f t="shared" si="39"/>
        <v>MUSTARD</v>
      </c>
      <c r="AG595" s="10" t="str">
        <f t="shared" si="40"/>
        <v>JHAJJAR</v>
      </c>
      <c r="AH595" s="8" t="str" cm="1">
        <f t="array" ref="AH595">IF(OR(J595="",AE595="",AE595="NOT FOUND"),"",IF(Y595="RP",_xlfn.LET(_xlpm.desc,_xlfn.XLOOKUP(1,(--(Sheet1!$F$2:$F$754=AE595))*(--ISNUMBER(FIND("-",Sheet1!$W$2:$W$754,FIND("-",Sheet1!$W$2:$W$754)+1))),Sheet1!$W$2:$W$754,""),IF(_xlpm.desc="","NOT FOUND",LEFT(_xlpm.desc,FIND("-",_xlpm.desc,FIND("-",_xlpm.desc)+1))&amp;AE595)),LEFT(J595,FIND("-",J595,FIND("-",J595)+1))&amp;AE595))</f>
        <v>KRTS-APWN26-GETKRTSFUT6105</v>
      </c>
    </row>
    <row r="596" spans="1:34" ht="15.75" customHeight="1" x14ac:dyDescent="0.2">
      <c r="A596" t="s">
        <v>61</v>
      </c>
      <c r="B596" t="s">
        <v>431</v>
      </c>
      <c r="C596" t="s">
        <v>401</v>
      </c>
      <c r="D596" t="s">
        <v>1157</v>
      </c>
      <c r="E596" t="s">
        <v>34</v>
      </c>
      <c r="F596" t="s">
        <v>35</v>
      </c>
      <c r="G596" t="s">
        <v>36</v>
      </c>
      <c r="H596" t="s">
        <v>407</v>
      </c>
      <c r="I596" t="s">
        <v>408</v>
      </c>
      <c r="J596" t="s">
        <v>409</v>
      </c>
      <c r="K596" t="s">
        <v>474</v>
      </c>
      <c r="L596" t="s">
        <v>40</v>
      </c>
      <c r="M596">
        <v>1</v>
      </c>
      <c r="N596">
        <v>231</v>
      </c>
      <c r="O596">
        <v>231</v>
      </c>
      <c r="P596" t="s">
        <v>41</v>
      </c>
      <c r="Q596">
        <v>1563.5</v>
      </c>
      <c r="R596">
        <v>1563.5</v>
      </c>
      <c r="S596">
        <v>18058.43</v>
      </c>
      <c r="T596">
        <v>361168.5</v>
      </c>
      <c r="U596">
        <v>5</v>
      </c>
      <c r="V596" t="s">
        <v>42</v>
      </c>
      <c r="W596" t="s">
        <v>474</v>
      </c>
      <c r="X596" s="6" t="str">
        <f t="shared" si="30"/>
        <v>441811099</v>
      </c>
      <c r="Y596" s="7" t="str">
        <f t="shared" si="31"/>
        <v>RP</v>
      </c>
      <c r="Z596" s="7">
        <f t="shared" si="32"/>
        <v>231</v>
      </c>
      <c r="AA596" s="7">
        <f t="shared" si="33"/>
        <v>231</v>
      </c>
      <c r="AB596" s="7">
        <f t="shared" si="34"/>
        <v>231</v>
      </c>
      <c r="AC596" s="7">
        <f t="shared" si="35"/>
        <v>231</v>
      </c>
      <c r="AD596" s="7">
        <f t="shared" si="36"/>
        <v>231</v>
      </c>
      <c r="AE596" s="8" t="str" cm="1">
        <f t="array" ref="AE596">IFERROR(_xlfn.XLOOKUP(H596,Sheet1!$G:$G,Sheet1!$F:$F),IFERROR(_xlfn.XLOOKUP(1,(--($X$2:$X$1074=X596))*(--ISNUMBER(MATCH($H$2:$H$1074,Sheet1!$G:$G,0))),_xlfn.XLOOKUP($H$2:$H$1074,Sheet1!$G:$G,Sheet1!$F:$F,"")),"NOT FOUND"))</f>
        <v>GETKRTSFUT6100</v>
      </c>
      <c r="AF596" s="9" t="str">
        <f t="shared" si="39"/>
        <v>MUSTARD</v>
      </c>
      <c r="AG596" s="10" t="str">
        <f t="shared" si="40"/>
        <v>HARIPAL</v>
      </c>
      <c r="AH596" s="8" t="str" cm="1">
        <f t="array" ref="AH596">IF(OR(J596="",AE596="",AE596="NOT FOUND"),"",IF(Y596="RP",_xlfn.LET(_xlpm.desc,_xlfn.XLOOKUP(1,(--(Sheet1!$F$2:$F$754=AE596))*(--ISNUMBER(FIND("-",Sheet1!$W$2:$W$754,FIND("-",Sheet1!$W$2:$W$754)+1))),Sheet1!$W$2:$W$754,""),IF(_xlpm.desc="","NOT FOUND",LEFT(_xlpm.desc,FIND("-",_xlpm.desc,FIND("-",_xlpm.desc)+1))&amp;AE596)),LEFT(J596,FIND("-",J596,FIND("-",J596)+1))&amp;AE596))</f>
        <v>KRTS-APWN26-GETKRTSFUT6100</v>
      </c>
    </row>
    <row r="597" spans="1:34" ht="15.75" customHeight="1" x14ac:dyDescent="0.2">
      <c r="A597" t="s">
        <v>61</v>
      </c>
      <c r="B597" t="s">
        <v>432</v>
      </c>
      <c r="C597" t="s">
        <v>401</v>
      </c>
      <c r="D597" t="s">
        <v>410</v>
      </c>
      <c r="E597" t="s">
        <v>34</v>
      </c>
      <c r="F597" t="s">
        <v>35</v>
      </c>
      <c r="G597" t="s">
        <v>36</v>
      </c>
      <c r="H597" t="s">
        <v>414</v>
      </c>
      <c r="I597" t="s">
        <v>415</v>
      </c>
      <c r="J597" t="s">
        <v>416</v>
      </c>
      <c r="K597" t="s">
        <v>474</v>
      </c>
      <c r="L597" t="s">
        <v>40</v>
      </c>
      <c r="M597">
        <v>1</v>
      </c>
      <c r="N597">
        <v>231</v>
      </c>
      <c r="O597">
        <v>231</v>
      </c>
      <c r="P597" t="s">
        <v>41</v>
      </c>
      <c r="Q597">
        <v>1623.5</v>
      </c>
      <c r="R597">
        <v>1623.5</v>
      </c>
      <c r="S597">
        <v>18751.43</v>
      </c>
      <c r="T597">
        <v>375028.5</v>
      </c>
      <c r="U597">
        <v>5</v>
      </c>
      <c r="V597" t="s">
        <v>42</v>
      </c>
      <c r="W597" t="s">
        <v>474</v>
      </c>
      <c r="X597" s="6" t="str">
        <f t="shared" si="30"/>
        <v>441811096</v>
      </c>
      <c r="Y597" s="7" t="str">
        <f t="shared" si="31"/>
        <v>RP</v>
      </c>
      <c r="Z597" s="7">
        <f t="shared" si="32"/>
        <v>231</v>
      </c>
      <c r="AA597" s="7">
        <f t="shared" si="33"/>
        <v>231</v>
      </c>
      <c r="AB597" s="7">
        <f t="shared" si="34"/>
        <v>231</v>
      </c>
      <c r="AC597" s="7">
        <f t="shared" si="35"/>
        <v>231</v>
      </c>
      <c r="AD597" s="7">
        <f t="shared" si="36"/>
        <v>231</v>
      </c>
      <c r="AE597" s="8" t="str" cm="1">
        <f t="array" ref="AE597">IFERROR(_xlfn.XLOOKUP(H597,Sheet1!$G:$G,Sheet1!$F:$F),IFERROR(_xlfn.XLOOKUP(1,(--($X$2:$X$1074=X597))*(--ISNUMBER(MATCH($H$2:$H$1074,Sheet1!$G:$G,0))),_xlfn.XLOOKUP($H$2:$H$1074,Sheet1!$G:$G,Sheet1!$F:$F,"")),"NOT FOUND"))</f>
        <v>GETKRTSFUT6087</v>
      </c>
      <c r="AF597" s="9" t="str">
        <f t="shared" si="39"/>
        <v>CORAL</v>
      </c>
      <c r="AG597" s="10" t="str">
        <f t="shared" si="40"/>
        <v>HARIPAL</v>
      </c>
      <c r="AH597" s="8" t="str" cm="1">
        <f t="array" ref="AH597">IF(OR(J597="",AE597="",AE597="NOT FOUND"),"",IF(Y597="RP",_xlfn.LET(_xlpm.desc,_xlfn.XLOOKUP(1,(--(Sheet1!$F$2:$F$754=AE597))*(--ISNUMBER(FIND("-",Sheet1!$W$2:$W$754,FIND("-",Sheet1!$W$2:$W$754)+1))),Sheet1!$W$2:$W$754,""),IF(_xlpm.desc="","NOT FOUND",LEFT(_xlpm.desc,FIND("-",_xlpm.desc,FIND("-",_xlpm.desc)+1))&amp;AE597)),LEFT(J597,FIND("-",J597,FIND("-",J597)+1))&amp;AE597))</f>
        <v>KRTS-APWN26-GETKRTSFUT6087</v>
      </c>
    </row>
    <row r="598" spans="1:34" ht="15.75" customHeight="1" x14ac:dyDescent="0.2">
      <c r="A598" t="s">
        <v>61</v>
      </c>
      <c r="B598" t="s">
        <v>433</v>
      </c>
      <c r="C598" t="s">
        <v>401</v>
      </c>
      <c r="D598" t="s">
        <v>418</v>
      </c>
      <c r="E598" t="s">
        <v>34</v>
      </c>
      <c r="F598" t="s">
        <v>35</v>
      </c>
      <c r="G598" t="s">
        <v>36</v>
      </c>
      <c r="H598" t="s">
        <v>425</v>
      </c>
      <c r="I598" t="s">
        <v>426</v>
      </c>
      <c r="J598" t="s">
        <v>427</v>
      </c>
      <c r="K598" t="s">
        <v>474</v>
      </c>
      <c r="L598" t="s">
        <v>40</v>
      </c>
      <c r="M598">
        <v>1</v>
      </c>
      <c r="N598">
        <v>231</v>
      </c>
      <c r="O598">
        <v>231</v>
      </c>
      <c r="P598" t="s">
        <v>41</v>
      </c>
      <c r="Q598">
        <v>1563.5</v>
      </c>
      <c r="R598">
        <v>1563.5</v>
      </c>
      <c r="S598">
        <v>18058.43</v>
      </c>
      <c r="T598">
        <v>361168.5</v>
      </c>
      <c r="U598">
        <v>5</v>
      </c>
      <c r="V598" t="s">
        <v>42</v>
      </c>
      <c r="W598" t="s">
        <v>474</v>
      </c>
      <c r="X598" s="6" t="str">
        <f t="shared" si="30"/>
        <v>441811108</v>
      </c>
      <c r="Y598" s="7" t="str">
        <f t="shared" si="31"/>
        <v>RP</v>
      </c>
      <c r="Z598" s="7">
        <f t="shared" si="32"/>
        <v>231</v>
      </c>
      <c r="AA598" s="7">
        <f t="shared" si="33"/>
        <v>231</v>
      </c>
      <c r="AB598" s="7">
        <f t="shared" si="34"/>
        <v>231</v>
      </c>
      <c r="AC598" s="7">
        <f t="shared" si="35"/>
        <v>231</v>
      </c>
      <c r="AD598" s="7">
        <f t="shared" si="36"/>
        <v>231</v>
      </c>
      <c r="AE598" s="8" t="str" cm="1">
        <f t="array" ref="AE598">IFERROR(_xlfn.XLOOKUP(H598,Sheet1!$G:$G,Sheet1!$F:$F),IFERROR(_xlfn.XLOOKUP(1,(--($X$2:$X$1074=X598))*(--ISNUMBER(MATCH($H$2:$H$1074,Sheet1!$G:$G,0))),_xlfn.XLOOKUP($H$2:$H$1074,Sheet1!$G:$G,Sheet1!$F:$F,"")),"NOT FOUND"))</f>
        <v>GETKRTSFUT6210</v>
      </c>
      <c r="AF598" s="9" t="str">
        <f t="shared" si="39"/>
        <v>GOLD</v>
      </c>
      <c r="AG598" s="10" t="str">
        <f t="shared" si="40"/>
        <v>HARIPAL</v>
      </c>
      <c r="AH598" s="8" t="str" cm="1">
        <f t="array" ref="AH598">IF(OR(J598="",AE598="",AE598="NOT FOUND"),"",IF(Y598="RP",_xlfn.LET(_xlpm.desc,_xlfn.XLOOKUP(1,(--(Sheet1!$F$2:$F$754=AE598))*(--ISNUMBER(FIND("-",Sheet1!$W$2:$W$754,FIND("-",Sheet1!$W$2:$W$754)+1))),Sheet1!$W$2:$W$754,""),IF(_xlpm.desc="","NOT FOUND",LEFT(_xlpm.desc,FIND("-",_xlpm.desc,FIND("-",_xlpm.desc)+1))&amp;AE598)),LEFT(J598,FIND("-",J598,FIND("-",J598)+1))&amp;AE598))</f>
        <v>KRTS-APWN26-GETKRTSFUT6210</v>
      </c>
    </row>
    <row r="599" spans="1:34" ht="15.75" customHeight="1" x14ac:dyDescent="0.2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 s="6" t="e">
        <f t="shared" si="30"/>
        <v>#VALUE!</v>
      </c>
      <c r="Y599" s="7" t="str">
        <f t="shared" si="31"/>
        <v>DC</v>
      </c>
      <c r="Z599" s="7">
        <f t="shared" si="32"/>
        <v>0</v>
      </c>
      <c r="AA599" s="7">
        <f t="shared" si="33"/>
        <v>0</v>
      </c>
      <c r="AB599" s="7">
        <f t="shared" si="34"/>
        <v>0</v>
      </c>
      <c r="AC599" s="7">
        <f t="shared" si="35"/>
        <v>0</v>
      </c>
      <c r="AD599" s="7">
        <f t="shared" si="36"/>
        <v>0</v>
      </c>
      <c r="AE599" s="8" cm="1">
        <f t="array" ref="AE599">IFERROR(_xlfn.XLOOKUP(H599,Sheet1!$G:$G,Sheet1!$F:$F),IFERROR(_xlfn.XLOOKUP(1,(--($X$2:$X$1074=X599))*(--ISNUMBER(MATCH($H$2:$H$1074,Sheet1!$G:$G,0))),_xlfn.XLOOKUP($H$2:$H$1074,Sheet1!$G:$G,Sheet1!$F:$F,"")),"NOT FOUND"))</f>
        <v>0</v>
      </c>
      <c r="AF599" s="9" t="str">
        <f t="shared" si="39"/>
        <v/>
      </c>
      <c r="AG599" s="10" t="str">
        <f t="shared" si="40"/>
        <v/>
      </c>
      <c r="AH599" s="8" t="str" cm="1">
        <f t="array" ref="AH599">IF(OR(J599="",AE599="",AE599="NOT FOUND"),"",IF(Y599="RP",_xlfn.LET(_xlpm.desc,_xlfn.XLOOKUP(1,(--(Sheet1!$F$2:$F$754=AE599))*(--ISNUMBER(FIND("-",Sheet1!$W$2:$W$754,FIND("-",Sheet1!$W$2:$W$754)+1))),Sheet1!$W$2:$W$754,""),IF(_xlpm.desc="","NOT FOUND",LEFT(_xlpm.desc,FIND("-",_xlpm.desc,FIND("-",_xlpm.desc)+1))&amp;AE599)),LEFT(J599,FIND("-",J599,FIND("-",J599)+1))&amp;AE599))</f>
        <v/>
      </c>
    </row>
    <row r="600" spans="1:34" ht="15.75" customHeight="1" x14ac:dyDescent="0.2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 s="6" t="e">
        <f t="shared" si="30"/>
        <v>#VALUE!</v>
      </c>
      <c r="Y600" s="7" t="str">
        <f t="shared" si="31"/>
        <v>DC</v>
      </c>
      <c r="Z600" s="7">
        <f t="shared" si="32"/>
        <v>0</v>
      </c>
      <c r="AA600" s="7">
        <f t="shared" si="33"/>
        <v>0</v>
      </c>
      <c r="AB600" s="7">
        <f t="shared" si="34"/>
        <v>0</v>
      </c>
      <c r="AC600" s="7">
        <f t="shared" si="35"/>
        <v>0</v>
      </c>
      <c r="AD600" s="7">
        <f t="shared" si="36"/>
        <v>0</v>
      </c>
      <c r="AE600" s="8" cm="1">
        <f t="array" ref="AE600">IFERROR(_xlfn.XLOOKUP(H600,Sheet1!$G:$G,Sheet1!$F:$F),IFERROR(_xlfn.XLOOKUP(1,(--($X$2:$X$1074=X600))*(--ISNUMBER(MATCH($H$2:$H$1074,Sheet1!$G:$G,0))),_xlfn.XLOOKUP($H$2:$H$1074,Sheet1!$G:$G,Sheet1!$F:$F,"")),"NOT FOUND"))</f>
        <v>0</v>
      </c>
      <c r="AF600" s="9" t="str">
        <f t="shared" si="39"/>
        <v/>
      </c>
      <c r="AG600" s="10" t="str">
        <f t="shared" si="40"/>
        <v/>
      </c>
      <c r="AH600" s="8" t="str" cm="1">
        <f t="array" ref="AH600">IF(OR(J600="",AE600="",AE600="NOT FOUND"),"",IF(Y600="RP",_xlfn.LET(_xlpm.desc,_xlfn.XLOOKUP(1,(--(Sheet1!$F$2:$F$754=AE600))*(--ISNUMBER(FIND("-",Sheet1!$W$2:$W$754,FIND("-",Sheet1!$W$2:$W$754)+1))),Sheet1!$W$2:$W$754,""),IF(_xlpm.desc="","NOT FOUND",LEFT(_xlpm.desc,FIND("-",_xlpm.desc,FIND("-",_xlpm.desc)+1))&amp;AE600)),LEFT(J600,FIND("-",J600,FIND("-",J600)+1))&amp;AE600))</f>
        <v/>
      </c>
    </row>
    <row r="601" spans="1:34" ht="15.75" customHeight="1" x14ac:dyDescent="0.2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 s="6" t="e">
        <f t="shared" si="30"/>
        <v>#VALUE!</v>
      </c>
      <c r="Y601" s="7" t="str">
        <f t="shared" si="31"/>
        <v>DC</v>
      </c>
      <c r="Z601" s="7">
        <f t="shared" si="32"/>
        <v>0</v>
      </c>
      <c r="AA601" s="7">
        <f t="shared" si="33"/>
        <v>0</v>
      </c>
      <c r="AB601" s="7">
        <f t="shared" si="34"/>
        <v>0</v>
      </c>
      <c r="AC601" s="7">
        <f t="shared" si="35"/>
        <v>0</v>
      </c>
      <c r="AD601" s="7">
        <f t="shared" si="36"/>
        <v>0</v>
      </c>
      <c r="AE601" s="8" cm="1">
        <f t="array" ref="AE601">IFERROR(_xlfn.XLOOKUP(H601,Sheet1!$G:$G,Sheet1!$F:$F),IFERROR(_xlfn.XLOOKUP(1,(--($X$2:$X$1074=X601))*(--ISNUMBER(MATCH($H$2:$H$1074,Sheet1!$G:$G,0))),_xlfn.XLOOKUP($H$2:$H$1074,Sheet1!$G:$G,Sheet1!$F:$F,"")),"NOT FOUND"))</f>
        <v>0</v>
      </c>
      <c r="AF601" s="9" t="str">
        <f t="shared" si="39"/>
        <v/>
      </c>
      <c r="AG601" s="10" t="str">
        <f t="shared" si="40"/>
        <v/>
      </c>
      <c r="AH601" s="8" t="str" cm="1">
        <f t="array" ref="AH601">IF(OR(J601="",AE601="",AE601="NOT FOUND"),"",IF(Y601="RP",_xlfn.LET(_xlpm.desc,_xlfn.XLOOKUP(1,(--(Sheet1!$F$2:$F$754=AE601))*(--ISNUMBER(FIND("-",Sheet1!$W$2:$W$754,FIND("-",Sheet1!$W$2:$W$754)+1))),Sheet1!$W$2:$W$754,""),IF(_xlpm.desc="","NOT FOUND",LEFT(_xlpm.desc,FIND("-",_xlpm.desc,FIND("-",_xlpm.desc)+1))&amp;AE601)),LEFT(J601,FIND("-",J601,FIND("-",J601)+1))&amp;AE601))</f>
        <v/>
      </c>
    </row>
    <row r="602" spans="1:34" ht="15.75" customHeight="1" x14ac:dyDescent="0.2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 s="6" t="e">
        <f t="shared" si="30"/>
        <v>#VALUE!</v>
      </c>
      <c r="Y602" s="7" t="str">
        <f t="shared" si="31"/>
        <v>DC</v>
      </c>
      <c r="Z602" s="7">
        <f t="shared" si="32"/>
        <v>0</v>
      </c>
      <c r="AA602" s="7">
        <f t="shared" si="33"/>
        <v>0</v>
      </c>
      <c r="AB602" s="7">
        <f t="shared" si="34"/>
        <v>0</v>
      </c>
      <c r="AC602" s="7">
        <f t="shared" si="35"/>
        <v>0</v>
      </c>
      <c r="AD602" s="7">
        <f t="shared" si="36"/>
        <v>0</v>
      </c>
      <c r="AE602" s="8" cm="1">
        <f t="array" ref="AE602">IFERROR(_xlfn.XLOOKUP(H602,Sheet1!$G:$G,Sheet1!$F:$F),IFERROR(_xlfn.XLOOKUP(1,(--($X$2:$X$1074=X602))*(--ISNUMBER(MATCH($H$2:$H$1074,Sheet1!$G:$G,0))),_xlfn.XLOOKUP($H$2:$H$1074,Sheet1!$G:$G,Sheet1!$F:$F,"")),"NOT FOUND"))</f>
        <v>0</v>
      </c>
      <c r="AF602" s="9" t="str">
        <f t="shared" si="39"/>
        <v/>
      </c>
      <c r="AG602" s="10" t="str">
        <f t="shared" si="40"/>
        <v/>
      </c>
      <c r="AH602" s="8" t="str" cm="1">
        <f t="array" ref="AH602">IF(OR(J602="",AE602="",AE602="NOT FOUND"),"",IF(Y602="RP",_xlfn.LET(_xlpm.desc,_xlfn.XLOOKUP(1,(--(Sheet1!$F$2:$F$754=AE602))*(--ISNUMBER(FIND("-",Sheet1!$W$2:$W$754,FIND("-",Sheet1!$W$2:$W$754)+1))),Sheet1!$W$2:$W$754,""),IF(_xlpm.desc="","NOT FOUND",LEFT(_xlpm.desc,FIND("-",_xlpm.desc,FIND("-",_xlpm.desc)+1))&amp;AE602)),LEFT(J602,FIND("-",J602,FIND("-",J602)+1))&amp;AE602))</f>
        <v/>
      </c>
    </row>
    <row r="603" spans="1:34" ht="15.75" customHeight="1" x14ac:dyDescent="0.2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 s="6" t="e">
        <f t="shared" si="30"/>
        <v>#VALUE!</v>
      </c>
      <c r="Y603" s="7" t="str">
        <f t="shared" si="31"/>
        <v>DC</v>
      </c>
      <c r="Z603" s="7">
        <f t="shared" si="32"/>
        <v>0</v>
      </c>
      <c r="AA603" s="7">
        <f t="shared" si="33"/>
        <v>0</v>
      </c>
      <c r="AB603" s="7">
        <f t="shared" si="34"/>
        <v>0</v>
      </c>
      <c r="AC603" s="7">
        <f t="shared" si="35"/>
        <v>0</v>
      </c>
      <c r="AD603" s="7">
        <f t="shared" si="36"/>
        <v>0</v>
      </c>
      <c r="AE603" s="8" cm="1">
        <f t="array" ref="AE603">IFERROR(_xlfn.XLOOKUP(H603,Sheet1!$G:$G,Sheet1!$F:$F),IFERROR(_xlfn.XLOOKUP(1,(--($X$2:$X$1074=X603))*(--ISNUMBER(MATCH($H$2:$H$1074,Sheet1!$G:$G,0))),_xlfn.XLOOKUP($H$2:$H$1074,Sheet1!$G:$G,Sheet1!$F:$F,"")),"NOT FOUND"))</f>
        <v>0</v>
      </c>
      <c r="AF603" s="9" t="str">
        <f t="shared" si="39"/>
        <v/>
      </c>
      <c r="AG603" s="10" t="str">
        <f t="shared" si="40"/>
        <v/>
      </c>
      <c r="AH603" s="8" t="str" cm="1">
        <f t="array" ref="AH603">IF(OR(J603="",AE603="",AE603="NOT FOUND"),"",IF(Y603="RP",_xlfn.LET(_xlpm.desc,_xlfn.XLOOKUP(1,(--(Sheet1!$F$2:$F$754=AE603))*(--ISNUMBER(FIND("-",Sheet1!$W$2:$W$754,FIND("-",Sheet1!$W$2:$W$754)+1))),Sheet1!$W$2:$W$754,""),IF(_xlpm.desc="","NOT FOUND",LEFT(_xlpm.desc,FIND("-",_xlpm.desc,FIND("-",_xlpm.desc)+1))&amp;AE603)),LEFT(J603,FIND("-",J603,FIND("-",J603)+1))&amp;AE603))</f>
        <v/>
      </c>
    </row>
    <row r="604" spans="1:34" ht="15.75" customHeight="1" x14ac:dyDescent="0.2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 s="6" t="e">
        <f t="shared" si="30"/>
        <v>#VALUE!</v>
      </c>
      <c r="Y604" s="7" t="str">
        <f t="shared" si="31"/>
        <v>DC</v>
      </c>
      <c r="Z604" s="7">
        <f t="shared" si="32"/>
        <v>0</v>
      </c>
      <c r="AA604" s="7">
        <f t="shared" si="33"/>
        <v>0</v>
      </c>
      <c r="AB604" s="7">
        <f t="shared" si="34"/>
        <v>0</v>
      </c>
      <c r="AC604" s="7">
        <f t="shared" si="35"/>
        <v>0</v>
      </c>
      <c r="AD604" s="7">
        <f t="shared" si="36"/>
        <v>0</v>
      </c>
      <c r="AE604" s="8" cm="1">
        <f t="array" ref="AE604">IFERROR(_xlfn.XLOOKUP(H604,Sheet1!$G:$G,Sheet1!$F:$F),IFERROR(_xlfn.XLOOKUP(1,(--($X$2:$X$1074=X604))*(--ISNUMBER(MATCH($H$2:$H$1074,Sheet1!$G:$G,0))),_xlfn.XLOOKUP($H$2:$H$1074,Sheet1!$G:$G,Sheet1!$F:$F,"")),"NOT FOUND"))</f>
        <v>0</v>
      </c>
      <c r="AF604" s="9" t="str">
        <f t="shared" si="39"/>
        <v/>
      </c>
      <c r="AG604" s="10" t="str">
        <f t="shared" si="40"/>
        <v/>
      </c>
      <c r="AH604" s="8" t="str" cm="1">
        <f t="array" ref="AH604">IF(OR(J604="",AE604="",AE604="NOT FOUND"),"",IF(Y604="RP",_xlfn.LET(_xlpm.desc,_xlfn.XLOOKUP(1,(--(Sheet1!$F$2:$F$754=AE604))*(--ISNUMBER(FIND("-",Sheet1!$W$2:$W$754,FIND("-",Sheet1!$W$2:$W$754)+1))),Sheet1!$W$2:$W$754,""),IF(_xlpm.desc="","NOT FOUND",LEFT(_xlpm.desc,FIND("-",_xlpm.desc,FIND("-",_xlpm.desc)+1))&amp;AE604)),LEFT(J604,FIND("-",J604,FIND("-",J604)+1))&amp;AE604))</f>
        <v/>
      </c>
    </row>
    <row r="605" spans="1:34" ht="15.75" customHeight="1" x14ac:dyDescent="0.2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 s="6" t="e">
        <f t="shared" si="30"/>
        <v>#VALUE!</v>
      </c>
      <c r="Y605" s="7" t="str">
        <f t="shared" si="31"/>
        <v>DC</v>
      </c>
      <c r="Z605" s="7">
        <f t="shared" si="32"/>
        <v>0</v>
      </c>
      <c r="AA605" s="7">
        <f t="shared" si="33"/>
        <v>0</v>
      </c>
      <c r="AB605" s="7">
        <f t="shared" si="34"/>
        <v>0</v>
      </c>
      <c r="AC605" s="7">
        <f t="shared" si="35"/>
        <v>0</v>
      </c>
      <c r="AD605" s="7">
        <f t="shared" si="36"/>
        <v>0</v>
      </c>
      <c r="AE605" s="8" cm="1">
        <f t="array" ref="AE605">IFERROR(_xlfn.XLOOKUP(H605,Sheet1!$G:$G,Sheet1!$F:$F),IFERROR(_xlfn.XLOOKUP(1,(--($X$2:$X$1074=X605))*(--ISNUMBER(MATCH($H$2:$H$1074,Sheet1!$G:$G,0))),_xlfn.XLOOKUP($H$2:$H$1074,Sheet1!$G:$G,Sheet1!$F:$F,"")),"NOT FOUND"))</f>
        <v>0</v>
      </c>
      <c r="AF605" s="9" t="str">
        <f t="shared" si="39"/>
        <v/>
      </c>
      <c r="AG605" s="10" t="str">
        <f t="shared" si="40"/>
        <v/>
      </c>
      <c r="AH605" s="8" t="str" cm="1">
        <f t="array" ref="AH605">IF(OR(J605="",AE605="",AE605="NOT FOUND"),"",IF(Y605="RP",_xlfn.LET(_xlpm.desc,_xlfn.XLOOKUP(1,(--(Sheet1!$F$2:$F$754=AE605))*(--ISNUMBER(FIND("-",Sheet1!$W$2:$W$754,FIND("-",Sheet1!$W$2:$W$754)+1))),Sheet1!$W$2:$W$754,""),IF(_xlpm.desc="","NOT FOUND",LEFT(_xlpm.desc,FIND("-",_xlpm.desc,FIND("-",_xlpm.desc)+1))&amp;AE605)),LEFT(J605,FIND("-",J605,FIND("-",J605)+1))&amp;AE605))</f>
        <v/>
      </c>
    </row>
    <row r="606" spans="1:34" ht="15.75" customHeight="1" x14ac:dyDescent="0.2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 s="6" t="e">
        <f t="shared" si="30"/>
        <v>#VALUE!</v>
      </c>
      <c r="Y606" s="7" t="str">
        <f t="shared" si="31"/>
        <v>DC</v>
      </c>
      <c r="Z606" s="7">
        <f t="shared" si="32"/>
        <v>0</v>
      </c>
      <c r="AA606" s="7">
        <f t="shared" si="33"/>
        <v>0</v>
      </c>
      <c r="AB606" s="7">
        <f t="shared" si="34"/>
        <v>0</v>
      </c>
      <c r="AC606" s="7">
        <f t="shared" si="35"/>
        <v>0</v>
      </c>
      <c r="AD606" s="7">
        <f t="shared" si="36"/>
        <v>0</v>
      </c>
      <c r="AE606" s="8" cm="1">
        <f t="array" ref="AE606">IFERROR(_xlfn.XLOOKUP(H606,Sheet1!$G:$G,Sheet1!$F:$F),IFERROR(_xlfn.XLOOKUP(1,(--($X$2:$X$1074=X606))*(--ISNUMBER(MATCH($H$2:$H$1074,Sheet1!$G:$G,0))),_xlfn.XLOOKUP($H$2:$H$1074,Sheet1!$G:$G,Sheet1!$F:$F,"")),"NOT FOUND"))</f>
        <v>0</v>
      </c>
      <c r="AF606" s="9" t="str">
        <f t="shared" si="39"/>
        <v/>
      </c>
      <c r="AG606" s="10" t="str">
        <f t="shared" si="40"/>
        <v/>
      </c>
      <c r="AH606" s="8" t="str" cm="1">
        <f t="array" ref="AH606">IF(OR(J606="",AE606="",AE606="NOT FOUND"),"",IF(Y606="RP",_xlfn.LET(_xlpm.desc,_xlfn.XLOOKUP(1,(--(Sheet1!$F$2:$F$754=AE606))*(--ISNUMBER(FIND("-",Sheet1!$W$2:$W$754,FIND("-",Sheet1!$W$2:$W$754)+1))),Sheet1!$W$2:$W$754,""),IF(_xlpm.desc="","NOT FOUND",LEFT(_xlpm.desc,FIND("-",_xlpm.desc,FIND("-",_xlpm.desc)+1))&amp;AE606)),LEFT(J606,FIND("-",J606,FIND("-",J606)+1))&amp;AE606))</f>
        <v/>
      </c>
    </row>
    <row r="607" spans="1:34" ht="15.75" customHeight="1" x14ac:dyDescent="0.2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 s="6" t="e">
        <f t="shared" si="30"/>
        <v>#VALUE!</v>
      </c>
      <c r="Y607" s="7" t="str">
        <f t="shared" si="31"/>
        <v>DC</v>
      </c>
      <c r="Z607" s="7">
        <f t="shared" si="32"/>
        <v>0</v>
      </c>
      <c r="AA607" s="7">
        <f t="shared" si="33"/>
        <v>0</v>
      </c>
      <c r="AB607" s="7">
        <f t="shared" si="34"/>
        <v>0</v>
      </c>
      <c r="AC607" s="7">
        <f t="shared" si="35"/>
        <v>0</v>
      </c>
      <c r="AD607" s="7">
        <f t="shared" si="36"/>
        <v>0</v>
      </c>
      <c r="AE607" s="8" cm="1">
        <f t="array" ref="AE607">IFERROR(_xlfn.XLOOKUP(H607,Sheet1!$G:$G,Sheet1!$F:$F),IFERROR(_xlfn.XLOOKUP(1,(--($X$2:$X$1074=X607))*(--ISNUMBER(MATCH($H$2:$H$1074,Sheet1!$G:$G,0))),_xlfn.XLOOKUP($H$2:$H$1074,Sheet1!$G:$G,Sheet1!$F:$F,"")),"NOT FOUND"))</f>
        <v>0</v>
      </c>
      <c r="AF607" s="9" t="str">
        <f t="shared" si="39"/>
        <v/>
      </c>
      <c r="AG607" s="10" t="str">
        <f t="shared" si="40"/>
        <v/>
      </c>
      <c r="AH607" s="8" t="str" cm="1">
        <f t="array" ref="AH607">IF(OR(J607="",AE607="",AE607="NOT FOUND"),"",IF(Y607="RP",_xlfn.LET(_xlpm.desc,_xlfn.XLOOKUP(1,(--(Sheet1!$F$2:$F$754=AE607))*(--ISNUMBER(FIND("-",Sheet1!$W$2:$W$754,FIND("-",Sheet1!$W$2:$W$754)+1))),Sheet1!$W$2:$W$754,""),IF(_xlpm.desc="","NOT FOUND",LEFT(_xlpm.desc,FIND("-",_xlpm.desc,FIND("-",_xlpm.desc)+1))&amp;AE607)),LEFT(J607,FIND("-",J607,FIND("-",J607)+1))&amp;AE607))</f>
        <v/>
      </c>
    </row>
    <row r="608" spans="1:34" ht="15.75" customHeight="1" x14ac:dyDescent="0.2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 s="6" t="e">
        <f t="shared" si="30"/>
        <v>#VALUE!</v>
      </c>
      <c r="Y608" s="7" t="str">
        <f t="shared" si="31"/>
        <v>DC</v>
      </c>
      <c r="Z608" s="7">
        <f t="shared" si="32"/>
        <v>0</v>
      </c>
      <c r="AA608" s="7">
        <f t="shared" si="33"/>
        <v>0</v>
      </c>
      <c r="AB608" s="7">
        <f t="shared" si="34"/>
        <v>0</v>
      </c>
      <c r="AC608" s="7">
        <f t="shared" si="35"/>
        <v>0</v>
      </c>
      <c r="AD608" s="7">
        <f t="shared" si="36"/>
        <v>0</v>
      </c>
      <c r="AE608" s="8" cm="1">
        <f t="array" ref="AE608">IFERROR(_xlfn.XLOOKUP(H608,Sheet1!$G:$G,Sheet1!$F:$F),IFERROR(_xlfn.XLOOKUP(1,(--($X$2:$X$1074=X608))*(--ISNUMBER(MATCH($H$2:$H$1074,Sheet1!$G:$G,0))),_xlfn.XLOOKUP($H$2:$H$1074,Sheet1!$G:$G,Sheet1!$F:$F,"")),"NOT FOUND"))</f>
        <v>0</v>
      </c>
      <c r="AF608" s="9" t="str">
        <f t="shared" si="39"/>
        <v/>
      </c>
      <c r="AG608" s="10" t="str">
        <f t="shared" si="40"/>
        <v/>
      </c>
      <c r="AH608" s="8" t="str" cm="1">
        <f t="array" ref="AH608">IF(OR(J608="",AE608="",AE608="NOT FOUND"),"",IF(Y608="RP",_xlfn.LET(_xlpm.desc,_xlfn.XLOOKUP(1,(--(Sheet1!$F$2:$F$754=AE608))*(--ISNUMBER(FIND("-",Sheet1!$W$2:$W$754,FIND("-",Sheet1!$W$2:$W$754)+1))),Sheet1!$W$2:$W$754,""),IF(_xlpm.desc="","NOT FOUND",LEFT(_xlpm.desc,FIND("-",_xlpm.desc,FIND("-",_xlpm.desc)+1))&amp;AE608)),LEFT(J608,FIND("-",J608,FIND("-",J608)+1))&amp;AE608))</f>
        <v/>
      </c>
    </row>
    <row r="609" spans="1:34" ht="15.75" customHeight="1" x14ac:dyDescent="0.2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 s="6" t="e">
        <f t="shared" si="30"/>
        <v>#VALUE!</v>
      </c>
      <c r="Y609" s="7" t="str">
        <f t="shared" si="31"/>
        <v>DC</v>
      </c>
      <c r="Z609" s="7">
        <f t="shared" si="32"/>
        <v>0</v>
      </c>
      <c r="AA609" s="7">
        <f t="shared" si="33"/>
        <v>0</v>
      </c>
      <c r="AB609" s="7">
        <f t="shared" si="34"/>
        <v>0</v>
      </c>
      <c r="AC609" s="7">
        <f t="shared" si="35"/>
        <v>0</v>
      </c>
      <c r="AD609" s="7">
        <f t="shared" si="36"/>
        <v>0</v>
      </c>
      <c r="AE609" s="8" cm="1">
        <f t="array" ref="AE609">IFERROR(_xlfn.XLOOKUP(H609,Sheet1!$G:$G,Sheet1!$F:$F),IFERROR(_xlfn.XLOOKUP(1,(--($X$2:$X$1074=X609))*(--ISNUMBER(MATCH($H$2:$H$1074,Sheet1!$G:$G,0))),_xlfn.XLOOKUP($H$2:$H$1074,Sheet1!$G:$G,Sheet1!$F:$F,"")),"NOT FOUND"))</f>
        <v>0</v>
      </c>
      <c r="AF609" s="9" t="str">
        <f t="shared" si="39"/>
        <v/>
      </c>
      <c r="AG609" s="10" t="str">
        <f t="shared" si="40"/>
        <v/>
      </c>
      <c r="AH609" s="8" t="str" cm="1">
        <f t="array" ref="AH609">IF(OR(J609="",AE609="",AE609="NOT FOUND"),"",IF(Y609="RP",_xlfn.LET(_xlpm.desc,_xlfn.XLOOKUP(1,(--(Sheet1!$F$2:$F$754=AE609))*(--ISNUMBER(FIND("-",Sheet1!$W$2:$W$754,FIND("-",Sheet1!$W$2:$W$754)+1))),Sheet1!$W$2:$W$754,""),IF(_xlpm.desc="","NOT FOUND",LEFT(_xlpm.desc,FIND("-",_xlpm.desc,FIND("-",_xlpm.desc)+1))&amp;AE609)),LEFT(J609,FIND("-",J609,FIND("-",J609)+1))&amp;AE609))</f>
        <v/>
      </c>
    </row>
    <row r="610" spans="1:34" ht="15.75" customHeight="1" x14ac:dyDescent="0.2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 s="6" t="e">
        <f t="shared" si="30"/>
        <v>#VALUE!</v>
      </c>
      <c r="Y610" s="7" t="str">
        <f t="shared" si="31"/>
        <v>DC</v>
      </c>
      <c r="Z610" s="7">
        <f t="shared" si="32"/>
        <v>0</v>
      </c>
      <c r="AA610" s="7">
        <f t="shared" si="33"/>
        <v>0</v>
      </c>
      <c r="AB610" s="7">
        <f t="shared" si="34"/>
        <v>0</v>
      </c>
      <c r="AC610" s="7">
        <f t="shared" si="35"/>
        <v>0</v>
      </c>
      <c r="AD610" s="7">
        <f t="shared" si="36"/>
        <v>0</v>
      </c>
      <c r="AE610" s="8" cm="1">
        <f t="array" ref="AE610">IFERROR(_xlfn.XLOOKUP(H610,Sheet1!$G:$G,Sheet1!$F:$F),IFERROR(_xlfn.XLOOKUP(1,(--($X$2:$X$1074=X610))*(--ISNUMBER(MATCH($H$2:$H$1074,Sheet1!$G:$G,0))),_xlfn.XLOOKUP($H$2:$H$1074,Sheet1!$G:$G,Sheet1!$F:$F,"")),"NOT FOUND"))</f>
        <v>0</v>
      </c>
      <c r="AF610" s="9" t="str">
        <f t="shared" si="39"/>
        <v/>
      </c>
      <c r="AG610" s="10" t="str">
        <f t="shared" si="40"/>
        <v/>
      </c>
      <c r="AH610" s="8" t="str" cm="1">
        <f t="array" ref="AH610">IF(OR(J610="",AE610="",AE610="NOT FOUND"),"",IF(Y610="RP",_xlfn.LET(_xlpm.desc,_xlfn.XLOOKUP(1,(--(Sheet1!$F$2:$F$754=AE610))*(--ISNUMBER(FIND("-",Sheet1!$W$2:$W$754,FIND("-",Sheet1!$W$2:$W$754)+1))),Sheet1!$W$2:$W$754,""),IF(_xlpm.desc="","NOT FOUND",LEFT(_xlpm.desc,FIND("-",_xlpm.desc,FIND("-",_xlpm.desc)+1))&amp;AE610)),LEFT(J610,FIND("-",J610,FIND("-",J610)+1))&amp;AE610))</f>
        <v/>
      </c>
    </row>
    <row r="611" spans="1:34" ht="15.75" customHeight="1" x14ac:dyDescent="0.2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 s="6" t="e">
        <f t="shared" si="30"/>
        <v>#VALUE!</v>
      </c>
      <c r="Y611" s="7" t="str">
        <f t="shared" si="31"/>
        <v>DC</v>
      </c>
      <c r="Z611" s="7">
        <f t="shared" si="32"/>
        <v>0</v>
      </c>
      <c r="AA611" s="7">
        <f t="shared" si="33"/>
        <v>0</v>
      </c>
      <c r="AB611" s="7">
        <f t="shared" si="34"/>
        <v>0</v>
      </c>
      <c r="AC611" s="7">
        <f t="shared" si="35"/>
        <v>0</v>
      </c>
      <c r="AD611" s="7">
        <f t="shared" si="36"/>
        <v>0</v>
      </c>
      <c r="AE611" s="8" cm="1">
        <f t="array" ref="AE611">IFERROR(_xlfn.XLOOKUP(H611,Sheet1!$G:$G,Sheet1!$F:$F),IFERROR(_xlfn.XLOOKUP(1,(--($X$2:$X$1074=X611))*(--ISNUMBER(MATCH($H$2:$H$1074,Sheet1!$G:$G,0))),_xlfn.XLOOKUP($H$2:$H$1074,Sheet1!$G:$G,Sheet1!$F:$F,"")),"NOT FOUND"))</f>
        <v>0</v>
      </c>
      <c r="AF611" s="9" t="str">
        <f t="shared" si="39"/>
        <v/>
      </c>
      <c r="AG611" s="10" t="str">
        <f t="shared" si="40"/>
        <v/>
      </c>
      <c r="AH611" s="8" t="str" cm="1">
        <f t="array" ref="AH611">IF(OR(J611="",AE611="",AE611="NOT FOUND"),"",IF(Y611="RP",_xlfn.LET(_xlpm.desc,_xlfn.XLOOKUP(1,(--(Sheet1!$F$2:$F$754=AE611))*(--ISNUMBER(FIND("-",Sheet1!$W$2:$W$754,FIND("-",Sheet1!$W$2:$W$754)+1))),Sheet1!$W$2:$W$754,""),IF(_xlpm.desc="","NOT FOUND",LEFT(_xlpm.desc,FIND("-",_xlpm.desc,FIND("-",_xlpm.desc)+1))&amp;AE611)),LEFT(J611,FIND("-",J611,FIND("-",J611)+1))&amp;AE611))</f>
        <v/>
      </c>
    </row>
    <row r="612" spans="1:34" ht="15.75" customHeight="1" x14ac:dyDescent="0.2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 s="6" t="e">
        <f t="shared" si="30"/>
        <v>#VALUE!</v>
      </c>
      <c r="Y612" s="7" t="str">
        <f t="shared" si="31"/>
        <v>DC</v>
      </c>
      <c r="Z612" s="7">
        <f t="shared" si="32"/>
        <v>0</v>
      </c>
      <c r="AA612" s="7">
        <f t="shared" si="33"/>
        <v>0</v>
      </c>
      <c r="AB612" s="7">
        <f t="shared" si="34"/>
        <v>0</v>
      </c>
      <c r="AC612" s="7">
        <f t="shared" si="35"/>
        <v>0</v>
      </c>
      <c r="AD612" s="7">
        <f t="shared" si="36"/>
        <v>0</v>
      </c>
      <c r="AE612" s="8" cm="1">
        <f t="array" ref="AE612">IFERROR(_xlfn.XLOOKUP(H612,Sheet1!$G:$G,Sheet1!$F:$F),IFERROR(_xlfn.XLOOKUP(1,(--($X$2:$X$1074=X612))*(--ISNUMBER(MATCH($H$2:$H$1074,Sheet1!$G:$G,0))),_xlfn.XLOOKUP($H$2:$H$1074,Sheet1!$G:$G,Sheet1!$F:$F,"")),"NOT FOUND"))</f>
        <v>0</v>
      </c>
      <c r="AF612" s="9" t="str">
        <f t="shared" si="39"/>
        <v/>
      </c>
      <c r="AG612" s="10" t="str">
        <f t="shared" si="40"/>
        <v/>
      </c>
      <c r="AH612" s="8" t="str" cm="1">
        <f t="array" ref="AH612">IF(OR(J612="",AE612="",AE612="NOT FOUND"),"",IF(Y612="RP",_xlfn.LET(_xlpm.desc,_xlfn.XLOOKUP(1,(--(Sheet1!$F$2:$F$754=AE612))*(--ISNUMBER(FIND("-",Sheet1!$W$2:$W$754,FIND("-",Sheet1!$W$2:$W$754)+1))),Sheet1!$W$2:$W$754,""),IF(_xlpm.desc="","NOT FOUND",LEFT(_xlpm.desc,FIND("-",_xlpm.desc,FIND("-",_xlpm.desc)+1))&amp;AE612)),LEFT(J612,FIND("-",J612,FIND("-",J612)+1))&amp;AE612))</f>
        <v/>
      </c>
    </row>
    <row r="613" spans="1:34" ht="15.75" customHeight="1" x14ac:dyDescent="0.2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 s="6" t="e">
        <f t="shared" si="30"/>
        <v>#VALUE!</v>
      </c>
      <c r="Y613" s="7" t="str">
        <f t="shared" si="31"/>
        <v>DC</v>
      </c>
      <c r="Z613" s="7">
        <f t="shared" si="32"/>
        <v>0</v>
      </c>
      <c r="AA613" s="7">
        <f t="shared" si="33"/>
        <v>0</v>
      </c>
      <c r="AB613" s="7">
        <f t="shared" si="34"/>
        <v>0</v>
      </c>
      <c r="AC613" s="7">
        <f t="shared" si="35"/>
        <v>0</v>
      </c>
      <c r="AD613" s="7">
        <f t="shared" si="36"/>
        <v>0</v>
      </c>
      <c r="AE613" s="8" cm="1">
        <f t="array" ref="AE613">IFERROR(_xlfn.XLOOKUP(H613,Sheet1!$G:$G,Sheet1!$F:$F),IFERROR(_xlfn.XLOOKUP(1,(--($X$2:$X$1074=X613))*(--ISNUMBER(MATCH($H$2:$H$1074,Sheet1!$G:$G,0))),_xlfn.XLOOKUP($H$2:$H$1074,Sheet1!$G:$G,Sheet1!$F:$F,"")),"NOT FOUND"))</f>
        <v>0</v>
      </c>
      <c r="AF613" s="9" t="str">
        <f t="shared" si="39"/>
        <v/>
      </c>
      <c r="AG613" s="10" t="str">
        <f t="shared" si="40"/>
        <v/>
      </c>
      <c r="AH613" s="8" t="str" cm="1">
        <f t="array" ref="AH613">IF(OR(J613="",AE613="",AE613="NOT FOUND"),"",IF(Y613="RP",_xlfn.LET(_xlpm.desc,_xlfn.XLOOKUP(1,(--(Sheet1!$F$2:$F$754=AE613))*(--ISNUMBER(FIND("-",Sheet1!$W$2:$W$754,FIND("-",Sheet1!$W$2:$W$754)+1))),Sheet1!$W$2:$W$754,""),IF(_xlpm.desc="","NOT FOUND",LEFT(_xlpm.desc,FIND("-",_xlpm.desc,FIND("-",_xlpm.desc)+1))&amp;AE613)),LEFT(J613,FIND("-",J613,FIND("-",J613)+1))&amp;AE613))</f>
        <v/>
      </c>
    </row>
    <row r="614" spans="1:34" ht="15.75" customHeight="1" x14ac:dyDescent="0.2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 s="6" t="e">
        <f t="shared" si="30"/>
        <v>#VALUE!</v>
      </c>
      <c r="Y614" s="7" t="str">
        <f t="shared" si="31"/>
        <v>DC</v>
      </c>
      <c r="Z614" s="7">
        <f t="shared" si="32"/>
        <v>0</v>
      </c>
      <c r="AA614" s="7">
        <f t="shared" si="33"/>
        <v>0</v>
      </c>
      <c r="AB614" s="7">
        <f t="shared" si="34"/>
        <v>0</v>
      </c>
      <c r="AC614" s="7">
        <f t="shared" si="35"/>
        <v>0</v>
      </c>
      <c r="AD614" s="7">
        <f t="shared" si="36"/>
        <v>0</v>
      </c>
      <c r="AE614" s="8" cm="1">
        <f t="array" ref="AE614">IFERROR(_xlfn.XLOOKUP(H614,Sheet1!$G:$G,Sheet1!$F:$F),IFERROR(_xlfn.XLOOKUP(1,(--($X$2:$X$1074=X614))*(--ISNUMBER(MATCH($H$2:$H$1074,Sheet1!$G:$G,0))),_xlfn.XLOOKUP($H$2:$H$1074,Sheet1!$G:$G,Sheet1!$F:$F,"")),"NOT FOUND"))</f>
        <v>0</v>
      </c>
      <c r="AF614" s="9" t="str">
        <f t="shared" si="39"/>
        <v/>
      </c>
      <c r="AG614" s="10" t="str">
        <f t="shared" si="40"/>
        <v/>
      </c>
      <c r="AH614" s="8" t="str" cm="1">
        <f t="array" ref="AH614">IF(OR(J614="",AE614="",AE614="NOT FOUND"),"",IF(Y614="RP",_xlfn.LET(_xlpm.desc,_xlfn.XLOOKUP(1,(--(Sheet1!$F$2:$F$754=AE614))*(--ISNUMBER(FIND("-",Sheet1!$W$2:$W$754,FIND("-",Sheet1!$W$2:$W$754)+1))),Sheet1!$W$2:$W$754,""),IF(_xlpm.desc="","NOT FOUND",LEFT(_xlpm.desc,FIND("-",_xlpm.desc,FIND("-",_xlpm.desc)+1))&amp;AE614)),LEFT(J614,FIND("-",J614,FIND("-",J614)+1))&amp;AE614))</f>
        <v/>
      </c>
    </row>
    <row r="615" spans="1:34" ht="15.75" customHeight="1" x14ac:dyDescent="0.2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 s="6" t="e">
        <f t="shared" si="30"/>
        <v>#VALUE!</v>
      </c>
      <c r="Y615" s="7" t="str">
        <f t="shared" si="31"/>
        <v>DC</v>
      </c>
      <c r="Z615" s="7">
        <f t="shared" si="32"/>
        <v>0</v>
      </c>
      <c r="AA615" s="7">
        <f t="shared" si="33"/>
        <v>0</v>
      </c>
      <c r="AB615" s="7">
        <f t="shared" si="34"/>
        <v>0</v>
      </c>
      <c r="AC615" s="7">
        <f t="shared" si="35"/>
        <v>0</v>
      </c>
      <c r="AD615" s="7">
        <f t="shared" si="36"/>
        <v>0</v>
      </c>
      <c r="AE615" s="8" cm="1">
        <f t="array" ref="AE615">IFERROR(_xlfn.XLOOKUP(H615,Sheet1!$G:$G,Sheet1!$F:$F),IFERROR(_xlfn.XLOOKUP(1,(--($X$2:$X$1074=X615))*(--ISNUMBER(MATCH($H$2:$H$1074,Sheet1!$G:$G,0))),_xlfn.XLOOKUP($H$2:$H$1074,Sheet1!$G:$G,Sheet1!$F:$F,"")),"NOT FOUND"))</f>
        <v>0</v>
      </c>
      <c r="AF615" s="9" t="str">
        <f t="shared" si="39"/>
        <v/>
      </c>
      <c r="AG615" s="10" t="str">
        <f t="shared" si="40"/>
        <v/>
      </c>
      <c r="AH615" s="8" t="str" cm="1">
        <f t="array" ref="AH615">IF(OR(J615="",AE615="",AE615="NOT FOUND"),"",IF(Y615="RP",_xlfn.LET(_xlpm.desc,_xlfn.XLOOKUP(1,(--(Sheet1!$F$2:$F$754=AE615))*(--ISNUMBER(FIND("-",Sheet1!$W$2:$W$754,FIND("-",Sheet1!$W$2:$W$754)+1))),Sheet1!$W$2:$W$754,""),IF(_xlpm.desc="","NOT FOUND",LEFT(_xlpm.desc,FIND("-",_xlpm.desc,FIND("-",_xlpm.desc)+1))&amp;AE615)),LEFT(J615,FIND("-",J615,FIND("-",J615)+1))&amp;AE615))</f>
        <v/>
      </c>
    </row>
    <row r="616" spans="1:34" ht="15.75" customHeight="1" x14ac:dyDescent="0.2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 s="6" t="e">
        <f t="shared" si="30"/>
        <v>#VALUE!</v>
      </c>
      <c r="Y616" s="7" t="str">
        <f t="shared" si="31"/>
        <v>DC</v>
      </c>
      <c r="Z616" s="7">
        <f t="shared" si="32"/>
        <v>0</v>
      </c>
      <c r="AA616" s="7">
        <f t="shared" si="33"/>
        <v>0</v>
      </c>
      <c r="AB616" s="7">
        <f t="shared" si="34"/>
        <v>0</v>
      </c>
      <c r="AC616" s="7">
        <f t="shared" si="35"/>
        <v>0</v>
      </c>
      <c r="AD616" s="7">
        <f t="shared" si="36"/>
        <v>0</v>
      </c>
      <c r="AE616" s="8" cm="1">
        <f t="array" ref="AE616">IFERROR(_xlfn.XLOOKUP(H616,Sheet1!$G:$G,Sheet1!$F:$F),IFERROR(_xlfn.XLOOKUP(1,(--($X$2:$X$1074=X616))*(--ISNUMBER(MATCH($H$2:$H$1074,Sheet1!$G:$G,0))),_xlfn.XLOOKUP($H$2:$H$1074,Sheet1!$G:$G,Sheet1!$F:$F,"")),"NOT FOUND"))</f>
        <v>0</v>
      </c>
      <c r="AF616" s="9" t="str">
        <f t="shared" si="39"/>
        <v/>
      </c>
      <c r="AG616" s="10" t="str">
        <f t="shared" si="40"/>
        <v/>
      </c>
      <c r="AH616" s="8" t="str" cm="1">
        <f t="array" ref="AH616">IF(OR(J616="",AE616="",AE616="NOT FOUND"),"",IF(Y616="RP",_xlfn.LET(_xlpm.desc,_xlfn.XLOOKUP(1,(--(Sheet1!$F$2:$F$754=AE616))*(--ISNUMBER(FIND("-",Sheet1!$W$2:$W$754,FIND("-",Sheet1!$W$2:$W$754)+1))),Sheet1!$W$2:$W$754,""),IF(_xlpm.desc="","NOT FOUND",LEFT(_xlpm.desc,FIND("-",_xlpm.desc,FIND("-",_xlpm.desc)+1))&amp;AE616)),LEFT(J616,FIND("-",J616,FIND("-",J616)+1))&amp;AE616))</f>
        <v/>
      </c>
    </row>
    <row r="617" spans="1:34" ht="15.75" customHeight="1" x14ac:dyDescent="0.2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 s="6" t="e">
        <f t="shared" si="30"/>
        <v>#VALUE!</v>
      </c>
      <c r="Y617" s="7" t="str">
        <f t="shared" si="31"/>
        <v>DC</v>
      </c>
      <c r="Z617" s="7">
        <f t="shared" si="32"/>
        <v>0</v>
      </c>
      <c r="AA617" s="7">
        <f t="shared" si="33"/>
        <v>0</v>
      </c>
      <c r="AB617" s="7">
        <f t="shared" si="34"/>
        <v>0</v>
      </c>
      <c r="AC617" s="7">
        <f t="shared" si="35"/>
        <v>0</v>
      </c>
      <c r="AD617" s="7">
        <f t="shared" si="36"/>
        <v>0</v>
      </c>
      <c r="AE617" s="8" cm="1">
        <f t="array" ref="AE617">IFERROR(_xlfn.XLOOKUP(H617,Sheet1!$G:$G,Sheet1!$F:$F),IFERROR(_xlfn.XLOOKUP(1,(--($X$2:$X$1074=X617))*(--ISNUMBER(MATCH($H$2:$H$1074,Sheet1!$G:$G,0))),_xlfn.XLOOKUP($H$2:$H$1074,Sheet1!$G:$G,Sheet1!$F:$F,"")),"NOT FOUND"))</f>
        <v>0</v>
      </c>
      <c r="AF617" s="9" t="str">
        <f t="shared" si="39"/>
        <v/>
      </c>
      <c r="AG617" s="10" t="str">
        <f t="shared" si="40"/>
        <v/>
      </c>
      <c r="AH617" s="8" t="str" cm="1">
        <f t="array" ref="AH617">IF(OR(J617="",AE617="",AE617="NOT FOUND"),"",IF(Y617="RP",_xlfn.LET(_xlpm.desc,_xlfn.XLOOKUP(1,(--(Sheet1!$F$2:$F$754=AE617))*(--ISNUMBER(FIND("-",Sheet1!$W$2:$W$754,FIND("-",Sheet1!$W$2:$W$754)+1))),Sheet1!$W$2:$W$754,""),IF(_xlpm.desc="","NOT FOUND",LEFT(_xlpm.desc,FIND("-",_xlpm.desc,FIND("-",_xlpm.desc)+1))&amp;AE617)),LEFT(J617,FIND("-",J617,FIND("-",J617)+1))&amp;AE617))</f>
        <v/>
      </c>
    </row>
    <row r="618" spans="1:34" ht="15.75" customHeight="1" x14ac:dyDescent="0.2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 s="6" t="e">
        <f t="shared" si="30"/>
        <v>#VALUE!</v>
      </c>
      <c r="Y618" s="7" t="str">
        <f t="shared" si="31"/>
        <v>DC</v>
      </c>
      <c r="Z618" s="7">
        <f t="shared" si="32"/>
        <v>0</v>
      </c>
      <c r="AA618" s="7">
        <f t="shared" si="33"/>
        <v>0</v>
      </c>
      <c r="AB618" s="7">
        <f t="shared" si="34"/>
        <v>0</v>
      </c>
      <c r="AC618" s="7">
        <f t="shared" si="35"/>
        <v>0</v>
      </c>
      <c r="AD618" s="7">
        <f t="shared" si="36"/>
        <v>0</v>
      </c>
      <c r="AE618" s="8" cm="1">
        <f t="array" ref="AE618">IFERROR(_xlfn.XLOOKUP(H618,Sheet1!$G:$G,Sheet1!$F:$F),IFERROR(_xlfn.XLOOKUP(1,(--($X$2:$X$1074=X618))*(--ISNUMBER(MATCH($H$2:$H$1074,Sheet1!$G:$G,0))),_xlfn.XLOOKUP($H$2:$H$1074,Sheet1!$G:$G,Sheet1!$F:$F,"")),"NOT FOUND"))</f>
        <v>0</v>
      </c>
      <c r="AF618" s="9" t="str">
        <f t="shared" si="39"/>
        <v/>
      </c>
      <c r="AG618" s="10" t="str">
        <f t="shared" si="40"/>
        <v/>
      </c>
      <c r="AH618" s="8" t="str" cm="1">
        <f t="array" ref="AH618">IF(OR(J618="",AE618="",AE618="NOT FOUND"),"",IF(Y618="RP",_xlfn.LET(_xlpm.desc,_xlfn.XLOOKUP(1,(--(Sheet1!$F$2:$F$754=AE618))*(--ISNUMBER(FIND("-",Sheet1!$W$2:$W$754,FIND("-",Sheet1!$W$2:$W$754)+1))),Sheet1!$W$2:$W$754,""),IF(_xlpm.desc="","NOT FOUND",LEFT(_xlpm.desc,FIND("-",_xlpm.desc,FIND("-",_xlpm.desc)+1))&amp;AE618)),LEFT(J618,FIND("-",J618,FIND("-",J618)+1))&amp;AE618))</f>
        <v/>
      </c>
    </row>
    <row r="619" spans="1:34" ht="15.75" customHeight="1" x14ac:dyDescent="0.2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 s="6" t="e">
        <f t="shared" si="30"/>
        <v>#VALUE!</v>
      </c>
      <c r="Y619" s="7" t="str">
        <f t="shared" si="31"/>
        <v>DC</v>
      </c>
      <c r="Z619" s="7">
        <f t="shared" si="32"/>
        <v>0</v>
      </c>
      <c r="AA619" s="7">
        <f t="shared" si="33"/>
        <v>0</v>
      </c>
      <c r="AB619" s="7">
        <f t="shared" si="34"/>
        <v>0</v>
      </c>
      <c r="AC619" s="7">
        <f t="shared" si="35"/>
        <v>0</v>
      </c>
      <c r="AD619" s="7">
        <f t="shared" si="36"/>
        <v>0</v>
      </c>
      <c r="AE619" s="8" cm="1">
        <f t="array" ref="AE619">IFERROR(_xlfn.XLOOKUP(H619,Sheet1!$G:$G,Sheet1!$F:$F),IFERROR(_xlfn.XLOOKUP(1,(--($X$2:$X$1074=X619))*(--ISNUMBER(MATCH($H$2:$H$1074,Sheet1!$G:$G,0))),_xlfn.XLOOKUP($H$2:$H$1074,Sheet1!$G:$G,Sheet1!$F:$F,"")),"NOT FOUND"))</f>
        <v>0</v>
      </c>
      <c r="AF619" s="9" t="str">
        <f t="shared" si="39"/>
        <v/>
      </c>
      <c r="AG619" s="10" t="str">
        <f t="shared" si="40"/>
        <v/>
      </c>
      <c r="AH619" s="8" t="str" cm="1">
        <f t="array" ref="AH619">IF(OR(J619="",AE619="",AE619="NOT FOUND"),"",IF(Y619="RP",_xlfn.LET(_xlpm.desc,_xlfn.XLOOKUP(1,(--(Sheet1!$F$2:$F$754=AE619))*(--ISNUMBER(FIND("-",Sheet1!$W$2:$W$754,FIND("-",Sheet1!$W$2:$W$754)+1))),Sheet1!$W$2:$W$754,""),IF(_xlpm.desc="","NOT FOUND",LEFT(_xlpm.desc,FIND("-",_xlpm.desc,FIND("-",_xlpm.desc)+1))&amp;AE619)),LEFT(J619,FIND("-",J619,FIND("-",J619)+1))&amp;AE619))</f>
        <v/>
      </c>
    </row>
    <row r="620" spans="1:34" ht="15.75" customHeight="1" x14ac:dyDescent="0.2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 s="6" t="e">
        <f t="shared" si="30"/>
        <v>#VALUE!</v>
      </c>
      <c r="Y620" s="7" t="str">
        <f t="shared" si="31"/>
        <v>DC</v>
      </c>
      <c r="Z620" s="7">
        <f t="shared" si="32"/>
        <v>0</v>
      </c>
      <c r="AA620" s="7">
        <f t="shared" si="33"/>
        <v>0</v>
      </c>
      <c r="AB620" s="7">
        <f t="shared" si="34"/>
        <v>0</v>
      </c>
      <c r="AC620" s="7">
        <f t="shared" si="35"/>
        <v>0</v>
      </c>
      <c r="AD620" s="7">
        <f t="shared" si="36"/>
        <v>0</v>
      </c>
      <c r="AE620" s="8" cm="1">
        <f t="array" ref="AE620">IFERROR(_xlfn.XLOOKUP(H620,Sheet1!$G:$G,Sheet1!$F:$F),IFERROR(_xlfn.XLOOKUP(1,(--($X$2:$X$1074=X620))*(--ISNUMBER(MATCH($H$2:$H$1074,Sheet1!$G:$G,0))),_xlfn.XLOOKUP($H$2:$H$1074,Sheet1!$G:$G,Sheet1!$F:$F,"")),"NOT FOUND"))</f>
        <v>0</v>
      </c>
      <c r="AF620" s="9" t="str">
        <f t="shared" si="39"/>
        <v/>
      </c>
      <c r="AG620" s="10" t="str">
        <f t="shared" si="40"/>
        <v/>
      </c>
      <c r="AH620" s="8" t="str" cm="1">
        <f t="array" ref="AH620">IF(OR(J620="",AE620="",AE620="NOT FOUND"),"",IF(Y620="RP",_xlfn.LET(_xlpm.desc,_xlfn.XLOOKUP(1,(--(Sheet1!$F$2:$F$754=AE620))*(--ISNUMBER(FIND("-",Sheet1!$W$2:$W$754,FIND("-",Sheet1!$W$2:$W$754)+1))),Sheet1!$W$2:$W$754,""),IF(_xlpm.desc="","NOT FOUND",LEFT(_xlpm.desc,FIND("-",_xlpm.desc,FIND("-",_xlpm.desc)+1))&amp;AE620)),LEFT(J620,FIND("-",J620,FIND("-",J620)+1))&amp;AE620))</f>
        <v/>
      </c>
    </row>
    <row r="621" spans="1:34" ht="15.75" customHeight="1" x14ac:dyDescent="0.2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 s="6" t="e">
        <f t="shared" si="30"/>
        <v>#VALUE!</v>
      </c>
      <c r="Y621" s="7" t="str">
        <f t="shared" si="31"/>
        <v>DC</v>
      </c>
      <c r="Z621" s="7">
        <f t="shared" si="32"/>
        <v>0</v>
      </c>
      <c r="AA621" s="7">
        <f t="shared" si="33"/>
        <v>0</v>
      </c>
      <c r="AB621" s="7">
        <f t="shared" si="34"/>
        <v>0</v>
      </c>
      <c r="AC621" s="7">
        <f t="shared" si="35"/>
        <v>0</v>
      </c>
      <c r="AD621" s="7">
        <f t="shared" si="36"/>
        <v>0</v>
      </c>
      <c r="AE621" s="8" cm="1">
        <f t="array" ref="AE621">IFERROR(_xlfn.XLOOKUP(H621,Sheet1!$G:$G,Sheet1!$F:$F),IFERROR(_xlfn.XLOOKUP(1,(--($X$2:$X$1074=X621))*(--ISNUMBER(MATCH($H$2:$H$1074,Sheet1!$G:$G,0))),_xlfn.XLOOKUP($H$2:$H$1074,Sheet1!$G:$G,Sheet1!$F:$F,"")),"NOT FOUND"))</f>
        <v>0</v>
      </c>
      <c r="AF621" s="9" t="str">
        <f t="shared" si="39"/>
        <v/>
      </c>
      <c r="AG621" s="10" t="str">
        <f t="shared" si="40"/>
        <v/>
      </c>
      <c r="AH621" s="8" t="str" cm="1">
        <f t="array" ref="AH621">IF(OR(J621="",AE621="",AE621="NOT FOUND"),"",IF(Y621="RP",_xlfn.LET(_xlpm.desc,_xlfn.XLOOKUP(1,(--(Sheet1!$F$2:$F$754=AE621))*(--ISNUMBER(FIND("-",Sheet1!$W$2:$W$754,FIND("-",Sheet1!$W$2:$W$754)+1))),Sheet1!$W$2:$W$754,""),IF(_xlpm.desc="","NOT FOUND",LEFT(_xlpm.desc,FIND("-",_xlpm.desc,FIND("-",_xlpm.desc)+1))&amp;AE621)),LEFT(J621,FIND("-",J621,FIND("-",J621)+1))&amp;AE621))</f>
        <v/>
      </c>
    </row>
    <row r="622" spans="1:34" ht="15.75" customHeight="1" x14ac:dyDescent="0.2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 s="6" t="e">
        <f t="shared" si="30"/>
        <v>#VALUE!</v>
      </c>
      <c r="Y622" s="7" t="str">
        <f t="shared" si="31"/>
        <v>DC</v>
      </c>
      <c r="Z622" s="7">
        <f t="shared" si="32"/>
        <v>0</v>
      </c>
      <c r="AA622" s="7">
        <f t="shared" si="33"/>
        <v>0</v>
      </c>
      <c r="AB622" s="7">
        <f t="shared" si="34"/>
        <v>0</v>
      </c>
      <c r="AC622" s="7">
        <f t="shared" si="35"/>
        <v>0</v>
      </c>
      <c r="AD622" s="7">
        <f t="shared" si="36"/>
        <v>0</v>
      </c>
      <c r="AE622" s="8" cm="1">
        <f t="array" ref="AE622">IFERROR(_xlfn.XLOOKUP(H622,Sheet1!$G:$G,Sheet1!$F:$F),IFERROR(_xlfn.XLOOKUP(1,(--($X$2:$X$1074=X622))*(--ISNUMBER(MATCH($H$2:$H$1074,Sheet1!$G:$G,0))),_xlfn.XLOOKUP($H$2:$H$1074,Sheet1!$G:$G,Sheet1!$F:$F,"")),"NOT FOUND"))</f>
        <v>0</v>
      </c>
      <c r="AF622" s="9" t="str">
        <f t="shared" si="39"/>
        <v/>
      </c>
      <c r="AG622" s="10" t="str">
        <f t="shared" si="40"/>
        <v/>
      </c>
      <c r="AH622" s="8" t="str" cm="1">
        <f t="array" ref="AH622">IF(OR(J622="",AE622="",AE622="NOT FOUND"),"",IF(Y622="RP",_xlfn.LET(_xlpm.desc,_xlfn.XLOOKUP(1,(--(Sheet1!$F$2:$F$754=AE622))*(--ISNUMBER(FIND("-",Sheet1!$W$2:$W$754,FIND("-",Sheet1!$W$2:$W$754)+1))),Sheet1!$W$2:$W$754,""),IF(_xlpm.desc="","NOT FOUND",LEFT(_xlpm.desc,FIND("-",_xlpm.desc,FIND("-",_xlpm.desc)+1))&amp;AE622)),LEFT(J622,FIND("-",J622,FIND("-",J622)+1))&amp;AE622))</f>
        <v/>
      </c>
    </row>
    <row r="623" spans="1:34" ht="15.75" customHeight="1" x14ac:dyDescent="0.2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 s="6" t="e">
        <f t="shared" si="30"/>
        <v>#VALUE!</v>
      </c>
      <c r="Y623" s="7" t="str">
        <f t="shared" si="31"/>
        <v>DC</v>
      </c>
      <c r="Z623" s="7">
        <f t="shared" si="32"/>
        <v>0</v>
      </c>
      <c r="AA623" s="7">
        <f t="shared" si="33"/>
        <v>0</v>
      </c>
      <c r="AB623" s="7">
        <f t="shared" si="34"/>
        <v>0</v>
      </c>
      <c r="AC623" s="7">
        <f t="shared" si="35"/>
        <v>0</v>
      </c>
      <c r="AD623" s="7">
        <f t="shared" si="36"/>
        <v>0</v>
      </c>
      <c r="AE623" s="8" cm="1">
        <f t="array" ref="AE623">IFERROR(_xlfn.XLOOKUP(H623,Sheet1!$G:$G,Sheet1!$F:$F),IFERROR(_xlfn.XLOOKUP(1,(--($X$2:$X$1074=X623))*(--ISNUMBER(MATCH($H$2:$H$1074,Sheet1!$G:$G,0))),_xlfn.XLOOKUP($H$2:$H$1074,Sheet1!$G:$G,Sheet1!$F:$F,"")),"NOT FOUND"))</f>
        <v>0</v>
      </c>
      <c r="AF623" s="9" t="str">
        <f t="shared" si="39"/>
        <v/>
      </c>
      <c r="AG623" s="10" t="str">
        <f t="shared" si="40"/>
        <v/>
      </c>
      <c r="AH623" s="8" t="str" cm="1">
        <f t="array" ref="AH623">IF(OR(J623="",AE623="",AE623="NOT FOUND"),"",IF(Y623="RP",_xlfn.LET(_xlpm.desc,_xlfn.XLOOKUP(1,(--(Sheet1!$F$2:$F$754=AE623))*(--ISNUMBER(FIND("-",Sheet1!$W$2:$W$754,FIND("-",Sheet1!$W$2:$W$754)+1))),Sheet1!$W$2:$W$754,""),IF(_xlpm.desc="","NOT FOUND",LEFT(_xlpm.desc,FIND("-",_xlpm.desc,FIND("-",_xlpm.desc)+1))&amp;AE623)),LEFT(J623,FIND("-",J623,FIND("-",J623)+1))&amp;AE623))</f>
        <v/>
      </c>
    </row>
    <row r="624" spans="1:34" ht="15.75" customHeight="1" x14ac:dyDescent="0.2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 s="6" t="e">
        <f t="shared" si="30"/>
        <v>#VALUE!</v>
      </c>
      <c r="Y624" s="7" t="str">
        <f t="shared" si="31"/>
        <v>DC</v>
      </c>
      <c r="Z624" s="7">
        <f t="shared" si="32"/>
        <v>0</v>
      </c>
      <c r="AA624" s="7">
        <f t="shared" si="33"/>
        <v>0</v>
      </c>
      <c r="AB624" s="7">
        <f t="shared" si="34"/>
        <v>0</v>
      </c>
      <c r="AC624" s="7">
        <f t="shared" si="35"/>
        <v>0</v>
      </c>
      <c r="AD624" s="7">
        <f t="shared" si="36"/>
        <v>0</v>
      </c>
      <c r="AE624" s="8" cm="1">
        <f t="array" ref="AE624">IFERROR(_xlfn.XLOOKUP(H624,Sheet1!$G:$G,Sheet1!$F:$F),IFERROR(_xlfn.XLOOKUP(1,(--($X$2:$X$1074=X624))*(--ISNUMBER(MATCH($H$2:$H$1074,Sheet1!$G:$G,0))),_xlfn.XLOOKUP($H$2:$H$1074,Sheet1!$G:$G,Sheet1!$F:$F,"")),"NOT FOUND"))</f>
        <v>0</v>
      </c>
      <c r="AF624" s="9" t="str">
        <f t="shared" si="39"/>
        <v/>
      </c>
      <c r="AG624" s="10" t="str">
        <f t="shared" si="40"/>
        <v/>
      </c>
      <c r="AH624" s="8" t="str" cm="1">
        <f t="array" ref="AH624">IF(OR(J624="",AE624="",AE624="NOT FOUND"),"",IF(Y624="RP",_xlfn.LET(_xlpm.desc,_xlfn.XLOOKUP(1,(--(Sheet1!$F$2:$F$754=AE624))*(--ISNUMBER(FIND("-",Sheet1!$W$2:$W$754,FIND("-",Sheet1!$W$2:$W$754)+1))),Sheet1!$W$2:$W$754,""),IF(_xlpm.desc="","NOT FOUND",LEFT(_xlpm.desc,FIND("-",_xlpm.desc,FIND("-",_xlpm.desc)+1))&amp;AE624)),LEFT(J624,FIND("-",J624,FIND("-",J624)+1))&amp;AE624))</f>
        <v/>
      </c>
    </row>
    <row r="625" spans="1:34" ht="15.75" customHeight="1" x14ac:dyDescent="0.2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 s="6" t="e">
        <f t="shared" si="30"/>
        <v>#VALUE!</v>
      </c>
      <c r="Y625" s="7" t="str">
        <f t="shared" si="31"/>
        <v>DC</v>
      </c>
      <c r="Z625" s="7">
        <f t="shared" si="32"/>
        <v>0</v>
      </c>
      <c r="AA625" s="7">
        <f t="shared" si="33"/>
        <v>0</v>
      </c>
      <c r="AB625" s="7">
        <f t="shared" si="34"/>
        <v>0</v>
      </c>
      <c r="AC625" s="7">
        <f t="shared" si="35"/>
        <v>0</v>
      </c>
      <c r="AD625" s="7">
        <f t="shared" si="36"/>
        <v>0</v>
      </c>
      <c r="AE625" s="8" cm="1">
        <f t="array" ref="AE625">IFERROR(_xlfn.XLOOKUP(H625,Sheet1!$G:$G,Sheet1!$F:$F),IFERROR(_xlfn.XLOOKUP(1,(--($X$2:$X$1074=X625))*(--ISNUMBER(MATCH($H$2:$H$1074,Sheet1!$G:$G,0))),_xlfn.XLOOKUP($H$2:$H$1074,Sheet1!$G:$G,Sheet1!$F:$F,"")),"NOT FOUND"))</f>
        <v>0</v>
      </c>
      <c r="AF625" s="9" t="str">
        <f t="shared" si="39"/>
        <v/>
      </c>
      <c r="AG625" s="10" t="str">
        <f t="shared" si="40"/>
        <v/>
      </c>
      <c r="AH625" s="8" t="str" cm="1">
        <f t="array" ref="AH625">IF(OR(J625="",AE625="",AE625="NOT FOUND"),"",IF(Y625="RP",_xlfn.LET(_xlpm.desc,_xlfn.XLOOKUP(1,(--(Sheet1!$F$2:$F$754=AE625))*(--ISNUMBER(FIND("-",Sheet1!$W$2:$W$754,FIND("-",Sheet1!$W$2:$W$754)+1))),Sheet1!$W$2:$W$754,""),IF(_xlpm.desc="","NOT FOUND",LEFT(_xlpm.desc,FIND("-",_xlpm.desc,FIND("-",_xlpm.desc)+1))&amp;AE625)),LEFT(J625,FIND("-",J625,FIND("-",J625)+1))&amp;AE625))</f>
        <v/>
      </c>
    </row>
    <row r="626" spans="1:34" ht="15.75" customHeight="1" x14ac:dyDescent="0.2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 s="6" t="e">
        <f t="shared" si="30"/>
        <v>#VALUE!</v>
      </c>
      <c r="Y626" s="7" t="str">
        <f t="shared" si="31"/>
        <v>DC</v>
      </c>
      <c r="Z626" s="7">
        <f t="shared" si="32"/>
        <v>0</v>
      </c>
      <c r="AA626" s="7">
        <f t="shared" si="33"/>
        <v>0</v>
      </c>
      <c r="AB626" s="7">
        <f t="shared" si="34"/>
        <v>0</v>
      </c>
      <c r="AC626" s="7">
        <f t="shared" si="35"/>
        <v>0</v>
      </c>
      <c r="AD626" s="7">
        <f t="shared" si="36"/>
        <v>0</v>
      </c>
      <c r="AE626" s="8" cm="1">
        <f t="array" ref="AE626">IFERROR(_xlfn.XLOOKUP(H626,Sheet1!$G:$G,Sheet1!$F:$F),IFERROR(_xlfn.XLOOKUP(1,(--($X$2:$X$1074=X626))*(--ISNUMBER(MATCH($H$2:$H$1074,Sheet1!$G:$G,0))),_xlfn.XLOOKUP($H$2:$H$1074,Sheet1!$G:$G,Sheet1!$F:$F,"")),"NOT FOUND"))</f>
        <v>0</v>
      </c>
      <c r="AF626" s="9" t="str">
        <f t="shared" si="39"/>
        <v/>
      </c>
      <c r="AG626" s="10" t="str">
        <f t="shared" si="40"/>
        <v/>
      </c>
      <c r="AH626" s="8" t="str" cm="1">
        <f t="array" ref="AH626">IF(OR(J626="",AE626="",AE626="NOT FOUND"),"",IF(Y626="RP",_xlfn.LET(_xlpm.desc,_xlfn.XLOOKUP(1,(--(Sheet1!$F$2:$F$754=AE626))*(--ISNUMBER(FIND("-",Sheet1!$W$2:$W$754,FIND("-",Sheet1!$W$2:$W$754)+1))),Sheet1!$W$2:$W$754,""),IF(_xlpm.desc="","NOT FOUND",LEFT(_xlpm.desc,FIND("-",_xlpm.desc,FIND("-",_xlpm.desc)+1))&amp;AE626)),LEFT(J626,FIND("-",J626,FIND("-",J626)+1))&amp;AE626))</f>
        <v/>
      </c>
    </row>
    <row r="627" spans="1:34" ht="15.75" customHeight="1" x14ac:dyDescent="0.2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 s="6" t="e">
        <f t="shared" si="30"/>
        <v>#VALUE!</v>
      </c>
      <c r="Y627" s="7" t="str">
        <f t="shared" si="31"/>
        <v>DC</v>
      </c>
      <c r="Z627" s="7">
        <f t="shared" si="32"/>
        <v>0</v>
      </c>
      <c r="AA627" s="7">
        <f t="shared" si="33"/>
        <v>0</v>
      </c>
      <c r="AB627" s="7">
        <f t="shared" si="34"/>
        <v>0</v>
      </c>
      <c r="AC627" s="7">
        <f t="shared" si="35"/>
        <v>0</v>
      </c>
      <c r="AD627" s="7">
        <f t="shared" si="36"/>
        <v>0</v>
      </c>
      <c r="AE627" s="8" cm="1">
        <f t="array" ref="AE627">IFERROR(_xlfn.XLOOKUP(H627,Sheet1!$G:$G,Sheet1!$F:$F),IFERROR(_xlfn.XLOOKUP(1,(--($X$2:$X$1074=X627))*(--ISNUMBER(MATCH($H$2:$H$1074,Sheet1!$G:$G,0))),_xlfn.XLOOKUP($H$2:$H$1074,Sheet1!$G:$G,Sheet1!$F:$F,"")),"NOT FOUND"))</f>
        <v>0</v>
      </c>
      <c r="AF627" s="9" t="str">
        <f t="shared" si="39"/>
        <v/>
      </c>
      <c r="AG627" s="10" t="str">
        <f t="shared" si="40"/>
        <v/>
      </c>
      <c r="AH627" s="8" t="str" cm="1">
        <f t="array" ref="AH627">IF(OR(J627="",AE627="",AE627="NOT FOUND"),"",IF(Y627="RP",_xlfn.LET(_xlpm.desc,_xlfn.XLOOKUP(1,(--(Sheet1!$F$2:$F$754=AE627))*(--ISNUMBER(FIND("-",Sheet1!$W$2:$W$754,FIND("-",Sheet1!$W$2:$W$754)+1))),Sheet1!$W$2:$W$754,""),IF(_xlpm.desc="","NOT FOUND",LEFT(_xlpm.desc,FIND("-",_xlpm.desc,FIND("-",_xlpm.desc)+1))&amp;AE627)),LEFT(J627,FIND("-",J627,FIND("-",J627)+1))&amp;AE627))</f>
        <v/>
      </c>
    </row>
    <row r="628" spans="1:34" ht="15.75" customHeight="1" x14ac:dyDescent="0.2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 s="6" t="e">
        <f t="shared" si="30"/>
        <v>#VALUE!</v>
      </c>
      <c r="Y628" s="7" t="str">
        <f t="shared" si="31"/>
        <v>DC</v>
      </c>
      <c r="Z628" s="7">
        <f t="shared" si="32"/>
        <v>0</v>
      </c>
      <c r="AA628" s="7">
        <f t="shared" si="33"/>
        <v>0</v>
      </c>
      <c r="AB628" s="7">
        <f t="shared" si="34"/>
        <v>0</v>
      </c>
      <c r="AC628" s="7">
        <f t="shared" si="35"/>
        <v>0</v>
      </c>
      <c r="AD628" s="7">
        <f t="shared" si="36"/>
        <v>0</v>
      </c>
      <c r="AE628" s="8" cm="1">
        <f t="array" ref="AE628">IFERROR(_xlfn.XLOOKUP(H628,Sheet1!$G:$G,Sheet1!$F:$F),IFERROR(_xlfn.XLOOKUP(1,(--($X$2:$X$1074=X628))*(--ISNUMBER(MATCH($H$2:$H$1074,Sheet1!$G:$G,0))),_xlfn.XLOOKUP($H$2:$H$1074,Sheet1!$G:$G,Sheet1!$F:$F,"")),"NOT FOUND"))</f>
        <v>0</v>
      </c>
      <c r="AF628" s="9" t="str">
        <f t="shared" si="39"/>
        <v/>
      </c>
      <c r="AG628" s="10" t="str">
        <f t="shared" si="40"/>
        <v/>
      </c>
      <c r="AH628" s="8" t="str" cm="1">
        <f t="array" ref="AH628">IF(OR(J628="",AE628="",AE628="NOT FOUND"),"",IF(Y628="RP",_xlfn.LET(_xlpm.desc,_xlfn.XLOOKUP(1,(--(Sheet1!$F$2:$F$754=AE628))*(--ISNUMBER(FIND("-",Sheet1!$W$2:$W$754,FIND("-",Sheet1!$W$2:$W$754)+1))),Sheet1!$W$2:$W$754,""),IF(_xlpm.desc="","NOT FOUND",LEFT(_xlpm.desc,FIND("-",_xlpm.desc,FIND("-",_xlpm.desc)+1))&amp;AE628)),LEFT(J628,FIND("-",J628,FIND("-",J628)+1))&amp;AE628))</f>
        <v/>
      </c>
    </row>
    <row r="629" spans="1:34" ht="15.75" customHeight="1" x14ac:dyDescent="0.2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 s="6" t="e">
        <f t="shared" si="30"/>
        <v>#VALUE!</v>
      </c>
      <c r="Y629" s="7" t="str">
        <f t="shared" si="31"/>
        <v>DC</v>
      </c>
      <c r="Z629" s="7">
        <f t="shared" si="32"/>
        <v>0</v>
      </c>
      <c r="AA629" s="7">
        <f t="shared" si="33"/>
        <v>0</v>
      </c>
      <c r="AB629" s="7">
        <f t="shared" si="34"/>
        <v>0</v>
      </c>
      <c r="AC629" s="7">
        <f t="shared" si="35"/>
        <v>0</v>
      </c>
      <c r="AD629" s="7">
        <f t="shared" si="36"/>
        <v>0</v>
      </c>
      <c r="AE629" s="8" cm="1">
        <f t="array" ref="AE629">IFERROR(_xlfn.XLOOKUP(H629,Sheet1!$G:$G,Sheet1!$F:$F),IFERROR(_xlfn.XLOOKUP(1,(--($X$2:$X$1074=X629))*(--ISNUMBER(MATCH($H$2:$H$1074,Sheet1!$G:$G,0))),_xlfn.XLOOKUP($H$2:$H$1074,Sheet1!$G:$G,Sheet1!$F:$F,"")),"NOT FOUND"))</f>
        <v>0</v>
      </c>
      <c r="AF629" s="9" t="str">
        <f t="shared" si="39"/>
        <v/>
      </c>
      <c r="AG629" s="10" t="str">
        <f t="shared" si="40"/>
        <v/>
      </c>
      <c r="AH629" s="8" t="str" cm="1">
        <f t="array" ref="AH629">IF(OR(J629="",AE629="",AE629="NOT FOUND"),"",IF(Y629="RP",_xlfn.LET(_xlpm.desc,_xlfn.XLOOKUP(1,(--(Sheet1!$F$2:$F$754=AE629))*(--ISNUMBER(FIND("-",Sheet1!$W$2:$W$754,FIND("-",Sheet1!$W$2:$W$754)+1))),Sheet1!$W$2:$W$754,""),IF(_xlpm.desc="","NOT FOUND",LEFT(_xlpm.desc,FIND("-",_xlpm.desc,FIND("-",_xlpm.desc)+1))&amp;AE629)),LEFT(J629,FIND("-",J629,FIND("-",J629)+1))&amp;AE629))</f>
        <v/>
      </c>
    </row>
    <row r="630" spans="1:34" ht="15.75" customHeight="1" x14ac:dyDescent="0.2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 s="6" t="e">
        <f t="shared" si="30"/>
        <v>#VALUE!</v>
      </c>
      <c r="Y630" s="7" t="str">
        <f t="shared" si="31"/>
        <v>DC</v>
      </c>
      <c r="Z630" s="7">
        <f t="shared" si="32"/>
        <v>0</v>
      </c>
      <c r="AA630" s="7">
        <f t="shared" si="33"/>
        <v>0</v>
      </c>
      <c r="AB630" s="7">
        <f t="shared" si="34"/>
        <v>0</v>
      </c>
      <c r="AC630" s="7">
        <f t="shared" si="35"/>
        <v>0</v>
      </c>
      <c r="AD630" s="7">
        <f t="shared" si="36"/>
        <v>0</v>
      </c>
      <c r="AE630" s="8" cm="1">
        <f t="array" ref="AE630">IFERROR(_xlfn.XLOOKUP(H630,Sheet1!$G:$G,Sheet1!$F:$F),IFERROR(_xlfn.XLOOKUP(1,(--($X$2:$X$1074=X630))*(--ISNUMBER(MATCH($H$2:$H$1074,Sheet1!$G:$G,0))),_xlfn.XLOOKUP($H$2:$H$1074,Sheet1!$G:$G,Sheet1!$F:$F,"")),"NOT FOUND"))</f>
        <v>0</v>
      </c>
      <c r="AF630" s="9" t="str">
        <f t="shared" si="39"/>
        <v/>
      </c>
      <c r="AG630" s="10" t="str">
        <f t="shared" si="40"/>
        <v/>
      </c>
      <c r="AH630" s="8" t="str" cm="1">
        <f t="array" ref="AH630">IF(OR(J630="",AE630="",AE630="NOT FOUND"),"",IF(Y630="RP",_xlfn.LET(_xlpm.desc,_xlfn.XLOOKUP(1,(--(Sheet1!$F$2:$F$754=AE630))*(--ISNUMBER(FIND("-",Sheet1!$W$2:$W$754,FIND("-",Sheet1!$W$2:$W$754)+1))),Sheet1!$W$2:$W$754,""),IF(_xlpm.desc="","NOT FOUND",LEFT(_xlpm.desc,FIND("-",_xlpm.desc,FIND("-",_xlpm.desc)+1))&amp;AE630)),LEFT(J630,FIND("-",J630,FIND("-",J630)+1))&amp;AE630))</f>
        <v/>
      </c>
    </row>
    <row r="631" spans="1:34" ht="15.75" customHeight="1" x14ac:dyDescent="0.2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 s="6" t="e">
        <f t="shared" si="30"/>
        <v>#VALUE!</v>
      </c>
      <c r="Y631" s="7" t="str">
        <f t="shared" si="31"/>
        <v>DC</v>
      </c>
      <c r="Z631" s="7">
        <f t="shared" si="32"/>
        <v>0</v>
      </c>
      <c r="AA631" s="7">
        <f t="shared" si="33"/>
        <v>0</v>
      </c>
      <c r="AB631" s="7">
        <f t="shared" si="34"/>
        <v>0</v>
      </c>
      <c r="AC631" s="7">
        <f t="shared" si="35"/>
        <v>0</v>
      </c>
      <c r="AD631" s="7">
        <f t="shared" si="36"/>
        <v>0</v>
      </c>
      <c r="AE631" s="8" cm="1">
        <f t="array" ref="AE631">IFERROR(_xlfn.XLOOKUP(H631,Sheet1!$G:$G,Sheet1!$F:$F),IFERROR(_xlfn.XLOOKUP(1,(--($X$2:$X$1074=X631))*(--ISNUMBER(MATCH($H$2:$H$1074,Sheet1!$G:$G,0))),_xlfn.XLOOKUP($H$2:$H$1074,Sheet1!$G:$G,Sheet1!$F:$F,"")),"NOT FOUND"))</f>
        <v>0</v>
      </c>
      <c r="AF631" s="9" t="str">
        <f t="shared" si="39"/>
        <v/>
      </c>
      <c r="AG631" s="10" t="str">
        <f t="shared" si="40"/>
        <v/>
      </c>
      <c r="AH631" s="8" t="str" cm="1">
        <f t="array" ref="AH631">IF(OR(J631="",AE631="",AE631="NOT FOUND"),"",IF(Y631="RP",_xlfn.LET(_xlpm.desc,_xlfn.XLOOKUP(1,(--(Sheet1!$F$2:$F$754=AE631))*(--ISNUMBER(FIND("-",Sheet1!$W$2:$W$754,FIND("-",Sheet1!$W$2:$W$754)+1))),Sheet1!$W$2:$W$754,""),IF(_xlpm.desc="","NOT FOUND",LEFT(_xlpm.desc,FIND("-",_xlpm.desc,FIND("-",_xlpm.desc)+1))&amp;AE631)),LEFT(J631,FIND("-",J631,FIND("-",J631)+1))&amp;AE631))</f>
        <v/>
      </c>
    </row>
    <row r="632" spans="1:34" ht="15.75" customHeight="1" x14ac:dyDescent="0.2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 s="6" t="e">
        <f t="shared" si="30"/>
        <v>#VALUE!</v>
      </c>
      <c r="Y632" s="7" t="str">
        <f t="shared" si="31"/>
        <v>DC</v>
      </c>
      <c r="Z632" s="7">
        <f t="shared" si="32"/>
        <v>0</v>
      </c>
      <c r="AA632" s="7">
        <f t="shared" si="33"/>
        <v>0</v>
      </c>
      <c r="AB632" s="7">
        <f t="shared" si="34"/>
        <v>0</v>
      </c>
      <c r="AC632" s="7">
        <f t="shared" si="35"/>
        <v>0</v>
      </c>
      <c r="AD632" s="7">
        <f t="shared" si="36"/>
        <v>0</v>
      </c>
      <c r="AE632" s="8" cm="1">
        <f t="array" ref="AE632">IFERROR(_xlfn.XLOOKUP(H632,Sheet1!$G:$G,Sheet1!$F:$F),IFERROR(_xlfn.XLOOKUP(1,(--($X$2:$X$1074=X632))*(--ISNUMBER(MATCH($H$2:$H$1074,Sheet1!$G:$G,0))),_xlfn.XLOOKUP($H$2:$H$1074,Sheet1!$G:$G,Sheet1!$F:$F,"")),"NOT FOUND"))</f>
        <v>0</v>
      </c>
      <c r="AF632" s="9" t="str">
        <f t="shared" si="39"/>
        <v/>
      </c>
      <c r="AG632" s="10" t="str">
        <f t="shared" si="40"/>
        <v/>
      </c>
      <c r="AH632" s="8" t="str" cm="1">
        <f t="array" ref="AH632">IF(OR(J632="",AE632="",AE632="NOT FOUND"),"",IF(Y632="RP",_xlfn.LET(_xlpm.desc,_xlfn.XLOOKUP(1,(--(Sheet1!$F$2:$F$754=AE632))*(--ISNUMBER(FIND("-",Sheet1!$W$2:$W$754,FIND("-",Sheet1!$W$2:$W$754)+1))),Sheet1!$W$2:$W$754,""),IF(_xlpm.desc="","NOT FOUND",LEFT(_xlpm.desc,FIND("-",_xlpm.desc,FIND("-",_xlpm.desc)+1))&amp;AE632)),LEFT(J632,FIND("-",J632,FIND("-",J632)+1))&amp;AE632))</f>
        <v/>
      </c>
    </row>
    <row r="633" spans="1:34" ht="15.75" customHeight="1" x14ac:dyDescent="0.2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 s="6" t="e">
        <f t="shared" si="30"/>
        <v>#VALUE!</v>
      </c>
      <c r="Y633" s="7" t="str">
        <f t="shared" si="31"/>
        <v>DC</v>
      </c>
      <c r="Z633" s="7">
        <f t="shared" si="32"/>
        <v>0</v>
      </c>
      <c r="AA633" s="7">
        <f t="shared" si="33"/>
        <v>0</v>
      </c>
      <c r="AB633" s="7">
        <f t="shared" si="34"/>
        <v>0</v>
      </c>
      <c r="AC633" s="7">
        <f t="shared" si="35"/>
        <v>0</v>
      </c>
      <c r="AD633" s="7">
        <f t="shared" si="36"/>
        <v>0</v>
      </c>
      <c r="AE633" s="8" cm="1">
        <f t="array" ref="AE633">IFERROR(_xlfn.XLOOKUP(H633,Sheet1!$G:$G,Sheet1!$F:$F),IFERROR(_xlfn.XLOOKUP(1,(--($X$2:$X$1074=X633))*(--ISNUMBER(MATCH($H$2:$H$1074,Sheet1!$G:$G,0))),_xlfn.XLOOKUP($H$2:$H$1074,Sheet1!$G:$G,Sheet1!$F:$F,"")),"NOT FOUND"))</f>
        <v>0</v>
      </c>
      <c r="AF633" s="9" t="str">
        <f t="shared" si="39"/>
        <v/>
      </c>
      <c r="AG633" s="10" t="str">
        <f t="shared" si="40"/>
        <v/>
      </c>
      <c r="AH633" s="8" t="str" cm="1">
        <f t="array" ref="AH633">IF(OR(J633="",AE633="",AE633="NOT FOUND"),"",IF(Y633="RP",_xlfn.LET(_xlpm.desc,_xlfn.XLOOKUP(1,(--(Sheet1!$F$2:$F$754=AE633))*(--ISNUMBER(FIND("-",Sheet1!$W$2:$W$754,FIND("-",Sheet1!$W$2:$W$754)+1))),Sheet1!$W$2:$W$754,""),IF(_xlpm.desc="","NOT FOUND",LEFT(_xlpm.desc,FIND("-",_xlpm.desc,FIND("-",_xlpm.desc)+1))&amp;AE633)),LEFT(J633,FIND("-",J633,FIND("-",J633)+1))&amp;AE633))</f>
        <v/>
      </c>
    </row>
    <row r="634" spans="1:34" ht="15.75" customHeight="1" x14ac:dyDescent="0.2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 s="6" t="e">
        <f t="shared" si="30"/>
        <v>#VALUE!</v>
      </c>
      <c r="Y634" s="7" t="str">
        <f t="shared" si="31"/>
        <v>DC</v>
      </c>
      <c r="Z634" s="7">
        <f t="shared" si="32"/>
        <v>0</v>
      </c>
      <c r="AA634" s="7">
        <f t="shared" si="33"/>
        <v>0</v>
      </c>
      <c r="AB634" s="7">
        <f t="shared" si="34"/>
        <v>0</v>
      </c>
      <c r="AC634" s="7">
        <f t="shared" si="35"/>
        <v>0</v>
      </c>
      <c r="AD634" s="7">
        <f t="shared" si="36"/>
        <v>0</v>
      </c>
      <c r="AE634" s="8" cm="1">
        <f t="array" ref="AE634">IFERROR(_xlfn.XLOOKUP(H634,Sheet1!$G:$G,Sheet1!$F:$F),IFERROR(_xlfn.XLOOKUP(1,(--($X$2:$X$1074=X634))*(--ISNUMBER(MATCH($H$2:$H$1074,Sheet1!$G:$G,0))),_xlfn.XLOOKUP($H$2:$H$1074,Sheet1!$G:$G,Sheet1!$F:$F,"")),"NOT FOUND"))</f>
        <v>0</v>
      </c>
      <c r="AF634" s="9" t="str">
        <f t="shared" si="39"/>
        <v/>
      </c>
      <c r="AG634" s="10" t="str">
        <f t="shared" si="40"/>
        <v/>
      </c>
      <c r="AH634" s="8" t="str" cm="1">
        <f t="array" ref="AH634">IF(OR(J634="",AE634="",AE634="NOT FOUND"),"",IF(Y634="RP",_xlfn.LET(_xlpm.desc,_xlfn.XLOOKUP(1,(--(Sheet1!$F$2:$F$754=AE634))*(--ISNUMBER(FIND("-",Sheet1!$W$2:$W$754,FIND("-",Sheet1!$W$2:$W$754)+1))),Sheet1!$W$2:$W$754,""),IF(_xlpm.desc="","NOT FOUND",LEFT(_xlpm.desc,FIND("-",_xlpm.desc,FIND("-",_xlpm.desc)+1))&amp;AE634)),LEFT(J634,FIND("-",J634,FIND("-",J634)+1))&amp;AE634))</f>
        <v/>
      </c>
    </row>
    <row r="635" spans="1:34" ht="15.75" customHeight="1" x14ac:dyDescent="0.2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 s="6" t="e">
        <f t="shared" si="30"/>
        <v>#VALUE!</v>
      </c>
      <c r="Y635" s="7" t="str">
        <f t="shared" si="31"/>
        <v>DC</v>
      </c>
      <c r="Z635" s="7">
        <f t="shared" si="32"/>
        <v>0</v>
      </c>
      <c r="AA635" s="7">
        <f t="shared" si="33"/>
        <v>0</v>
      </c>
      <c r="AB635" s="7">
        <f t="shared" si="34"/>
        <v>0</v>
      </c>
      <c r="AC635" s="7">
        <f t="shared" si="35"/>
        <v>0</v>
      </c>
      <c r="AD635" s="7">
        <f t="shared" si="36"/>
        <v>0</v>
      </c>
      <c r="AE635" s="8" cm="1">
        <f t="array" ref="AE635">IFERROR(_xlfn.XLOOKUP(H635,Sheet1!$G:$G,Sheet1!$F:$F),IFERROR(_xlfn.XLOOKUP(1,(--($X$2:$X$1074=X635))*(--ISNUMBER(MATCH($H$2:$H$1074,Sheet1!$G:$G,0))),_xlfn.XLOOKUP($H$2:$H$1074,Sheet1!$G:$G,Sheet1!$F:$F,"")),"NOT FOUND"))</f>
        <v>0</v>
      </c>
      <c r="AF635" s="9" t="str">
        <f t="shared" si="39"/>
        <v/>
      </c>
      <c r="AG635" s="10" t="str">
        <f t="shared" si="40"/>
        <v/>
      </c>
      <c r="AH635" s="8" t="str" cm="1">
        <f t="array" ref="AH635">IF(OR(J635="",AE635="",AE635="NOT FOUND"),"",IF(Y635="RP",_xlfn.LET(_xlpm.desc,_xlfn.XLOOKUP(1,(--(Sheet1!$F$2:$F$754=AE635))*(--ISNUMBER(FIND("-",Sheet1!$W$2:$W$754,FIND("-",Sheet1!$W$2:$W$754)+1))),Sheet1!$W$2:$W$754,""),IF(_xlpm.desc="","NOT FOUND",LEFT(_xlpm.desc,FIND("-",_xlpm.desc,FIND("-",_xlpm.desc)+1))&amp;AE635)),LEFT(J635,FIND("-",J635,FIND("-",J635)+1))&amp;AE635))</f>
        <v/>
      </c>
    </row>
    <row r="636" spans="1:34" ht="15.75" customHeight="1" x14ac:dyDescent="0.2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 s="6" t="e">
        <f t="shared" si="30"/>
        <v>#VALUE!</v>
      </c>
      <c r="Y636" s="7" t="str">
        <f t="shared" si="31"/>
        <v>DC</v>
      </c>
      <c r="Z636" s="7">
        <f t="shared" si="32"/>
        <v>0</v>
      </c>
      <c r="AA636" s="7">
        <f t="shared" si="33"/>
        <v>0</v>
      </c>
      <c r="AB636" s="7">
        <f t="shared" si="34"/>
        <v>0</v>
      </c>
      <c r="AC636" s="7">
        <f t="shared" si="35"/>
        <v>0</v>
      </c>
      <c r="AD636" s="7">
        <f t="shared" si="36"/>
        <v>0</v>
      </c>
      <c r="AE636" s="8" cm="1">
        <f t="array" ref="AE636">IFERROR(_xlfn.XLOOKUP(H636,Sheet1!$G:$G,Sheet1!$F:$F),IFERROR(_xlfn.XLOOKUP(1,(--($X$2:$X$1074=X636))*(--ISNUMBER(MATCH($H$2:$H$1074,Sheet1!$G:$G,0))),_xlfn.XLOOKUP($H$2:$H$1074,Sheet1!$G:$G,Sheet1!$F:$F,"")),"NOT FOUND"))</f>
        <v>0</v>
      </c>
      <c r="AF636" s="9" t="str">
        <f t="shared" si="39"/>
        <v/>
      </c>
      <c r="AG636" s="10" t="str">
        <f t="shared" si="40"/>
        <v/>
      </c>
      <c r="AH636" s="8" t="str" cm="1">
        <f t="array" ref="AH636">IF(OR(J636="",AE636="",AE636="NOT FOUND"),"",IF(Y636="RP",_xlfn.LET(_xlpm.desc,_xlfn.XLOOKUP(1,(--(Sheet1!$F$2:$F$754=AE636))*(--ISNUMBER(FIND("-",Sheet1!$W$2:$W$754,FIND("-",Sheet1!$W$2:$W$754)+1))),Sheet1!$W$2:$W$754,""),IF(_xlpm.desc="","NOT FOUND",LEFT(_xlpm.desc,FIND("-",_xlpm.desc,FIND("-",_xlpm.desc)+1))&amp;AE636)),LEFT(J636,FIND("-",J636,FIND("-",J636)+1))&amp;AE636))</f>
        <v/>
      </c>
    </row>
    <row r="637" spans="1:34" ht="15.75" customHeight="1" x14ac:dyDescent="0.2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 s="6" t="e">
        <f t="shared" si="30"/>
        <v>#VALUE!</v>
      </c>
      <c r="Y637" s="7" t="str">
        <f t="shared" si="31"/>
        <v>DC</v>
      </c>
      <c r="Z637" s="7">
        <f t="shared" si="32"/>
        <v>0</v>
      </c>
      <c r="AA637" s="7">
        <f t="shared" si="33"/>
        <v>0</v>
      </c>
      <c r="AB637" s="7">
        <f t="shared" si="34"/>
        <v>0</v>
      </c>
      <c r="AC637" s="7">
        <f t="shared" si="35"/>
        <v>0</v>
      </c>
      <c r="AD637" s="7">
        <f t="shared" si="36"/>
        <v>0</v>
      </c>
      <c r="AE637" s="8" cm="1">
        <f t="array" ref="AE637">IFERROR(_xlfn.XLOOKUP(H637,Sheet1!$G:$G,Sheet1!$F:$F),IFERROR(_xlfn.XLOOKUP(1,(--($X$2:$X$1074=X637))*(--ISNUMBER(MATCH($H$2:$H$1074,Sheet1!$G:$G,0))),_xlfn.XLOOKUP($H$2:$H$1074,Sheet1!$G:$G,Sheet1!$F:$F,"")),"NOT FOUND"))</f>
        <v>0</v>
      </c>
      <c r="AF637" s="9" t="str">
        <f t="shared" si="39"/>
        <v/>
      </c>
      <c r="AG637" s="10" t="str">
        <f t="shared" si="40"/>
        <v/>
      </c>
      <c r="AH637" s="8" t="str" cm="1">
        <f t="array" ref="AH637">IF(OR(J637="",AE637="",AE637="NOT FOUND"),"",IF(Y637="RP",_xlfn.LET(_xlpm.desc,_xlfn.XLOOKUP(1,(--(Sheet1!$F$2:$F$754=AE637))*(--ISNUMBER(FIND("-",Sheet1!$W$2:$W$754,FIND("-",Sheet1!$W$2:$W$754)+1))),Sheet1!$W$2:$W$754,""),IF(_xlpm.desc="","NOT FOUND",LEFT(_xlpm.desc,FIND("-",_xlpm.desc,FIND("-",_xlpm.desc)+1))&amp;AE637)),LEFT(J637,FIND("-",J637,FIND("-",J637)+1))&amp;AE637))</f>
        <v/>
      </c>
    </row>
    <row r="638" spans="1:34" ht="15.75" customHeight="1" x14ac:dyDescent="0.2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 s="6" t="e">
        <f t="shared" si="30"/>
        <v>#VALUE!</v>
      </c>
      <c r="Y638" s="7" t="str">
        <f t="shared" si="31"/>
        <v>DC</v>
      </c>
      <c r="Z638" s="7">
        <f t="shared" si="32"/>
        <v>0</v>
      </c>
      <c r="AA638" s="7">
        <f t="shared" si="33"/>
        <v>0</v>
      </c>
      <c r="AB638" s="7">
        <f t="shared" si="34"/>
        <v>0</v>
      </c>
      <c r="AC638" s="7">
        <f t="shared" si="35"/>
        <v>0</v>
      </c>
      <c r="AD638" s="7">
        <f t="shared" si="36"/>
        <v>0</v>
      </c>
      <c r="AE638" s="8" cm="1">
        <f t="array" ref="AE638">IFERROR(_xlfn.XLOOKUP(H638,Sheet1!$G:$G,Sheet1!$F:$F),IFERROR(_xlfn.XLOOKUP(1,(--($X$2:$X$1074=X638))*(--ISNUMBER(MATCH($H$2:$H$1074,Sheet1!$G:$G,0))),_xlfn.XLOOKUP($H$2:$H$1074,Sheet1!$G:$G,Sheet1!$F:$F,"")),"NOT FOUND"))</f>
        <v>0</v>
      </c>
      <c r="AF638" s="9" t="str">
        <f t="shared" si="39"/>
        <v/>
      </c>
      <c r="AG638" s="10" t="str">
        <f t="shared" si="40"/>
        <v/>
      </c>
      <c r="AH638" s="8" t="str" cm="1">
        <f t="array" ref="AH638">IF(OR(J638="",AE638="",AE638="NOT FOUND"),"",IF(Y638="RP",_xlfn.LET(_xlpm.desc,_xlfn.XLOOKUP(1,(--(Sheet1!$F$2:$F$754=AE638))*(--ISNUMBER(FIND("-",Sheet1!$W$2:$W$754,FIND("-",Sheet1!$W$2:$W$754)+1))),Sheet1!$W$2:$W$754,""),IF(_xlpm.desc="","NOT FOUND",LEFT(_xlpm.desc,FIND("-",_xlpm.desc,FIND("-",_xlpm.desc)+1))&amp;AE638)),LEFT(J638,FIND("-",J638,FIND("-",J638)+1))&amp;AE638))</f>
        <v/>
      </c>
    </row>
    <row r="639" spans="1:34" ht="15.75" customHeight="1" x14ac:dyDescent="0.2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 s="6" t="e">
        <f t="shared" si="30"/>
        <v>#VALUE!</v>
      </c>
      <c r="Y639" s="7" t="str">
        <f t="shared" si="31"/>
        <v>DC</v>
      </c>
      <c r="Z639" s="7">
        <f t="shared" si="32"/>
        <v>0</v>
      </c>
      <c r="AA639" s="7">
        <f t="shared" si="33"/>
        <v>0</v>
      </c>
      <c r="AB639" s="7">
        <f t="shared" si="34"/>
        <v>0</v>
      </c>
      <c r="AC639" s="7">
        <f t="shared" si="35"/>
        <v>0</v>
      </c>
      <c r="AD639" s="7">
        <f t="shared" si="36"/>
        <v>0</v>
      </c>
      <c r="AE639" s="8" cm="1">
        <f t="array" ref="AE639">IFERROR(_xlfn.XLOOKUP(H639,Sheet1!$G:$G,Sheet1!$F:$F),IFERROR(_xlfn.XLOOKUP(1,(--($X$2:$X$1074=X639))*(--ISNUMBER(MATCH($H$2:$H$1074,Sheet1!$G:$G,0))),_xlfn.XLOOKUP($H$2:$H$1074,Sheet1!$G:$G,Sheet1!$F:$F,"")),"NOT FOUND"))</f>
        <v>0</v>
      </c>
      <c r="AF639" s="9" t="str">
        <f t="shared" si="39"/>
        <v/>
      </c>
      <c r="AG639" s="10" t="str">
        <f t="shared" si="40"/>
        <v/>
      </c>
      <c r="AH639" s="8" t="str" cm="1">
        <f t="array" ref="AH639">IF(OR(J639="",AE639="",AE639="NOT FOUND"),"",IF(Y639="RP",_xlfn.LET(_xlpm.desc,_xlfn.XLOOKUP(1,(--(Sheet1!$F$2:$F$754=AE639))*(--ISNUMBER(FIND("-",Sheet1!$W$2:$W$754,FIND("-",Sheet1!$W$2:$W$754)+1))),Sheet1!$W$2:$W$754,""),IF(_xlpm.desc="","NOT FOUND",LEFT(_xlpm.desc,FIND("-",_xlpm.desc,FIND("-",_xlpm.desc)+1))&amp;AE639)),LEFT(J639,FIND("-",J639,FIND("-",J639)+1))&amp;AE639))</f>
        <v/>
      </c>
    </row>
    <row r="640" spans="1:34" ht="15.75" customHeight="1" x14ac:dyDescent="0.2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 s="6" t="e">
        <f t="shared" si="30"/>
        <v>#VALUE!</v>
      </c>
      <c r="Y640" s="7" t="str">
        <f t="shared" si="31"/>
        <v>DC</v>
      </c>
      <c r="Z640" s="7">
        <f t="shared" si="32"/>
        <v>0</v>
      </c>
      <c r="AA640" s="7">
        <f t="shared" si="33"/>
        <v>0</v>
      </c>
      <c r="AB640" s="7">
        <f t="shared" si="34"/>
        <v>0</v>
      </c>
      <c r="AC640" s="7">
        <f t="shared" si="35"/>
        <v>0</v>
      </c>
      <c r="AD640" s="7">
        <f t="shared" si="36"/>
        <v>0</v>
      </c>
      <c r="AE640" s="8" cm="1">
        <f t="array" ref="AE640">IFERROR(_xlfn.XLOOKUP(H640,Sheet1!$G:$G,Sheet1!$F:$F),IFERROR(_xlfn.XLOOKUP(1,(--($X$2:$X$1074=X640))*(--ISNUMBER(MATCH($H$2:$H$1074,Sheet1!$G:$G,0))),_xlfn.XLOOKUP($H$2:$H$1074,Sheet1!$G:$G,Sheet1!$F:$F,"")),"NOT FOUND"))</f>
        <v>0</v>
      </c>
      <c r="AF640" s="9" t="str">
        <f t="shared" si="39"/>
        <v/>
      </c>
      <c r="AG640" s="10" t="str">
        <f t="shared" si="40"/>
        <v/>
      </c>
      <c r="AH640" s="8" t="str" cm="1">
        <f t="array" ref="AH640">IF(OR(J640="",AE640="",AE640="NOT FOUND"),"",IF(Y640="RP",_xlfn.LET(_xlpm.desc,_xlfn.XLOOKUP(1,(--(Sheet1!$F$2:$F$754=AE640))*(--ISNUMBER(FIND("-",Sheet1!$W$2:$W$754,FIND("-",Sheet1!$W$2:$W$754)+1))),Sheet1!$W$2:$W$754,""),IF(_xlpm.desc="","NOT FOUND",LEFT(_xlpm.desc,FIND("-",_xlpm.desc,FIND("-",_xlpm.desc)+1))&amp;AE640)),LEFT(J640,FIND("-",J640,FIND("-",J640)+1))&amp;AE640))</f>
        <v/>
      </c>
    </row>
    <row r="641" spans="1:34" ht="15.75" customHeight="1" x14ac:dyDescent="0.2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 s="6" t="e">
        <f t="shared" si="30"/>
        <v>#VALUE!</v>
      </c>
      <c r="Y641" s="7" t="str">
        <f t="shared" si="31"/>
        <v>DC</v>
      </c>
      <c r="Z641" s="7">
        <f t="shared" si="32"/>
        <v>0</v>
      </c>
      <c r="AA641" s="7">
        <f t="shared" si="33"/>
        <v>0</v>
      </c>
      <c r="AB641" s="7">
        <f t="shared" si="34"/>
        <v>0</v>
      </c>
      <c r="AC641" s="7">
        <f t="shared" si="35"/>
        <v>0</v>
      </c>
      <c r="AD641" s="7">
        <f t="shared" si="36"/>
        <v>0</v>
      </c>
      <c r="AE641" s="8" cm="1">
        <f t="array" ref="AE641">IFERROR(_xlfn.XLOOKUP(H641,Sheet1!$G:$G,Sheet1!$F:$F),IFERROR(_xlfn.XLOOKUP(1,(--($X$2:$X$1074=X641))*(--ISNUMBER(MATCH($H$2:$H$1074,Sheet1!$G:$G,0))),_xlfn.XLOOKUP($H$2:$H$1074,Sheet1!$G:$G,Sheet1!$F:$F,"")),"NOT FOUND"))</f>
        <v>0</v>
      </c>
      <c r="AF641" s="9" t="str">
        <f t="shared" si="39"/>
        <v/>
      </c>
      <c r="AG641" s="10" t="str">
        <f t="shared" si="40"/>
        <v/>
      </c>
      <c r="AH641" s="8" t="str" cm="1">
        <f t="array" ref="AH641">IF(OR(J641="",AE641="",AE641="NOT FOUND"),"",IF(Y641="RP",_xlfn.LET(_xlpm.desc,_xlfn.XLOOKUP(1,(--(Sheet1!$F$2:$F$754=AE641))*(--ISNUMBER(FIND("-",Sheet1!$W$2:$W$754,FIND("-",Sheet1!$W$2:$W$754)+1))),Sheet1!$W$2:$W$754,""),IF(_xlpm.desc="","NOT FOUND",LEFT(_xlpm.desc,FIND("-",_xlpm.desc,FIND("-",_xlpm.desc)+1))&amp;AE641)),LEFT(J641,FIND("-",J641,FIND("-",J641)+1))&amp;AE641))</f>
        <v/>
      </c>
    </row>
    <row r="642" spans="1:34" ht="15.75" customHeight="1" x14ac:dyDescent="0.2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 s="6" t="e">
        <f t="shared" si="30"/>
        <v>#VALUE!</v>
      </c>
      <c r="Y642" s="7" t="str">
        <f t="shared" si="31"/>
        <v>DC</v>
      </c>
      <c r="Z642" s="7">
        <f t="shared" si="32"/>
        <v>0</v>
      </c>
      <c r="AA642" s="7">
        <f t="shared" si="33"/>
        <v>0</v>
      </c>
      <c r="AB642" s="7">
        <f t="shared" si="34"/>
        <v>0</v>
      </c>
      <c r="AC642" s="7">
        <f t="shared" si="35"/>
        <v>0</v>
      </c>
      <c r="AD642" s="7">
        <f t="shared" si="36"/>
        <v>0</v>
      </c>
      <c r="AE642" s="8" cm="1">
        <f t="array" ref="AE642">IFERROR(_xlfn.XLOOKUP(H642,Sheet1!$G:$G,Sheet1!$F:$F),IFERROR(_xlfn.XLOOKUP(1,(--($X$2:$X$1074=X642))*(--ISNUMBER(MATCH($H$2:$H$1074,Sheet1!$G:$G,0))),_xlfn.XLOOKUP($H$2:$H$1074,Sheet1!$G:$G,Sheet1!$F:$F,"")),"NOT FOUND"))</f>
        <v>0</v>
      </c>
      <c r="AF642" s="9" t="str">
        <f t="shared" si="39"/>
        <v/>
      </c>
      <c r="AG642" s="10" t="str">
        <f t="shared" si="40"/>
        <v/>
      </c>
      <c r="AH642" s="8" t="str" cm="1">
        <f t="array" ref="AH642">IF(OR(J642="",AE642="",AE642="NOT FOUND"),"",IF(Y642="RP",_xlfn.LET(_xlpm.desc,_xlfn.XLOOKUP(1,(--(Sheet1!$F$2:$F$754=AE642))*(--ISNUMBER(FIND("-",Sheet1!$W$2:$W$754,FIND("-",Sheet1!$W$2:$W$754)+1))),Sheet1!$W$2:$W$754,""),IF(_xlpm.desc="","NOT FOUND",LEFT(_xlpm.desc,FIND("-",_xlpm.desc,FIND("-",_xlpm.desc)+1))&amp;AE642)),LEFT(J642,FIND("-",J642,FIND("-",J642)+1))&amp;AE642))</f>
        <v/>
      </c>
    </row>
    <row r="643" spans="1:34" ht="15.75" customHeight="1" x14ac:dyDescent="0.2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 s="6" t="e">
        <f t="shared" si="30"/>
        <v>#VALUE!</v>
      </c>
      <c r="Y643" s="7" t="str">
        <f t="shared" si="31"/>
        <v>DC</v>
      </c>
      <c r="Z643" s="7">
        <f t="shared" si="32"/>
        <v>0</v>
      </c>
      <c r="AA643" s="7">
        <f t="shared" si="33"/>
        <v>0</v>
      </c>
      <c r="AB643" s="7">
        <f t="shared" si="34"/>
        <v>0</v>
      </c>
      <c r="AC643" s="7">
        <f t="shared" si="35"/>
        <v>0</v>
      </c>
      <c r="AD643" s="7">
        <f t="shared" si="36"/>
        <v>0</v>
      </c>
      <c r="AE643" s="8" cm="1">
        <f t="array" ref="AE643">IFERROR(_xlfn.XLOOKUP(H643,Sheet1!$G:$G,Sheet1!$F:$F),IFERROR(_xlfn.XLOOKUP(1,(--($X$2:$X$1074=X643))*(--ISNUMBER(MATCH($H$2:$H$1074,Sheet1!$G:$G,0))),_xlfn.XLOOKUP($H$2:$H$1074,Sheet1!$G:$G,Sheet1!$F:$F,"")),"NOT FOUND"))</f>
        <v>0</v>
      </c>
      <c r="AF643" s="9" t="str">
        <f t="shared" ref="AF643:AF706" si="41">IFERROR(IF(ISNUMBER(SEARCH("(RP)",J643)),TRIM(SUBSTITUTE(MID(J643,10,LEN(J643)),"(RP)","")),TRIM(MID(J643,FIND(",",J643)+1,FIND(",",J643,FIND(",",J643)+1)-FIND(",",J643)-1))),"")</f>
        <v/>
      </c>
      <c r="AG643" s="10" t="str">
        <f t="shared" ref="AG643:AG706" si="42">IF(A643="SZAF","Bangalore",IF(A643="SAEX","JHAJJAR",IF(A643="S0EU","HARIPAL","")))</f>
        <v/>
      </c>
      <c r="AH643" s="8" t="str" cm="1">
        <f t="array" ref="AH643">IF(OR(J643="",AE643="",AE643="NOT FOUND"),"",IF(Y643="RP",_xlfn.LET(_xlpm.desc,_xlfn.XLOOKUP(1,(--(Sheet1!$F$2:$F$754=AE643))*(--ISNUMBER(FIND("-",Sheet1!$W$2:$W$754,FIND("-",Sheet1!$W$2:$W$754)+1))),Sheet1!$W$2:$W$754,""),IF(_xlpm.desc="","NOT FOUND",LEFT(_xlpm.desc,FIND("-",_xlpm.desc,FIND("-",_xlpm.desc)+1))&amp;AE643)),LEFT(J643,FIND("-",J643,FIND("-",J643)+1))&amp;AE643))</f>
        <v/>
      </c>
    </row>
    <row r="644" spans="1:34" ht="15.75" customHeight="1" x14ac:dyDescent="0.2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 s="6" t="e">
        <f t="shared" si="30"/>
        <v>#VALUE!</v>
      </c>
      <c r="Y644" s="7" t="str">
        <f t="shared" si="31"/>
        <v>DC</v>
      </c>
      <c r="Z644" s="7">
        <f t="shared" si="32"/>
        <v>0</v>
      </c>
      <c r="AA644" s="7">
        <f t="shared" si="33"/>
        <v>0</v>
      </c>
      <c r="AB644" s="7">
        <f t="shared" si="34"/>
        <v>0</v>
      </c>
      <c r="AC644" s="7">
        <f t="shared" si="35"/>
        <v>0</v>
      </c>
      <c r="AD644" s="7">
        <f t="shared" si="36"/>
        <v>0</v>
      </c>
      <c r="AE644" s="8" cm="1">
        <f t="array" ref="AE644">IFERROR(_xlfn.XLOOKUP(H644,Sheet1!$G:$G,Sheet1!$F:$F),IFERROR(_xlfn.XLOOKUP(1,(--($X$2:$X$1074=X644))*(--ISNUMBER(MATCH($H$2:$H$1074,Sheet1!$G:$G,0))),_xlfn.XLOOKUP($H$2:$H$1074,Sheet1!$G:$G,Sheet1!$F:$F,"")),"NOT FOUND"))</f>
        <v>0</v>
      </c>
      <c r="AF644" s="9" t="str">
        <f t="shared" si="41"/>
        <v/>
      </c>
      <c r="AG644" s="10" t="str">
        <f t="shared" si="42"/>
        <v/>
      </c>
      <c r="AH644" s="8" t="str" cm="1">
        <f t="array" ref="AH644">IF(OR(J644="",AE644="",AE644="NOT FOUND"),"",IF(Y644="RP",_xlfn.LET(_xlpm.desc,_xlfn.XLOOKUP(1,(--(Sheet1!$F$2:$F$754=AE644))*(--ISNUMBER(FIND("-",Sheet1!$W$2:$W$754,FIND("-",Sheet1!$W$2:$W$754)+1))),Sheet1!$W$2:$W$754,""),IF(_xlpm.desc="","NOT FOUND",LEFT(_xlpm.desc,FIND("-",_xlpm.desc,FIND("-",_xlpm.desc)+1))&amp;AE644)),LEFT(J644,FIND("-",J644,FIND("-",J644)+1))&amp;AE644))</f>
        <v/>
      </c>
    </row>
    <row r="645" spans="1:34" ht="15.75" customHeight="1" x14ac:dyDescent="0.2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 s="6" t="e">
        <f t="shared" si="30"/>
        <v>#VALUE!</v>
      </c>
      <c r="Y645" s="7" t="str">
        <f t="shared" si="31"/>
        <v>DC</v>
      </c>
      <c r="Z645" s="7">
        <f t="shared" si="32"/>
        <v>0</v>
      </c>
      <c r="AA645" s="7">
        <f t="shared" si="33"/>
        <v>0</v>
      </c>
      <c r="AB645" s="7">
        <f t="shared" si="34"/>
        <v>0</v>
      </c>
      <c r="AC645" s="7">
        <f t="shared" si="35"/>
        <v>0</v>
      </c>
      <c r="AD645" s="7">
        <f t="shared" si="36"/>
        <v>0</v>
      </c>
      <c r="AE645" s="8" cm="1">
        <f t="array" ref="AE645">IFERROR(_xlfn.XLOOKUP(H645,Sheet1!$G:$G,Sheet1!$F:$F),IFERROR(_xlfn.XLOOKUP(1,(--($X$2:$X$1074=X645))*(--ISNUMBER(MATCH($H$2:$H$1074,Sheet1!$G:$G,0))),_xlfn.XLOOKUP($H$2:$H$1074,Sheet1!$G:$G,Sheet1!$F:$F,"")),"NOT FOUND"))</f>
        <v>0</v>
      </c>
      <c r="AF645" s="9" t="str">
        <f t="shared" si="41"/>
        <v/>
      </c>
      <c r="AG645" s="10" t="str">
        <f t="shared" si="42"/>
        <v/>
      </c>
      <c r="AH645" s="8" t="str" cm="1">
        <f t="array" ref="AH645">IF(OR(J645="",AE645="",AE645="NOT FOUND"),"",IF(Y645="RP",_xlfn.LET(_xlpm.desc,_xlfn.XLOOKUP(1,(--(Sheet1!$F$2:$F$754=AE645))*(--ISNUMBER(FIND("-",Sheet1!$W$2:$W$754,FIND("-",Sheet1!$W$2:$W$754)+1))),Sheet1!$W$2:$W$754,""),IF(_xlpm.desc="","NOT FOUND",LEFT(_xlpm.desc,FIND("-",_xlpm.desc,FIND("-",_xlpm.desc)+1))&amp;AE645)),LEFT(J645,FIND("-",J645,FIND("-",J645)+1))&amp;AE645))</f>
        <v/>
      </c>
    </row>
    <row r="646" spans="1:34" ht="15.75" customHeight="1" x14ac:dyDescent="0.2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 s="6" t="e">
        <f t="shared" si="30"/>
        <v>#VALUE!</v>
      </c>
      <c r="Y646" s="7" t="str">
        <f t="shared" si="31"/>
        <v>DC</v>
      </c>
      <c r="Z646" s="7">
        <f t="shared" si="32"/>
        <v>0</v>
      </c>
      <c r="AA646" s="7">
        <f t="shared" si="33"/>
        <v>0</v>
      </c>
      <c r="AB646" s="7">
        <f t="shared" si="34"/>
        <v>0</v>
      </c>
      <c r="AC646" s="7">
        <f t="shared" si="35"/>
        <v>0</v>
      </c>
      <c r="AD646" s="7">
        <f t="shared" si="36"/>
        <v>0</v>
      </c>
      <c r="AE646" s="8" cm="1">
        <f t="array" ref="AE646">IFERROR(_xlfn.XLOOKUP(H646,Sheet1!$G:$G,Sheet1!$F:$F),IFERROR(_xlfn.XLOOKUP(1,(--($X$2:$X$1074=X646))*(--ISNUMBER(MATCH($H$2:$H$1074,Sheet1!$G:$G,0))),_xlfn.XLOOKUP($H$2:$H$1074,Sheet1!$G:$G,Sheet1!$F:$F,"")),"NOT FOUND"))</f>
        <v>0</v>
      </c>
      <c r="AF646" s="9" t="str">
        <f t="shared" si="41"/>
        <v/>
      </c>
      <c r="AG646" s="10" t="str">
        <f t="shared" si="42"/>
        <v/>
      </c>
      <c r="AH646" s="8" t="str" cm="1">
        <f t="array" ref="AH646">IF(OR(J646="",AE646="",AE646="NOT FOUND"),"",IF(Y646="RP",_xlfn.LET(_xlpm.desc,_xlfn.XLOOKUP(1,(--(Sheet1!$F$2:$F$754=AE646))*(--ISNUMBER(FIND("-",Sheet1!$W$2:$W$754,FIND("-",Sheet1!$W$2:$W$754)+1))),Sheet1!$W$2:$W$754,""),IF(_xlpm.desc="","NOT FOUND",LEFT(_xlpm.desc,FIND("-",_xlpm.desc,FIND("-",_xlpm.desc)+1))&amp;AE646)),LEFT(J646,FIND("-",J646,FIND("-",J646)+1))&amp;AE646))</f>
        <v/>
      </c>
    </row>
    <row r="647" spans="1:34" ht="15.75" customHeight="1" x14ac:dyDescent="0.2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 s="6" t="e">
        <f t="shared" si="30"/>
        <v>#VALUE!</v>
      </c>
      <c r="Y647" s="7" t="str">
        <f t="shared" si="31"/>
        <v>DC</v>
      </c>
      <c r="Z647" s="7">
        <f t="shared" si="32"/>
        <v>0</v>
      </c>
      <c r="AA647" s="7">
        <f t="shared" si="33"/>
        <v>0</v>
      </c>
      <c r="AB647" s="7">
        <f t="shared" si="34"/>
        <v>0</v>
      </c>
      <c r="AC647" s="7">
        <f t="shared" si="35"/>
        <v>0</v>
      </c>
      <c r="AD647" s="7">
        <f t="shared" si="36"/>
        <v>0</v>
      </c>
      <c r="AE647" s="8" cm="1">
        <f t="array" ref="AE647">IFERROR(_xlfn.XLOOKUP(H647,Sheet1!$G:$G,Sheet1!$F:$F),IFERROR(_xlfn.XLOOKUP(1,(--($X$2:$X$1074=X647))*(--ISNUMBER(MATCH($H$2:$H$1074,Sheet1!$G:$G,0))),_xlfn.XLOOKUP($H$2:$H$1074,Sheet1!$G:$G,Sheet1!$F:$F,"")),"NOT FOUND"))</f>
        <v>0</v>
      </c>
      <c r="AF647" s="9" t="str">
        <f t="shared" si="41"/>
        <v/>
      </c>
      <c r="AG647" s="10" t="str">
        <f t="shared" si="42"/>
        <v/>
      </c>
      <c r="AH647" s="8" t="str" cm="1">
        <f t="array" ref="AH647">IF(OR(J647="",AE647="",AE647="NOT FOUND"),"",IF(Y647="RP",_xlfn.LET(_xlpm.desc,_xlfn.XLOOKUP(1,(--(Sheet1!$F$2:$F$754=AE647))*(--ISNUMBER(FIND("-",Sheet1!$W$2:$W$754,FIND("-",Sheet1!$W$2:$W$754)+1))),Sheet1!$W$2:$W$754,""),IF(_xlpm.desc="","NOT FOUND",LEFT(_xlpm.desc,FIND("-",_xlpm.desc,FIND("-",_xlpm.desc)+1))&amp;AE647)),LEFT(J647,FIND("-",J647,FIND("-",J647)+1))&amp;AE647))</f>
        <v/>
      </c>
    </row>
    <row r="648" spans="1:34" ht="15.75" customHeight="1" x14ac:dyDescent="0.2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 s="6" t="e">
        <f t="shared" si="30"/>
        <v>#VALUE!</v>
      </c>
      <c r="Y648" s="7" t="str">
        <f t="shared" si="31"/>
        <v>DC</v>
      </c>
      <c r="Z648" s="7">
        <f t="shared" si="32"/>
        <v>0</v>
      </c>
      <c r="AA648" s="7">
        <f t="shared" si="33"/>
        <v>0</v>
      </c>
      <c r="AB648" s="7">
        <f t="shared" si="34"/>
        <v>0</v>
      </c>
      <c r="AC648" s="7">
        <f t="shared" si="35"/>
        <v>0</v>
      </c>
      <c r="AD648" s="7">
        <f t="shared" si="36"/>
        <v>0</v>
      </c>
      <c r="AE648" s="8" cm="1">
        <f t="array" ref="AE648">IFERROR(_xlfn.XLOOKUP(H648,Sheet1!$G:$G,Sheet1!$F:$F),IFERROR(_xlfn.XLOOKUP(1,(--($X$2:$X$1074=X648))*(--ISNUMBER(MATCH($H$2:$H$1074,Sheet1!$G:$G,0))),_xlfn.XLOOKUP($H$2:$H$1074,Sheet1!$G:$G,Sheet1!$F:$F,"")),"NOT FOUND"))</f>
        <v>0</v>
      </c>
      <c r="AF648" s="9" t="str">
        <f t="shared" si="41"/>
        <v/>
      </c>
      <c r="AG648" s="10" t="str">
        <f t="shared" si="42"/>
        <v/>
      </c>
      <c r="AH648" s="8" t="str" cm="1">
        <f t="array" ref="AH648">IF(OR(J648="",AE648="",AE648="NOT FOUND"),"",IF(Y648="RP",_xlfn.LET(_xlpm.desc,_xlfn.XLOOKUP(1,(--(Sheet1!$F$2:$F$754=AE648))*(--ISNUMBER(FIND("-",Sheet1!$W$2:$W$754,FIND("-",Sheet1!$W$2:$W$754)+1))),Sheet1!$W$2:$W$754,""),IF(_xlpm.desc="","NOT FOUND",LEFT(_xlpm.desc,FIND("-",_xlpm.desc,FIND("-",_xlpm.desc)+1))&amp;AE648)),LEFT(J648,FIND("-",J648,FIND("-",J648)+1))&amp;AE648))</f>
        <v/>
      </c>
    </row>
    <row r="649" spans="1:34" ht="15.75" customHeight="1" x14ac:dyDescent="0.2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 s="6" t="e">
        <f t="shared" si="30"/>
        <v>#VALUE!</v>
      </c>
      <c r="Y649" s="7" t="str">
        <f t="shared" si="31"/>
        <v>DC</v>
      </c>
      <c r="Z649" s="7">
        <f t="shared" si="32"/>
        <v>0</v>
      </c>
      <c r="AA649" s="7">
        <f t="shared" si="33"/>
        <v>0</v>
      </c>
      <c r="AB649" s="7">
        <f t="shared" si="34"/>
        <v>0</v>
      </c>
      <c r="AC649" s="7">
        <f t="shared" si="35"/>
        <v>0</v>
      </c>
      <c r="AD649" s="7">
        <f t="shared" si="36"/>
        <v>0</v>
      </c>
      <c r="AE649" s="8" cm="1">
        <f t="array" ref="AE649">IFERROR(_xlfn.XLOOKUP(H649,Sheet1!$G:$G,Sheet1!$F:$F),IFERROR(_xlfn.XLOOKUP(1,(--($X$2:$X$1074=X649))*(--ISNUMBER(MATCH($H$2:$H$1074,Sheet1!$G:$G,0))),_xlfn.XLOOKUP($H$2:$H$1074,Sheet1!$G:$G,Sheet1!$F:$F,"")),"NOT FOUND"))</f>
        <v>0</v>
      </c>
      <c r="AF649" s="9" t="str">
        <f t="shared" si="41"/>
        <v/>
      </c>
      <c r="AG649" s="10" t="str">
        <f t="shared" si="42"/>
        <v/>
      </c>
      <c r="AH649" s="8" t="str" cm="1">
        <f t="array" ref="AH649">IF(OR(J649="",AE649="",AE649="NOT FOUND"),"",IF(Y649="RP",_xlfn.LET(_xlpm.desc,_xlfn.XLOOKUP(1,(--(Sheet1!$F$2:$F$754=AE649))*(--ISNUMBER(FIND("-",Sheet1!$W$2:$W$754,FIND("-",Sheet1!$W$2:$W$754)+1))),Sheet1!$W$2:$W$754,""),IF(_xlpm.desc="","NOT FOUND",LEFT(_xlpm.desc,FIND("-",_xlpm.desc,FIND("-",_xlpm.desc)+1))&amp;AE649)),LEFT(J649,FIND("-",J649,FIND("-",J649)+1))&amp;AE649))</f>
        <v/>
      </c>
    </row>
    <row r="650" spans="1:34" ht="15.75" customHeight="1" x14ac:dyDescent="0.2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 s="6" t="e">
        <f t="shared" si="30"/>
        <v>#VALUE!</v>
      </c>
      <c r="Y650" s="7" t="str">
        <f t="shared" si="31"/>
        <v>DC</v>
      </c>
      <c r="Z650" s="7">
        <f t="shared" si="32"/>
        <v>0</v>
      </c>
      <c r="AA650" s="7">
        <f t="shared" si="33"/>
        <v>0</v>
      </c>
      <c r="AB650" s="7">
        <f t="shared" si="34"/>
        <v>0</v>
      </c>
      <c r="AC650" s="7">
        <f t="shared" si="35"/>
        <v>0</v>
      </c>
      <c r="AD650" s="7">
        <f t="shared" si="36"/>
        <v>0</v>
      </c>
      <c r="AE650" s="8" cm="1">
        <f t="array" ref="AE650">IFERROR(_xlfn.XLOOKUP(H650,Sheet1!$G:$G,Sheet1!$F:$F),IFERROR(_xlfn.XLOOKUP(1,(--($X$2:$X$1074=X650))*(--ISNUMBER(MATCH($H$2:$H$1074,Sheet1!$G:$G,0))),_xlfn.XLOOKUP($H$2:$H$1074,Sheet1!$G:$G,Sheet1!$F:$F,"")),"NOT FOUND"))</f>
        <v>0</v>
      </c>
      <c r="AF650" s="9" t="str">
        <f t="shared" si="41"/>
        <v/>
      </c>
      <c r="AG650" s="10" t="str">
        <f t="shared" si="42"/>
        <v/>
      </c>
      <c r="AH650" s="8" t="str" cm="1">
        <f t="array" ref="AH650">IF(OR(J650="",AE650="",AE650="NOT FOUND"),"",IF(Y650="RP",_xlfn.LET(_xlpm.desc,_xlfn.XLOOKUP(1,(--(Sheet1!$F$2:$F$754=AE650))*(--ISNUMBER(FIND("-",Sheet1!$W$2:$W$754,FIND("-",Sheet1!$W$2:$W$754)+1))),Sheet1!$W$2:$W$754,""),IF(_xlpm.desc="","NOT FOUND",LEFT(_xlpm.desc,FIND("-",_xlpm.desc,FIND("-",_xlpm.desc)+1))&amp;AE650)),LEFT(J650,FIND("-",J650,FIND("-",J650)+1))&amp;AE650))</f>
        <v/>
      </c>
    </row>
    <row r="651" spans="1:34" ht="15.75" customHeight="1" x14ac:dyDescent="0.2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 s="6" t="e">
        <f t="shared" si="30"/>
        <v>#VALUE!</v>
      </c>
      <c r="Y651" s="7" t="str">
        <f t="shared" si="31"/>
        <v>DC</v>
      </c>
      <c r="Z651" s="7">
        <f t="shared" si="32"/>
        <v>0</v>
      </c>
      <c r="AA651" s="7">
        <f t="shared" si="33"/>
        <v>0</v>
      </c>
      <c r="AB651" s="7">
        <f t="shared" si="34"/>
        <v>0</v>
      </c>
      <c r="AC651" s="7">
        <f t="shared" si="35"/>
        <v>0</v>
      </c>
      <c r="AD651" s="7">
        <f t="shared" si="36"/>
        <v>0</v>
      </c>
      <c r="AE651" s="8" cm="1">
        <f t="array" ref="AE651">IFERROR(_xlfn.XLOOKUP(H651,Sheet1!$G:$G,Sheet1!$F:$F),IFERROR(_xlfn.XLOOKUP(1,(--($X$2:$X$1074=X651))*(--ISNUMBER(MATCH($H$2:$H$1074,Sheet1!$G:$G,0))),_xlfn.XLOOKUP($H$2:$H$1074,Sheet1!$G:$G,Sheet1!$F:$F,"")),"NOT FOUND"))</f>
        <v>0</v>
      </c>
      <c r="AF651" s="9" t="str">
        <f t="shared" si="41"/>
        <v/>
      </c>
      <c r="AG651" s="10" t="str">
        <f t="shared" si="42"/>
        <v/>
      </c>
      <c r="AH651" s="8" t="str" cm="1">
        <f t="array" ref="AH651">IF(OR(J651="",AE651="",AE651="NOT FOUND"),"",IF(Y651="RP",_xlfn.LET(_xlpm.desc,_xlfn.XLOOKUP(1,(--(Sheet1!$F$2:$F$754=AE651))*(--ISNUMBER(FIND("-",Sheet1!$W$2:$W$754,FIND("-",Sheet1!$W$2:$W$754)+1))),Sheet1!$W$2:$W$754,""),IF(_xlpm.desc="","NOT FOUND",LEFT(_xlpm.desc,FIND("-",_xlpm.desc,FIND("-",_xlpm.desc)+1))&amp;AE651)),LEFT(J651,FIND("-",J651,FIND("-",J651)+1))&amp;AE651))</f>
        <v/>
      </c>
    </row>
    <row r="652" spans="1:34" ht="15.75" customHeight="1" x14ac:dyDescent="0.2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 s="6" t="e">
        <f t="shared" si="30"/>
        <v>#VALUE!</v>
      </c>
      <c r="Y652" s="7" t="str">
        <f t="shared" si="31"/>
        <v>DC</v>
      </c>
      <c r="Z652" s="7">
        <f t="shared" si="32"/>
        <v>0</v>
      </c>
      <c r="AA652" s="7">
        <f t="shared" si="33"/>
        <v>0</v>
      </c>
      <c r="AB652" s="7">
        <f t="shared" si="34"/>
        <v>0</v>
      </c>
      <c r="AC652" s="7">
        <f t="shared" si="35"/>
        <v>0</v>
      </c>
      <c r="AD652" s="7">
        <f t="shared" si="36"/>
        <v>0</v>
      </c>
      <c r="AE652" s="8" cm="1">
        <f t="array" ref="AE652">IFERROR(_xlfn.XLOOKUP(H652,Sheet1!$G:$G,Sheet1!$F:$F),IFERROR(_xlfn.XLOOKUP(1,(--($X$2:$X$1074=X652))*(--ISNUMBER(MATCH($H$2:$H$1074,Sheet1!$G:$G,0))),_xlfn.XLOOKUP($H$2:$H$1074,Sheet1!$G:$G,Sheet1!$F:$F,"")),"NOT FOUND"))</f>
        <v>0</v>
      </c>
      <c r="AF652" s="9" t="str">
        <f t="shared" si="41"/>
        <v/>
      </c>
      <c r="AG652" s="10" t="str">
        <f t="shared" si="42"/>
        <v/>
      </c>
      <c r="AH652" s="8" t="str" cm="1">
        <f t="array" ref="AH652">IF(OR(J652="",AE652="",AE652="NOT FOUND"),"",IF(Y652="RP",_xlfn.LET(_xlpm.desc,_xlfn.XLOOKUP(1,(--(Sheet1!$F$2:$F$754=AE652))*(--ISNUMBER(FIND("-",Sheet1!$W$2:$W$754,FIND("-",Sheet1!$W$2:$W$754)+1))),Sheet1!$W$2:$W$754,""),IF(_xlpm.desc="","NOT FOUND",LEFT(_xlpm.desc,FIND("-",_xlpm.desc,FIND("-",_xlpm.desc)+1))&amp;AE652)),LEFT(J652,FIND("-",J652,FIND("-",J652)+1))&amp;AE652))</f>
        <v/>
      </c>
    </row>
    <row r="653" spans="1:34" ht="15.75" customHeight="1" x14ac:dyDescent="0.2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 s="6" t="e">
        <f t="shared" si="30"/>
        <v>#VALUE!</v>
      </c>
      <c r="Y653" s="7" t="str">
        <f t="shared" si="31"/>
        <v>DC</v>
      </c>
      <c r="Z653" s="7">
        <f t="shared" si="32"/>
        <v>0</v>
      </c>
      <c r="AA653" s="7">
        <f t="shared" si="33"/>
        <v>0</v>
      </c>
      <c r="AB653" s="7">
        <f t="shared" si="34"/>
        <v>0</v>
      </c>
      <c r="AC653" s="7">
        <f t="shared" si="35"/>
        <v>0</v>
      </c>
      <c r="AD653" s="7">
        <f t="shared" si="36"/>
        <v>0</v>
      </c>
      <c r="AE653" s="8" cm="1">
        <f t="array" ref="AE653">IFERROR(_xlfn.XLOOKUP(H653,Sheet1!$G:$G,Sheet1!$F:$F),IFERROR(_xlfn.XLOOKUP(1,(--($X$2:$X$1074=X653))*(--ISNUMBER(MATCH($H$2:$H$1074,Sheet1!$G:$G,0))),_xlfn.XLOOKUP($H$2:$H$1074,Sheet1!$G:$G,Sheet1!$F:$F,"")),"NOT FOUND"))</f>
        <v>0</v>
      </c>
      <c r="AF653" s="9" t="str">
        <f t="shared" si="41"/>
        <v/>
      </c>
      <c r="AG653" s="10" t="str">
        <f t="shared" si="42"/>
        <v/>
      </c>
      <c r="AH653" s="8" t="str" cm="1">
        <f t="array" ref="AH653">IF(OR(J653="",AE653="",AE653="NOT FOUND"),"",IF(Y653="RP",_xlfn.LET(_xlpm.desc,_xlfn.XLOOKUP(1,(--(Sheet1!$F$2:$F$754=AE653))*(--ISNUMBER(FIND("-",Sheet1!$W$2:$W$754,FIND("-",Sheet1!$W$2:$W$754)+1))),Sheet1!$W$2:$W$754,""),IF(_xlpm.desc="","NOT FOUND",LEFT(_xlpm.desc,FIND("-",_xlpm.desc,FIND("-",_xlpm.desc)+1))&amp;AE653)),LEFT(J653,FIND("-",J653,FIND("-",J653)+1))&amp;AE653))</f>
        <v/>
      </c>
    </row>
    <row r="654" spans="1:34" ht="15.75" customHeight="1" x14ac:dyDescent="0.2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 s="6" t="e">
        <f t="shared" si="30"/>
        <v>#VALUE!</v>
      </c>
      <c r="Y654" s="7" t="str">
        <f t="shared" si="31"/>
        <v>DC</v>
      </c>
      <c r="Z654" s="7">
        <f t="shared" si="32"/>
        <v>0</v>
      </c>
      <c r="AA654" s="7">
        <f t="shared" si="33"/>
        <v>0</v>
      </c>
      <c r="AB654" s="7">
        <f t="shared" si="34"/>
        <v>0</v>
      </c>
      <c r="AC654" s="7">
        <f t="shared" si="35"/>
        <v>0</v>
      </c>
      <c r="AD654" s="7">
        <f t="shared" si="36"/>
        <v>0</v>
      </c>
      <c r="AE654" s="8" cm="1">
        <f t="array" ref="AE654">IFERROR(_xlfn.XLOOKUP(H654,Sheet1!$G:$G,Sheet1!$F:$F),IFERROR(_xlfn.XLOOKUP(1,(--($X$2:$X$1074=X654))*(--ISNUMBER(MATCH($H$2:$H$1074,Sheet1!$G:$G,0))),_xlfn.XLOOKUP($H$2:$H$1074,Sheet1!$G:$G,Sheet1!$F:$F,"")),"NOT FOUND"))</f>
        <v>0</v>
      </c>
      <c r="AF654" s="9" t="str">
        <f t="shared" si="41"/>
        <v/>
      </c>
      <c r="AG654" s="10" t="str">
        <f t="shared" si="42"/>
        <v/>
      </c>
      <c r="AH654" s="8" t="str" cm="1">
        <f t="array" ref="AH654">IF(OR(J654="",AE654="",AE654="NOT FOUND"),"",IF(Y654="RP",_xlfn.LET(_xlpm.desc,_xlfn.XLOOKUP(1,(--(Sheet1!$F$2:$F$754=AE654))*(--ISNUMBER(FIND("-",Sheet1!$W$2:$W$754,FIND("-",Sheet1!$W$2:$W$754)+1))),Sheet1!$W$2:$W$754,""),IF(_xlpm.desc="","NOT FOUND",LEFT(_xlpm.desc,FIND("-",_xlpm.desc,FIND("-",_xlpm.desc)+1))&amp;AE654)),LEFT(J654,FIND("-",J654,FIND("-",J654)+1))&amp;AE654))</f>
        <v/>
      </c>
    </row>
    <row r="655" spans="1:34" ht="15.75" customHeight="1" x14ac:dyDescent="0.2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 s="6" t="e">
        <f t="shared" si="30"/>
        <v>#VALUE!</v>
      </c>
      <c r="Y655" s="7" t="str">
        <f t="shared" si="31"/>
        <v>DC</v>
      </c>
      <c r="Z655" s="7">
        <f t="shared" si="32"/>
        <v>0</v>
      </c>
      <c r="AA655" s="7">
        <f t="shared" si="33"/>
        <v>0</v>
      </c>
      <c r="AB655" s="7">
        <f t="shared" si="34"/>
        <v>0</v>
      </c>
      <c r="AC655" s="7">
        <f t="shared" si="35"/>
        <v>0</v>
      </c>
      <c r="AD655" s="7">
        <f t="shared" si="36"/>
        <v>0</v>
      </c>
      <c r="AE655" s="8" cm="1">
        <f t="array" ref="AE655">IFERROR(_xlfn.XLOOKUP(H655,Sheet1!$G:$G,Sheet1!$F:$F),IFERROR(_xlfn.XLOOKUP(1,(--($X$2:$X$1074=X655))*(--ISNUMBER(MATCH($H$2:$H$1074,Sheet1!$G:$G,0))),_xlfn.XLOOKUP($H$2:$H$1074,Sheet1!$G:$G,Sheet1!$F:$F,"")),"NOT FOUND"))</f>
        <v>0</v>
      </c>
      <c r="AF655" s="9" t="str">
        <f t="shared" si="41"/>
        <v/>
      </c>
      <c r="AG655" s="10" t="str">
        <f t="shared" si="42"/>
        <v/>
      </c>
      <c r="AH655" s="8" t="str" cm="1">
        <f t="array" ref="AH655">IF(OR(J655="",AE655="",AE655="NOT FOUND"),"",IF(Y655="RP",_xlfn.LET(_xlpm.desc,_xlfn.XLOOKUP(1,(--(Sheet1!$F$2:$F$754=AE655))*(--ISNUMBER(FIND("-",Sheet1!$W$2:$W$754,FIND("-",Sheet1!$W$2:$W$754)+1))),Sheet1!$W$2:$W$754,""),IF(_xlpm.desc="","NOT FOUND",LEFT(_xlpm.desc,FIND("-",_xlpm.desc,FIND("-",_xlpm.desc)+1))&amp;AE655)),LEFT(J655,FIND("-",J655,FIND("-",J655)+1))&amp;AE655))</f>
        <v/>
      </c>
    </row>
    <row r="656" spans="1:34" ht="15.75" customHeight="1" x14ac:dyDescent="0.2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 s="6" t="e">
        <f t="shared" si="30"/>
        <v>#VALUE!</v>
      </c>
      <c r="Y656" s="7" t="str">
        <f t="shared" si="31"/>
        <v>DC</v>
      </c>
      <c r="Z656" s="7">
        <f t="shared" si="32"/>
        <v>0</v>
      </c>
      <c r="AA656" s="7">
        <f t="shared" si="33"/>
        <v>0</v>
      </c>
      <c r="AB656" s="7">
        <f t="shared" si="34"/>
        <v>0</v>
      </c>
      <c r="AC656" s="7">
        <f t="shared" si="35"/>
        <v>0</v>
      </c>
      <c r="AD656" s="7">
        <f t="shared" si="36"/>
        <v>0</v>
      </c>
      <c r="AE656" s="8" cm="1">
        <f t="array" ref="AE656">IFERROR(_xlfn.XLOOKUP(H656,Sheet1!$G:$G,Sheet1!$F:$F),IFERROR(_xlfn.XLOOKUP(1,(--($X$2:$X$1074=X656))*(--ISNUMBER(MATCH($H$2:$H$1074,Sheet1!$G:$G,0))),_xlfn.XLOOKUP($H$2:$H$1074,Sheet1!$G:$G,Sheet1!$F:$F,"")),"NOT FOUND"))</f>
        <v>0</v>
      </c>
      <c r="AF656" s="9" t="str">
        <f t="shared" si="41"/>
        <v/>
      </c>
      <c r="AG656" s="10" t="str">
        <f t="shared" si="42"/>
        <v/>
      </c>
      <c r="AH656" s="8" t="str" cm="1">
        <f t="array" ref="AH656">IF(OR(J656="",AE656="",AE656="NOT FOUND"),"",IF(Y656="RP",_xlfn.LET(_xlpm.desc,_xlfn.XLOOKUP(1,(--(Sheet1!$F$2:$F$754=AE656))*(--ISNUMBER(FIND("-",Sheet1!$W$2:$W$754,FIND("-",Sheet1!$W$2:$W$754)+1))),Sheet1!$W$2:$W$754,""),IF(_xlpm.desc="","NOT FOUND",LEFT(_xlpm.desc,FIND("-",_xlpm.desc,FIND("-",_xlpm.desc)+1))&amp;AE656)),LEFT(J656,FIND("-",J656,FIND("-",J656)+1))&amp;AE656))</f>
        <v/>
      </c>
    </row>
    <row r="657" spans="1:34" ht="15.75" customHeight="1" x14ac:dyDescent="0.2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 s="6" t="e">
        <f t="shared" si="30"/>
        <v>#VALUE!</v>
      </c>
      <c r="Y657" s="7" t="str">
        <f t="shared" si="31"/>
        <v>DC</v>
      </c>
      <c r="Z657" s="7">
        <f t="shared" si="32"/>
        <v>0</v>
      </c>
      <c r="AA657" s="7">
        <f t="shared" si="33"/>
        <v>0</v>
      </c>
      <c r="AB657" s="7">
        <f t="shared" si="34"/>
        <v>0</v>
      </c>
      <c r="AC657" s="7">
        <f t="shared" si="35"/>
        <v>0</v>
      </c>
      <c r="AD657" s="7">
        <f t="shared" si="36"/>
        <v>0</v>
      </c>
      <c r="AE657" s="8" cm="1">
        <f t="array" ref="AE657">IFERROR(_xlfn.XLOOKUP(H657,Sheet1!$G:$G,Sheet1!$F:$F),IFERROR(_xlfn.XLOOKUP(1,(--($X$2:$X$1074=X657))*(--ISNUMBER(MATCH($H$2:$H$1074,Sheet1!$G:$G,0))),_xlfn.XLOOKUP($H$2:$H$1074,Sheet1!$G:$G,Sheet1!$F:$F,"")),"NOT FOUND"))</f>
        <v>0</v>
      </c>
      <c r="AF657" s="9" t="str">
        <f t="shared" si="41"/>
        <v/>
      </c>
      <c r="AG657" s="10" t="str">
        <f t="shared" si="42"/>
        <v/>
      </c>
      <c r="AH657" s="8" t="str" cm="1">
        <f t="array" ref="AH657">IF(OR(J657="",AE657="",AE657="NOT FOUND"),"",IF(Y657="RP",_xlfn.LET(_xlpm.desc,_xlfn.XLOOKUP(1,(--(Sheet1!$F$2:$F$754=AE657))*(--ISNUMBER(FIND("-",Sheet1!$W$2:$W$754,FIND("-",Sheet1!$W$2:$W$754)+1))),Sheet1!$W$2:$W$754,""),IF(_xlpm.desc="","NOT FOUND",LEFT(_xlpm.desc,FIND("-",_xlpm.desc,FIND("-",_xlpm.desc)+1))&amp;AE657)),LEFT(J657,FIND("-",J657,FIND("-",J657)+1))&amp;AE657))</f>
        <v/>
      </c>
    </row>
    <row r="658" spans="1:34" ht="15.75" customHeight="1" x14ac:dyDescent="0.2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 s="6" t="e">
        <f t="shared" si="30"/>
        <v>#VALUE!</v>
      </c>
      <c r="Y658" s="7" t="str">
        <f t="shared" si="31"/>
        <v>DC</v>
      </c>
      <c r="Z658" s="7">
        <f t="shared" si="32"/>
        <v>0</v>
      </c>
      <c r="AA658" s="7">
        <f t="shared" si="33"/>
        <v>0</v>
      </c>
      <c r="AB658" s="7">
        <f t="shared" si="34"/>
        <v>0</v>
      </c>
      <c r="AC658" s="7">
        <f t="shared" si="35"/>
        <v>0</v>
      </c>
      <c r="AD658" s="7">
        <f t="shared" si="36"/>
        <v>0</v>
      </c>
      <c r="AE658" s="8" cm="1">
        <f t="array" ref="AE658">IFERROR(_xlfn.XLOOKUP(H658,Sheet1!$G:$G,Sheet1!$F:$F),IFERROR(_xlfn.XLOOKUP(1,(--($X$2:$X$1074=X658))*(--ISNUMBER(MATCH($H$2:$H$1074,Sheet1!$G:$G,0))),_xlfn.XLOOKUP($H$2:$H$1074,Sheet1!$G:$G,Sheet1!$F:$F,"")),"NOT FOUND"))</f>
        <v>0</v>
      </c>
      <c r="AF658" s="9" t="str">
        <f t="shared" si="41"/>
        <v/>
      </c>
      <c r="AG658" s="10" t="str">
        <f t="shared" si="42"/>
        <v/>
      </c>
      <c r="AH658" s="8" t="str" cm="1">
        <f t="array" ref="AH658">IF(OR(J658="",AE658="",AE658="NOT FOUND"),"",IF(Y658="RP",_xlfn.LET(_xlpm.desc,_xlfn.XLOOKUP(1,(--(Sheet1!$F$2:$F$754=AE658))*(--ISNUMBER(FIND("-",Sheet1!$W$2:$W$754,FIND("-",Sheet1!$W$2:$W$754)+1))),Sheet1!$W$2:$W$754,""),IF(_xlpm.desc="","NOT FOUND",LEFT(_xlpm.desc,FIND("-",_xlpm.desc,FIND("-",_xlpm.desc)+1))&amp;AE658)),LEFT(J658,FIND("-",J658,FIND("-",J658)+1))&amp;AE658))</f>
        <v/>
      </c>
    </row>
    <row r="659" spans="1:34" ht="15.75" customHeight="1" x14ac:dyDescent="0.2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 s="6" t="e">
        <f t="shared" si="30"/>
        <v>#VALUE!</v>
      </c>
      <c r="Y659" s="7" t="str">
        <f t="shared" si="31"/>
        <v>DC</v>
      </c>
      <c r="Z659" s="7">
        <f t="shared" si="32"/>
        <v>0</v>
      </c>
      <c r="AA659" s="7">
        <f t="shared" si="33"/>
        <v>0</v>
      </c>
      <c r="AB659" s="7">
        <f t="shared" si="34"/>
        <v>0</v>
      </c>
      <c r="AC659" s="7">
        <f t="shared" si="35"/>
        <v>0</v>
      </c>
      <c r="AD659" s="7">
        <f t="shared" si="36"/>
        <v>0</v>
      </c>
      <c r="AE659" s="8" cm="1">
        <f t="array" ref="AE659">IFERROR(_xlfn.XLOOKUP(H659,Sheet1!$G:$G,Sheet1!$F:$F),IFERROR(_xlfn.XLOOKUP(1,(--($X$2:$X$1074=X659))*(--ISNUMBER(MATCH($H$2:$H$1074,Sheet1!$G:$G,0))),_xlfn.XLOOKUP($H$2:$H$1074,Sheet1!$G:$G,Sheet1!$F:$F,"")),"NOT FOUND"))</f>
        <v>0</v>
      </c>
      <c r="AF659" s="9" t="str">
        <f t="shared" si="41"/>
        <v/>
      </c>
      <c r="AG659" s="10" t="str">
        <f t="shared" si="42"/>
        <v/>
      </c>
      <c r="AH659" s="8" t="str" cm="1">
        <f t="array" ref="AH659">IF(OR(J659="",AE659="",AE659="NOT FOUND"),"",IF(Y659="RP",_xlfn.LET(_xlpm.desc,_xlfn.XLOOKUP(1,(--(Sheet1!$F$2:$F$754=AE659))*(--ISNUMBER(FIND("-",Sheet1!$W$2:$W$754,FIND("-",Sheet1!$W$2:$W$754)+1))),Sheet1!$W$2:$W$754,""),IF(_xlpm.desc="","NOT FOUND",LEFT(_xlpm.desc,FIND("-",_xlpm.desc,FIND("-",_xlpm.desc)+1))&amp;AE659)),LEFT(J659,FIND("-",J659,FIND("-",J659)+1))&amp;AE659))</f>
        <v/>
      </c>
    </row>
    <row r="660" spans="1:34" ht="15.75" customHeight="1" x14ac:dyDescent="0.2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 s="6" t="e">
        <f t="shared" si="30"/>
        <v>#VALUE!</v>
      </c>
      <c r="Y660" s="7" t="str">
        <f t="shared" si="31"/>
        <v>DC</v>
      </c>
      <c r="Z660" s="7">
        <f t="shared" si="32"/>
        <v>0</v>
      </c>
      <c r="AA660" s="7">
        <f t="shared" si="33"/>
        <v>0</v>
      </c>
      <c r="AB660" s="7">
        <f t="shared" si="34"/>
        <v>0</v>
      </c>
      <c r="AC660" s="7">
        <f t="shared" si="35"/>
        <v>0</v>
      </c>
      <c r="AD660" s="7">
        <f t="shared" si="36"/>
        <v>0</v>
      </c>
      <c r="AE660" s="8" cm="1">
        <f t="array" ref="AE660">IFERROR(_xlfn.XLOOKUP(H660,Sheet1!$G:$G,Sheet1!$F:$F),IFERROR(_xlfn.XLOOKUP(1,(--($X$2:$X$1074=X660))*(--ISNUMBER(MATCH($H$2:$H$1074,Sheet1!$G:$G,0))),_xlfn.XLOOKUP($H$2:$H$1074,Sheet1!$G:$G,Sheet1!$F:$F,"")),"NOT FOUND"))</f>
        <v>0</v>
      </c>
      <c r="AF660" s="9" t="str">
        <f t="shared" si="41"/>
        <v/>
      </c>
      <c r="AG660" s="10" t="str">
        <f t="shared" si="42"/>
        <v/>
      </c>
      <c r="AH660" s="8" t="str" cm="1">
        <f t="array" ref="AH660">IF(OR(J660="",AE660="",AE660="NOT FOUND"),"",IF(Y660="RP",_xlfn.LET(_xlpm.desc,_xlfn.XLOOKUP(1,(--(Sheet1!$F$2:$F$754=AE660))*(--ISNUMBER(FIND("-",Sheet1!$W$2:$W$754,FIND("-",Sheet1!$W$2:$W$754)+1))),Sheet1!$W$2:$W$754,""),IF(_xlpm.desc="","NOT FOUND",LEFT(_xlpm.desc,FIND("-",_xlpm.desc,FIND("-",_xlpm.desc)+1))&amp;AE660)),LEFT(J660,FIND("-",J660,FIND("-",J660)+1))&amp;AE660))</f>
        <v/>
      </c>
    </row>
    <row r="661" spans="1:34" ht="15.75" customHeight="1" x14ac:dyDescent="0.2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 s="6" t="e">
        <f t="shared" si="30"/>
        <v>#VALUE!</v>
      </c>
      <c r="Y661" s="7" t="str">
        <f t="shared" si="31"/>
        <v>DC</v>
      </c>
      <c r="Z661" s="7">
        <f t="shared" si="32"/>
        <v>0</v>
      </c>
      <c r="AA661" s="7">
        <f t="shared" si="33"/>
        <v>0</v>
      </c>
      <c r="AB661" s="7">
        <f t="shared" si="34"/>
        <v>0</v>
      </c>
      <c r="AC661" s="7">
        <f t="shared" si="35"/>
        <v>0</v>
      </c>
      <c r="AD661" s="7">
        <f t="shared" si="36"/>
        <v>0</v>
      </c>
      <c r="AE661" s="8" cm="1">
        <f t="array" ref="AE661">IFERROR(_xlfn.XLOOKUP(H661,Sheet1!$G:$G,Sheet1!$F:$F),IFERROR(_xlfn.XLOOKUP(1,(--($X$2:$X$1074=X661))*(--ISNUMBER(MATCH($H$2:$H$1074,Sheet1!$G:$G,0))),_xlfn.XLOOKUP($H$2:$H$1074,Sheet1!$G:$G,Sheet1!$F:$F,"")),"NOT FOUND"))</f>
        <v>0</v>
      </c>
      <c r="AF661" s="9" t="str">
        <f t="shared" si="41"/>
        <v/>
      </c>
      <c r="AG661" s="10" t="str">
        <f t="shared" si="42"/>
        <v/>
      </c>
      <c r="AH661" s="8" t="str" cm="1">
        <f t="array" ref="AH661">IF(OR(J661="",AE661="",AE661="NOT FOUND"),"",IF(Y661="RP",_xlfn.LET(_xlpm.desc,_xlfn.XLOOKUP(1,(--(Sheet1!$F$2:$F$754=AE661))*(--ISNUMBER(FIND("-",Sheet1!$W$2:$W$754,FIND("-",Sheet1!$W$2:$W$754)+1))),Sheet1!$W$2:$W$754,""),IF(_xlpm.desc="","NOT FOUND",LEFT(_xlpm.desc,FIND("-",_xlpm.desc,FIND("-",_xlpm.desc)+1))&amp;AE661)),LEFT(J661,FIND("-",J661,FIND("-",J661)+1))&amp;AE661))</f>
        <v/>
      </c>
    </row>
    <row r="662" spans="1:34" ht="15.75" customHeight="1" x14ac:dyDescent="0.2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 s="6" t="e">
        <f t="shared" si="30"/>
        <v>#VALUE!</v>
      </c>
      <c r="Y662" s="7" t="str">
        <f t="shared" si="31"/>
        <v>DC</v>
      </c>
      <c r="Z662" s="7">
        <f t="shared" si="32"/>
        <v>0</v>
      </c>
      <c r="AA662" s="7">
        <f t="shared" si="33"/>
        <v>0</v>
      </c>
      <c r="AB662" s="7">
        <f t="shared" si="34"/>
        <v>0</v>
      </c>
      <c r="AC662" s="7">
        <f t="shared" si="35"/>
        <v>0</v>
      </c>
      <c r="AD662" s="7">
        <f t="shared" si="36"/>
        <v>0</v>
      </c>
      <c r="AE662" s="8" cm="1">
        <f t="array" ref="AE662">IFERROR(_xlfn.XLOOKUP(H662,Sheet1!$G:$G,Sheet1!$F:$F),IFERROR(_xlfn.XLOOKUP(1,(--($X$2:$X$1074=X662))*(--ISNUMBER(MATCH($H$2:$H$1074,Sheet1!$G:$G,0))),_xlfn.XLOOKUP($H$2:$H$1074,Sheet1!$G:$G,Sheet1!$F:$F,"")),"NOT FOUND"))</f>
        <v>0</v>
      </c>
      <c r="AF662" s="9" t="str">
        <f t="shared" si="41"/>
        <v/>
      </c>
      <c r="AG662" s="10" t="str">
        <f t="shared" si="42"/>
        <v/>
      </c>
      <c r="AH662" s="8" t="str" cm="1">
        <f t="array" ref="AH662">IF(OR(J662="",AE662="",AE662="NOT FOUND"),"",IF(Y662="RP",_xlfn.LET(_xlpm.desc,_xlfn.XLOOKUP(1,(--(Sheet1!$F$2:$F$754=AE662))*(--ISNUMBER(FIND("-",Sheet1!$W$2:$W$754,FIND("-",Sheet1!$W$2:$W$754)+1))),Sheet1!$W$2:$W$754,""),IF(_xlpm.desc="","NOT FOUND",LEFT(_xlpm.desc,FIND("-",_xlpm.desc,FIND("-",_xlpm.desc)+1))&amp;AE662)),LEFT(J662,FIND("-",J662,FIND("-",J662)+1))&amp;AE662))</f>
        <v/>
      </c>
    </row>
    <row r="663" spans="1:34" ht="15.75" customHeight="1" x14ac:dyDescent="0.2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 s="6" t="e">
        <f t="shared" si="30"/>
        <v>#VALUE!</v>
      </c>
      <c r="Y663" s="7" t="str">
        <f t="shared" si="31"/>
        <v>DC</v>
      </c>
      <c r="Z663" s="7">
        <f t="shared" si="32"/>
        <v>0</v>
      </c>
      <c r="AA663" s="7">
        <f t="shared" si="33"/>
        <v>0</v>
      </c>
      <c r="AB663" s="7">
        <f t="shared" si="34"/>
        <v>0</v>
      </c>
      <c r="AC663" s="7">
        <f t="shared" si="35"/>
        <v>0</v>
      </c>
      <c r="AD663" s="7">
        <f t="shared" si="36"/>
        <v>0</v>
      </c>
      <c r="AE663" s="8" cm="1">
        <f t="array" ref="AE663">IFERROR(_xlfn.XLOOKUP(H663,Sheet1!$G:$G,Sheet1!$F:$F),IFERROR(_xlfn.XLOOKUP(1,(--($X$2:$X$1074=X663))*(--ISNUMBER(MATCH($H$2:$H$1074,Sheet1!$G:$G,0))),_xlfn.XLOOKUP($H$2:$H$1074,Sheet1!$G:$G,Sheet1!$F:$F,"")),"NOT FOUND"))</f>
        <v>0</v>
      </c>
      <c r="AF663" s="9" t="str">
        <f t="shared" si="41"/>
        <v/>
      </c>
      <c r="AG663" s="10" t="str">
        <f t="shared" si="42"/>
        <v/>
      </c>
      <c r="AH663" s="8" t="str" cm="1">
        <f t="array" ref="AH663">IF(OR(J663="",AE663="",AE663="NOT FOUND"),"",IF(Y663="RP",_xlfn.LET(_xlpm.desc,_xlfn.XLOOKUP(1,(--(Sheet1!$F$2:$F$754=AE663))*(--ISNUMBER(FIND("-",Sheet1!$W$2:$W$754,FIND("-",Sheet1!$W$2:$W$754)+1))),Sheet1!$W$2:$W$754,""),IF(_xlpm.desc="","NOT FOUND",LEFT(_xlpm.desc,FIND("-",_xlpm.desc,FIND("-",_xlpm.desc)+1))&amp;AE663)),LEFT(J663,FIND("-",J663,FIND("-",J663)+1))&amp;AE663))</f>
        <v/>
      </c>
    </row>
    <row r="664" spans="1:34" ht="15.75" customHeight="1" x14ac:dyDescent="0.2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 s="6" t="e">
        <f t="shared" si="30"/>
        <v>#VALUE!</v>
      </c>
      <c r="Y664" s="7" t="str">
        <f t="shared" si="31"/>
        <v>DC</v>
      </c>
      <c r="Z664" s="7">
        <f t="shared" si="32"/>
        <v>0</v>
      </c>
      <c r="AA664" s="7">
        <f t="shared" si="33"/>
        <v>0</v>
      </c>
      <c r="AB664" s="7">
        <f t="shared" si="34"/>
        <v>0</v>
      </c>
      <c r="AC664" s="7">
        <f t="shared" si="35"/>
        <v>0</v>
      </c>
      <c r="AD664" s="7">
        <f t="shared" si="36"/>
        <v>0</v>
      </c>
      <c r="AE664" s="8" cm="1">
        <f t="array" ref="AE664">IFERROR(_xlfn.XLOOKUP(H664,Sheet1!$G:$G,Sheet1!$F:$F),IFERROR(_xlfn.XLOOKUP(1,(--($X$2:$X$1074=X664))*(--ISNUMBER(MATCH($H$2:$H$1074,Sheet1!$G:$G,0))),_xlfn.XLOOKUP($H$2:$H$1074,Sheet1!$G:$G,Sheet1!$F:$F,"")),"NOT FOUND"))</f>
        <v>0</v>
      </c>
      <c r="AF664" s="9" t="str">
        <f t="shared" si="41"/>
        <v/>
      </c>
      <c r="AG664" s="10" t="str">
        <f t="shared" si="42"/>
        <v/>
      </c>
      <c r="AH664" s="8" t="str" cm="1">
        <f t="array" ref="AH664">IF(OR(J664="",AE664="",AE664="NOT FOUND"),"",IF(Y664="RP",_xlfn.LET(_xlpm.desc,_xlfn.XLOOKUP(1,(--(Sheet1!$F$2:$F$754=AE664))*(--ISNUMBER(FIND("-",Sheet1!$W$2:$W$754,FIND("-",Sheet1!$W$2:$W$754)+1))),Sheet1!$W$2:$W$754,""),IF(_xlpm.desc="","NOT FOUND",LEFT(_xlpm.desc,FIND("-",_xlpm.desc,FIND("-",_xlpm.desc)+1))&amp;AE664)),LEFT(J664,FIND("-",J664,FIND("-",J664)+1))&amp;AE664))</f>
        <v/>
      </c>
    </row>
    <row r="665" spans="1:34" ht="15.75" customHeight="1" x14ac:dyDescent="0.2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 s="6" t="e">
        <f t="shared" si="30"/>
        <v>#VALUE!</v>
      </c>
      <c r="Y665" s="7" t="str">
        <f t="shared" si="31"/>
        <v>DC</v>
      </c>
      <c r="Z665" s="7">
        <f t="shared" si="32"/>
        <v>0</v>
      </c>
      <c r="AA665" s="7">
        <f t="shared" si="33"/>
        <v>0</v>
      </c>
      <c r="AB665" s="7">
        <f t="shared" si="34"/>
        <v>0</v>
      </c>
      <c r="AC665" s="7">
        <f t="shared" si="35"/>
        <v>0</v>
      </c>
      <c r="AD665" s="7">
        <f t="shared" si="36"/>
        <v>0</v>
      </c>
      <c r="AE665" s="8" cm="1">
        <f t="array" ref="AE665">IFERROR(_xlfn.XLOOKUP(H665,Sheet1!$G:$G,Sheet1!$F:$F),IFERROR(_xlfn.XLOOKUP(1,(--($X$2:$X$1074=X665))*(--ISNUMBER(MATCH($H$2:$H$1074,Sheet1!$G:$G,0))),_xlfn.XLOOKUP($H$2:$H$1074,Sheet1!$G:$G,Sheet1!$F:$F,"")),"NOT FOUND"))</f>
        <v>0</v>
      </c>
      <c r="AF665" s="9" t="str">
        <f t="shared" si="41"/>
        <v/>
      </c>
      <c r="AG665" s="10" t="str">
        <f t="shared" si="42"/>
        <v/>
      </c>
      <c r="AH665" s="8" t="str" cm="1">
        <f t="array" ref="AH665">IF(OR(J665="",AE665="",AE665="NOT FOUND"),"",IF(Y665="RP",_xlfn.LET(_xlpm.desc,_xlfn.XLOOKUP(1,(--(Sheet1!$F$2:$F$754=AE665))*(--ISNUMBER(FIND("-",Sheet1!$W$2:$W$754,FIND("-",Sheet1!$W$2:$W$754)+1))),Sheet1!$W$2:$W$754,""),IF(_xlpm.desc="","NOT FOUND",LEFT(_xlpm.desc,FIND("-",_xlpm.desc,FIND("-",_xlpm.desc)+1))&amp;AE665)),LEFT(J665,FIND("-",J665,FIND("-",J665)+1))&amp;AE665))</f>
        <v/>
      </c>
    </row>
    <row r="666" spans="1:34" ht="15.75" customHeight="1" x14ac:dyDescent="0.2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 s="6" t="e">
        <f t="shared" si="30"/>
        <v>#VALUE!</v>
      </c>
      <c r="Y666" s="7" t="str">
        <f t="shared" si="31"/>
        <v>DC</v>
      </c>
      <c r="Z666" s="7">
        <f t="shared" si="32"/>
        <v>0</v>
      </c>
      <c r="AA666" s="7">
        <f t="shared" si="33"/>
        <v>0</v>
      </c>
      <c r="AB666" s="7">
        <f t="shared" si="34"/>
        <v>0</v>
      </c>
      <c r="AC666" s="7">
        <f t="shared" si="35"/>
        <v>0</v>
      </c>
      <c r="AD666" s="7">
        <f t="shared" si="36"/>
        <v>0</v>
      </c>
      <c r="AE666" s="8" cm="1">
        <f t="array" ref="AE666">IFERROR(_xlfn.XLOOKUP(H666,Sheet1!$G:$G,Sheet1!$F:$F),IFERROR(_xlfn.XLOOKUP(1,(--($X$2:$X$1074=X666))*(--ISNUMBER(MATCH($H$2:$H$1074,Sheet1!$G:$G,0))),_xlfn.XLOOKUP($H$2:$H$1074,Sheet1!$G:$G,Sheet1!$F:$F,"")),"NOT FOUND"))</f>
        <v>0</v>
      </c>
      <c r="AF666" s="9" t="str">
        <f t="shared" si="41"/>
        <v/>
      </c>
      <c r="AG666" s="10" t="str">
        <f t="shared" si="42"/>
        <v/>
      </c>
      <c r="AH666" s="8" t="str" cm="1">
        <f t="array" ref="AH666">IF(OR(J666="",AE666="",AE666="NOT FOUND"),"",IF(Y666="RP",_xlfn.LET(_xlpm.desc,_xlfn.XLOOKUP(1,(--(Sheet1!$F$2:$F$754=AE666))*(--ISNUMBER(FIND("-",Sheet1!$W$2:$W$754,FIND("-",Sheet1!$W$2:$W$754)+1))),Sheet1!$W$2:$W$754,""),IF(_xlpm.desc="","NOT FOUND",LEFT(_xlpm.desc,FIND("-",_xlpm.desc,FIND("-",_xlpm.desc)+1))&amp;AE666)),LEFT(J666,FIND("-",J666,FIND("-",J666)+1))&amp;AE666))</f>
        <v/>
      </c>
    </row>
    <row r="667" spans="1:34" ht="15.75" customHeight="1" x14ac:dyDescent="0.2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 s="6" t="e">
        <f t="shared" si="30"/>
        <v>#VALUE!</v>
      </c>
      <c r="Y667" s="7" t="str">
        <f t="shared" si="31"/>
        <v>DC</v>
      </c>
      <c r="Z667" s="7">
        <f t="shared" si="32"/>
        <v>0</v>
      </c>
      <c r="AA667" s="7">
        <f t="shared" si="33"/>
        <v>0</v>
      </c>
      <c r="AB667" s="7">
        <f t="shared" si="34"/>
        <v>0</v>
      </c>
      <c r="AC667" s="7">
        <f t="shared" si="35"/>
        <v>0</v>
      </c>
      <c r="AD667" s="7">
        <f t="shared" si="36"/>
        <v>0</v>
      </c>
      <c r="AE667" s="8" cm="1">
        <f t="array" ref="AE667">IFERROR(_xlfn.XLOOKUP(H667,Sheet1!$G:$G,Sheet1!$F:$F),IFERROR(_xlfn.XLOOKUP(1,(--($X$2:$X$1074=X667))*(--ISNUMBER(MATCH($H$2:$H$1074,Sheet1!$G:$G,0))),_xlfn.XLOOKUP($H$2:$H$1074,Sheet1!$G:$G,Sheet1!$F:$F,"")),"NOT FOUND"))</f>
        <v>0</v>
      </c>
      <c r="AF667" s="9" t="str">
        <f t="shared" si="41"/>
        <v/>
      </c>
      <c r="AG667" s="10" t="str">
        <f t="shared" si="42"/>
        <v/>
      </c>
      <c r="AH667" s="8" t="str" cm="1">
        <f t="array" ref="AH667">IF(OR(J667="",AE667="",AE667="NOT FOUND"),"",IF(Y667="RP",_xlfn.LET(_xlpm.desc,_xlfn.XLOOKUP(1,(--(Sheet1!$F$2:$F$754=AE667))*(--ISNUMBER(FIND("-",Sheet1!$W$2:$W$754,FIND("-",Sheet1!$W$2:$W$754)+1))),Sheet1!$W$2:$W$754,""),IF(_xlpm.desc="","NOT FOUND",LEFT(_xlpm.desc,FIND("-",_xlpm.desc,FIND("-",_xlpm.desc)+1))&amp;AE667)),LEFT(J667,FIND("-",J667,FIND("-",J667)+1))&amp;AE667))</f>
        <v/>
      </c>
    </row>
    <row r="668" spans="1:34" ht="15.75" customHeight="1" x14ac:dyDescent="0.2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 s="6" t="e">
        <f t="shared" si="30"/>
        <v>#VALUE!</v>
      </c>
      <c r="Y668" s="7" t="str">
        <f t="shared" si="31"/>
        <v>DC</v>
      </c>
      <c r="Z668" s="7">
        <f t="shared" si="32"/>
        <v>0</v>
      </c>
      <c r="AA668" s="7">
        <f t="shared" si="33"/>
        <v>0</v>
      </c>
      <c r="AB668" s="7">
        <f t="shared" si="34"/>
        <v>0</v>
      </c>
      <c r="AC668" s="7">
        <f t="shared" si="35"/>
        <v>0</v>
      </c>
      <c r="AD668" s="7">
        <f t="shared" si="36"/>
        <v>0</v>
      </c>
      <c r="AE668" s="8" cm="1">
        <f t="array" ref="AE668">IFERROR(_xlfn.XLOOKUP(H668,Sheet1!$G:$G,Sheet1!$F:$F),IFERROR(_xlfn.XLOOKUP(1,(--($X$2:$X$1074=X668))*(--ISNUMBER(MATCH($H$2:$H$1074,Sheet1!$G:$G,0))),_xlfn.XLOOKUP($H$2:$H$1074,Sheet1!$G:$G,Sheet1!$F:$F,"")),"NOT FOUND"))</f>
        <v>0</v>
      </c>
      <c r="AF668" s="9" t="str">
        <f t="shared" si="41"/>
        <v/>
      </c>
      <c r="AG668" s="10" t="str">
        <f t="shared" si="42"/>
        <v/>
      </c>
      <c r="AH668" s="8" t="str" cm="1">
        <f t="array" ref="AH668">IF(OR(J668="",AE668="",AE668="NOT FOUND"),"",IF(Y668="RP",_xlfn.LET(_xlpm.desc,_xlfn.XLOOKUP(1,(--(Sheet1!$F$2:$F$754=AE668))*(--ISNUMBER(FIND("-",Sheet1!$W$2:$W$754,FIND("-",Sheet1!$W$2:$W$754)+1))),Sheet1!$W$2:$W$754,""),IF(_xlpm.desc="","NOT FOUND",LEFT(_xlpm.desc,FIND("-",_xlpm.desc,FIND("-",_xlpm.desc)+1))&amp;AE668)),LEFT(J668,FIND("-",J668,FIND("-",J668)+1))&amp;AE668))</f>
        <v/>
      </c>
    </row>
    <row r="669" spans="1:34" ht="15.75" customHeight="1" x14ac:dyDescent="0.2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 s="6" t="e">
        <f t="shared" si="30"/>
        <v>#VALUE!</v>
      </c>
      <c r="Y669" s="7" t="str">
        <f t="shared" si="31"/>
        <v>DC</v>
      </c>
      <c r="Z669" s="7">
        <f t="shared" si="32"/>
        <v>0</v>
      </c>
      <c r="AA669" s="7">
        <f t="shared" si="33"/>
        <v>0</v>
      </c>
      <c r="AB669" s="7">
        <f t="shared" si="34"/>
        <v>0</v>
      </c>
      <c r="AC669" s="7">
        <f t="shared" si="35"/>
        <v>0</v>
      </c>
      <c r="AD669" s="7">
        <f t="shared" si="36"/>
        <v>0</v>
      </c>
      <c r="AE669" s="8" cm="1">
        <f t="array" ref="AE669">IFERROR(_xlfn.XLOOKUP(H669,Sheet1!$G:$G,Sheet1!$F:$F),IFERROR(_xlfn.XLOOKUP(1,(--($X$2:$X$1074=X669))*(--ISNUMBER(MATCH($H$2:$H$1074,Sheet1!$G:$G,0))),_xlfn.XLOOKUP($H$2:$H$1074,Sheet1!$G:$G,Sheet1!$F:$F,"")),"NOT FOUND"))</f>
        <v>0</v>
      </c>
      <c r="AF669" s="9" t="str">
        <f t="shared" si="41"/>
        <v/>
      </c>
      <c r="AG669" s="10" t="str">
        <f t="shared" si="42"/>
        <v/>
      </c>
      <c r="AH669" s="8" t="str" cm="1">
        <f t="array" ref="AH669">IF(OR(J669="",AE669="",AE669="NOT FOUND"),"",IF(Y669="RP",_xlfn.LET(_xlpm.desc,_xlfn.XLOOKUP(1,(--(Sheet1!$F$2:$F$754=AE669))*(--ISNUMBER(FIND("-",Sheet1!$W$2:$W$754,FIND("-",Sheet1!$W$2:$W$754)+1))),Sheet1!$W$2:$W$754,""),IF(_xlpm.desc="","NOT FOUND",LEFT(_xlpm.desc,FIND("-",_xlpm.desc,FIND("-",_xlpm.desc)+1))&amp;AE669)),LEFT(J669,FIND("-",J669,FIND("-",J669)+1))&amp;AE669))</f>
        <v/>
      </c>
    </row>
    <row r="670" spans="1:34" ht="15.75" customHeight="1" x14ac:dyDescent="0.2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 s="6" t="e">
        <f t="shared" si="30"/>
        <v>#VALUE!</v>
      </c>
      <c r="Y670" s="7" t="str">
        <f t="shared" si="31"/>
        <v>DC</v>
      </c>
      <c r="Z670" s="7">
        <f t="shared" si="32"/>
        <v>0</v>
      </c>
      <c r="AA670" s="7">
        <f t="shared" si="33"/>
        <v>0</v>
      </c>
      <c r="AB670" s="7">
        <f t="shared" si="34"/>
        <v>0</v>
      </c>
      <c r="AC670" s="7">
        <f t="shared" si="35"/>
        <v>0</v>
      </c>
      <c r="AD670" s="7">
        <f t="shared" si="36"/>
        <v>0</v>
      </c>
      <c r="AE670" s="8" cm="1">
        <f t="array" ref="AE670">IFERROR(_xlfn.XLOOKUP(H670,Sheet1!$G:$G,Sheet1!$F:$F),IFERROR(_xlfn.XLOOKUP(1,(--($X$2:$X$1074=X670))*(--ISNUMBER(MATCH($H$2:$H$1074,Sheet1!$G:$G,0))),_xlfn.XLOOKUP($H$2:$H$1074,Sheet1!$G:$G,Sheet1!$F:$F,"")),"NOT FOUND"))</f>
        <v>0</v>
      </c>
      <c r="AF670" s="9" t="str">
        <f t="shared" si="41"/>
        <v/>
      </c>
      <c r="AG670" s="10" t="str">
        <f t="shared" si="42"/>
        <v/>
      </c>
      <c r="AH670" s="8" t="str" cm="1">
        <f t="array" ref="AH670">IF(OR(J670="",AE670="",AE670="NOT FOUND"),"",IF(Y670="RP",_xlfn.LET(_xlpm.desc,_xlfn.XLOOKUP(1,(--(Sheet1!$F$2:$F$754=AE670))*(--ISNUMBER(FIND("-",Sheet1!$W$2:$W$754,FIND("-",Sheet1!$W$2:$W$754)+1))),Sheet1!$W$2:$W$754,""),IF(_xlpm.desc="","NOT FOUND",LEFT(_xlpm.desc,FIND("-",_xlpm.desc,FIND("-",_xlpm.desc)+1))&amp;AE670)),LEFT(J670,FIND("-",J670,FIND("-",J670)+1))&amp;AE670))</f>
        <v/>
      </c>
    </row>
    <row r="671" spans="1:34" ht="15.75" customHeight="1" x14ac:dyDescent="0.2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 s="6" t="e">
        <f t="shared" si="30"/>
        <v>#VALUE!</v>
      </c>
      <c r="Y671" s="7" t="str">
        <f t="shared" si="31"/>
        <v>DC</v>
      </c>
      <c r="Z671" s="7">
        <f t="shared" si="32"/>
        <v>0</v>
      </c>
      <c r="AA671" s="7">
        <f t="shared" si="33"/>
        <v>0</v>
      </c>
      <c r="AB671" s="7">
        <f t="shared" si="34"/>
        <v>0</v>
      </c>
      <c r="AC671" s="7">
        <f t="shared" si="35"/>
        <v>0</v>
      </c>
      <c r="AD671" s="7">
        <f t="shared" si="36"/>
        <v>0</v>
      </c>
      <c r="AE671" s="8" cm="1">
        <f t="array" ref="AE671">IFERROR(_xlfn.XLOOKUP(H671,Sheet1!$G:$G,Sheet1!$F:$F),IFERROR(_xlfn.XLOOKUP(1,(--($X$2:$X$1074=X671))*(--ISNUMBER(MATCH($H$2:$H$1074,Sheet1!$G:$G,0))),_xlfn.XLOOKUP($H$2:$H$1074,Sheet1!$G:$G,Sheet1!$F:$F,"")),"NOT FOUND"))</f>
        <v>0</v>
      </c>
      <c r="AF671" s="9" t="str">
        <f t="shared" si="41"/>
        <v/>
      </c>
      <c r="AG671" s="10" t="str">
        <f t="shared" si="42"/>
        <v/>
      </c>
      <c r="AH671" s="8" t="str" cm="1">
        <f t="array" ref="AH671">IF(OR(J671="",AE671="",AE671="NOT FOUND"),"",IF(Y671="RP",_xlfn.LET(_xlpm.desc,_xlfn.XLOOKUP(1,(--(Sheet1!$F$2:$F$754=AE671))*(--ISNUMBER(FIND("-",Sheet1!$W$2:$W$754,FIND("-",Sheet1!$W$2:$W$754)+1))),Sheet1!$W$2:$W$754,""),IF(_xlpm.desc="","NOT FOUND",LEFT(_xlpm.desc,FIND("-",_xlpm.desc,FIND("-",_xlpm.desc)+1))&amp;AE671)),LEFT(J671,FIND("-",J671,FIND("-",J671)+1))&amp;AE671))</f>
        <v/>
      </c>
    </row>
    <row r="672" spans="1:34" ht="15.75" customHeight="1" x14ac:dyDescent="0.2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 s="6" t="e">
        <f t="shared" si="30"/>
        <v>#VALUE!</v>
      </c>
      <c r="Y672" s="7" t="str">
        <f t="shared" si="31"/>
        <v>DC</v>
      </c>
      <c r="Z672" s="7">
        <f t="shared" si="32"/>
        <v>0</v>
      </c>
      <c r="AA672" s="7">
        <f t="shared" si="33"/>
        <v>0</v>
      </c>
      <c r="AB672" s="7">
        <f t="shared" si="34"/>
        <v>0</v>
      </c>
      <c r="AC672" s="7">
        <f t="shared" si="35"/>
        <v>0</v>
      </c>
      <c r="AD672" s="7">
        <f t="shared" si="36"/>
        <v>0</v>
      </c>
      <c r="AE672" s="8" cm="1">
        <f t="array" ref="AE672">IFERROR(_xlfn.XLOOKUP(H672,Sheet1!$G:$G,Sheet1!$F:$F),IFERROR(_xlfn.XLOOKUP(1,(--($X$2:$X$1074=X672))*(--ISNUMBER(MATCH($H$2:$H$1074,Sheet1!$G:$G,0))),_xlfn.XLOOKUP($H$2:$H$1074,Sheet1!$G:$G,Sheet1!$F:$F,"")),"NOT FOUND"))</f>
        <v>0</v>
      </c>
      <c r="AF672" s="9" t="str">
        <f t="shared" si="41"/>
        <v/>
      </c>
      <c r="AG672" s="10" t="str">
        <f t="shared" si="42"/>
        <v/>
      </c>
      <c r="AH672" s="8" t="str" cm="1">
        <f t="array" ref="AH672">IF(OR(J672="",AE672="",AE672="NOT FOUND"),"",IF(Y672="RP",_xlfn.LET(_xlpm.desc,_xlfn.XLOOKUP(1,(--(Sheet1!$F$2:$F$754=AE672))*(--ISNUMBER(FIND("-",Sheet1!$W$2:$W$754,FIND("-",Sheet1!$W$2:$W$754)+1))),Sheet1!$W$2:$W$754,""),IF(_xlpm.desc="","NOT FOUND",LEFT(_xlpm.desc,FIND("-",_xlpm.desc,FIND("-",_xlpm.desc)+1))&amp;AE672)),LEFT(J672,FIND("-",J672,FIND("-",J672)+1))&amp;AE672))</f>
        <v/>
      </c>
    </row>
    <row r="673" spans="1:34" ht="15.75" customHeight="1" x14ac:dyDescent="0.2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 s="6" t="e">
        <f t="shared" si="30"/>
        <v>#VALUE!</v>
      </c>
      <c r="Y673" s="7" t="str">
        <f t="shared" si="31"/>
        <v>DC</v>
      </c>
      <c r="Z673" s="7">
        <f t="shared" si="32"/>
        <v>0</v>
      </c>
      <c r="AA673" s="7">
        <f t="shared" si="33"/>
        <v>0</v>
      </c>
      <c r="AB673" s="7">
        <f t="shared" si="34"/>
        <v>0</v>
      </c>
      <c r="AC673" s="7">
        <f t="shared" si="35"/>
        <v>0</v>
      </c>
      <c r="AD673" s="7">
        <f t="shared" si="36"/>
        <v>0</v>
      </c>
      <c r="AE673" s="8" cm="1">
        <f t="array" ref="AE673">IFERROR(_xlfn.XLOOKUP(H673,Sheet1!$G:$G,Sheet1!$F:$F),IFERROR(_xlfn.XLOOKUP(1,(--($X$2:$X$1074=X673))*(--ISNUMBER(MATCH($H$2:$H$1074,Sheet1!$G:$G,0))),_xlfn.XLOOKUP($H$2:$H$1074,Sheet1!$G:$G,Sheet1!$F:$F,"")),"NOT FOUND"))</f>
        <v>0</v>
      </c>
      <c r="AF673" s="9" t="str">
        <f t="shared" si="41"/>
        <v/>
      </c>
      <c r="AG673" s="10" t="str">
        <f t="shared" si="42"/>
        <v/>
      </c>
      <c r="AH673" s="8" t="str" cm="1">
        <f t="array" ref="AH673">IF(OR(J673="",AE673="",AE673="NOT FOUND"),"",IF(Y673="RP",_xlfn.LET(_xlpm.desc,_xlfn.XLOOKUP(1,(--(Sheet1!$F$2:$F$754=AE673))*(--ISNUMBER(FIND("-",Sheet1!$W$2:$W$754,FIND("-",Sheet1!$W$2:$W$754)+1))),Sheet1!$W$2:$W$754,""),IF(_xlpm.desc="","NOT FOUND",LEFT(_xlpm.desc,FIND("-",_xlpm.desc,FIND("-",_xlpm.desc)+1))&amp;AE673)),LEFT(J673,FIND("-",J673,FIND("-",J673)+1))&amp;AE673))</f>
        <v/>
      </c>
    </row>
    <row r="674" spans="1:34" ht="15.75" customHeight="1" x14ac:dyDescent="0.2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 s="6" t="e">
        <f t="shared" si="30"/>
        <v>#VALUE!</v>
      </c>
      <c r="Y674" s="7" t="str">
        <f t="shared" si="31"/>
        <v>DC</v>
      </c>
      <c r="Z674" s="7">
        <f t="shared" si="32"/>
        <v>0</v>
      </c>
      <c r="AA674" s="7">
        <f t="shared" si="33"/>
        <v>0</v>
      </c>
      <c r="AB674" s="7">
        <f t="shared" si="34"/>
        <v>0</v>
      </c>
      <c r="AC674" s="7">
        <f t="shared" si="35"/>
        <v>0</v>
      </c>
      <c r="AD674" s="7">
        <f t="shared" si="36"/>
        <v>0</v>
      </c>
      <c r="AE674" s="8" cm="1">
        <f t="array" ref="AE674">IFERROR(_xlfn.XLOOKUP(H674,Sheet1!$G:$G,Sheet1!$F:$F),IFERROR(_xlfn.XLOOKUP(1,(--($X$2:$X$1074=X674))*(--ISNUMBER(MATCH($H$2:$H$1074,Sheet1!$G:$G,0))),_xlfn.XLOOKUP($H$2:$H$1074,Sheet1!$G:$G,Sheet1!$F:$F,"")),"NOT FOUND"))</f>
        <v>0</v>
      </c>
      <c r="AF674" s="9" t="str">
        <f t="shared" si="41"/>
        <v/>
      </c>
      <c r="AG674" s="10" t="str">
        <f t="shared" si="42"/>
        <v/>
      </c>
      <c r="AH674" s="8" t="str" cm="1">
        <f t="array" ref="AH674">IF(OR(J674="",AE674="",AE674="NOT FOUND"),"",IF(Y674="RP",_xlfn.LET(_xlpm.desc,_xlfn.XLOOKUP(1,(--(Sheet1!$F$2:$F$754=AE674))*(--ISNUMBER(FIND("-",Sheet1!$W$2:$W$754,FIND("-",Sheet1!$W$2:$W$754)+1))),Sheet1!$W$2:$W$754,""),IF(_xlpm.desc="","NOT FOUND",LEFT(_xlpm.desc,FIND("-",_xlpm.desc,FIND("-",_xlpm.desc)+1))&amp;AE674)),LEFT(J674,FIND("-",J674,FIND("-",J674)+1))&amp;AE674))</f>
        <v/>
      </c>
    </row>
    <row r="675" spans="1:34" ht="15.75" customHeight="1" x14ac:dyDescent="0.2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 s="6" t="e">
        <f t="shared" si="30"/>
        <v>#VALUE!</v>
      </c>
      <c r="Y675" s="7" t="str">
        <f t="shared" si="31"/>
        <v>DC</v>
      </c>
      <c r="Z675" s="7">
        <f t="shared" si="32"/>
        <v>0</v>
      </c>
      <c r="AA675" s="7">
        <f t="shared" si="33"/>
        <v>0</v>
      </c>
      <c r="AB675" s="7">
        <f t="shared" si="34"/>
        <v>0</v>
      </c>
      <c r="AC675" s="7">
        <f t="shared" si="35"/>
        <v>0</v>
      </c>
      <c r="AD675" s="7">
        <f t="shared" si="36"/>
        <v>0</v>
      </c>
      <c r="AE675" s="8" cm="1">
        <f t="array" ref="AE675">IFERROR(_xlfn.XLOOKUP(H675,Sheet1!$G:$G,Sheet1!$F:$F),IFERROR(_xlfn.XLOOKUP(1,(--($X$2:$X$1074=X675))*(--ISNUMBER(MATCH($H$2:$H$1074,Sheet1!$G:$G,0))),_xlfn.XLOOKUP($H$2:$H$1074,Sheet1!$G:$G,Sheet1!$F:$F,"")),"NOT FOUND"))</f>
        <v>0</v>
      </c>
      <c r="AF675" s="9" t="str">
        <f t="shared" si="41"/>
        <v/>
      </c>
      <c r="AG675" s="10" t="str">
        <f t="shared" si="42"/>
        <v/>
      </c>
      <c r="AH675" s="8" t="str" cm="1">
        <f t="array" ref="AH675">IF(OR(J675="",AE675="",AE675="NOT FOUND"),"",IF(Y675="RP",_xlfn.LET(_xlpm.desc,_xlfn.XLOOKUP(1,(--(Sheet1!$F$2:$F$754=AE675))*(--ISNUMBER(FIND("-",Sheet1!$W$2:$W$754,FIND("-",Sheet1!$W$2:$W$754)+1))),Sheet1!$W$2:$W$754,""),IF(_xlpm.desc="","NOT FOUND",LEFT(_xlpm.desc,FIND("-",_xlpm.desc,FIND("-",_xlpm.desc)+1))&amp;AE675)),LEFT(J675,FIND("-",J675,FIND("-",J675)+1))&amp;AE675))</f>
        <v/>
      </c>
    </row>
    <row r="676" spans="1:34" ht="15.75" customHeight="1" x14ac:dyDescent="0.2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 s="6" t="e">
        <f t="shared" si="30"/>
        <v>#VALUE!</v>
      </c>
      <c r="Y676" s="7" t="str">
        <f t="shared" si="31"/>
        <v>DC</v>
      </c>
      <c r="Z676" s="7">
        <f t="shared" si="32"/>
        <v>0</v>
      </c>
      <c r="AA676" s="7">
        <f t="shared" si="33"/>
        <v>0</v>
      </c>
      <c r="AB676" s="7">
        <f t="shared" si="34"/>
        <v>0</v>
      </c>
      <c r="AC676" s="7">
        <f t="shared" si="35"/>
        <v>0</v>
      </c>
      <c r="AD676" s="7">
        <f t="shared" si="36"/>
        <v>0</v>
      </c>
      <c r="AE676" s="8" cm="1">
        <f t="array" ref="AE676">IFERROR(_xlfn.XLOOKUP(H676,Sheet1!$G:$G,Sheet1!$F:$F),IFERROR(_xlfn.XLOOKUP(1,(--($X$2:$X$1074=X676))*(--ISNUMBER(MATCH($H$2:$H$1074,Sheet1!$G:$G,0))),_xlfn.XLOOKUP($H$2:$H$1074,Sheet1!$G:$G,Sheet1!$F:$F,"")),"NOT FOUND"))</f>
        <v>0</v>
      </c>
      <c r="AF676" s="9" t="str">
        <f t="shared" si="41"/>
        <v/>
      </c>
      <c r="AG676" s="10" t="str">
        <f t="shared" si="42"/>
        <v/>
      </c>
      <c r="AH676" s="8" t="str" cm="1">
        <f t="array" ref="AH676">IF(OR(J676="",AE676="",AE676="NOT FOUND"),"",IF(Y676="RP",_xlfn.LET(_xlpm.desc,_xlfn.XLOOKUP(1,(--(Sheet1!$F$2:$F$754=AE676))*(--ISNUMBER(FIND("-",Sheet1!$W$2:$W$754,FIND("-",Sheet1!$W$2:$W$754)+1))),Sheet1!$W$2:$W$754,""),IF(_xlpm.desc="","NOT FOUND",LEFT(_xlpm.desc,FIND("-",_xlpm.desc,FIND("-",_xlpm.desc)+1))&amp;AE676)),LEFT(J676,FIND("-",J676,FIND("-",J676)+1))&amp;AE676))</f>
        <v/>
      </c>
    </row>
    <row r="677" spans="1:34" ht="15.75" customHeight="1" x14ac:dyDescent="0.2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 s="6" t="e">
        <f t="shared" si="30"/>
        <v>#VALUE!</v>
      </c>
      <c r="Y677" s="7" t="str">
        <f t="shared" si="31"/>
        <v>DC</v>
      </c>
      <c r="Z677" s="7">
        <f t="shared" si="32"/>
        <v>0</v>
      </c>
      <c r="AA677" s="7">
        <f t="shared" si="33"/>
        <v>0</v>
      </c>
      <c r="AB677" s="7">
        <f t="shared" si="34"/>
        <v>0</v>
      </c>
      <c r="AC677" s="7">
        <f t="shared" si="35"/>
        <v>0</v>
      </c>
      <c r="AD677" s="7">
        <f t="shared" si="36"/>
        <v>0</v>
      </c>
      <c r="AE677" s="8" cm="1">
        <f t="array" ref="AE677">IFERROR(_xlfn.XLOOKUP(H677,Sheet1!$G:$G,Sheet1!$F:$F),IFERROR(_xlfn.XLOOKUP(1,(--($X$2:$X$1074=X677))*(--ISNUMBER(MATCH($H$2:$H$1074,Sheet1!$G:$G,0))),_xlfn.XLOOKUP($H$2:$H$1074,Sheet1!$G:$G,Sheet1!$F:$F,"")),"NOT FOUND"))</f>
        <v>0</v>
      </c>
      <c r="AF677" s="9" t="str">
        <f t="shared" si="41"/>
        <v/>
      </c>
      <c r="AG677" s="10" t="str">
        <f t="shared" si="42"/>
        <v/>
      </c>
      <c r="AH677" s="8" t="str" cm="1">
        <f t="array" ref="AH677">IF(OR(J677="",AE677="",AE677="NOT FOUND"),"",IF(Y677="RP",_xlfn.LET(_xlpm.desc,_xlfn.XLOOKUP(1,(--(Sheet1!$F$2:$F$754=AE677))*(--ISNUMBER(FIND("-",Sheet1!$W$2:$W$754,FIND("-",Sheet1!$W$2:$W$754)+1))),Sheet1!$W$2:$W$754,""),IF(_xlpm.desc="","NOT FOUND",LEFT(_xlpm.desc,FIND("-",_xlpm.desc,FIND("-",_xlpm.desc)+1))&amp;AE677)),LEFT(J677,FIND("-",J677,FIND("-",J677)+1))&amp;AE677))</f>
        <v/>
      </c>
    </row>
    <row r="678" spans="1:34" ht="15.75" customHeight="1" x14ac:dyDescent="0.2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 s="6" t="e">
        <f t="shared" si="30"/>
        <v>#VALUE!</v>
      </c>
      <c r="Y678" s="7" t="str">
        <f t="shared" si="31"/>
        <v>DC</v>
      </c>
      <c r="Z678" s="7">
        <f t="shared" si="32"/>
        <v>0</v>
      </c>
      <c r="AA678" s="7">
        <f t="shared" si="33"/>
        <v>0</v>
      </c>
      <c r="AB678" s="7">
        <f t="shared" si="34"/>
        <v>0</v>
      </c>
      <c r="AC678" s="7">
        <f t="shared" si="35"/>
        <v>0</v>
      </c>
      <c r="AD678" s="7">
        <f t="shared" si="36"/>
        <v>0</v>
      </c>
      <c r="AE678" s="8" cm="1">
        <f t="array" ref="AE678">IFERROR(_xlfn.XLOOKUP(H678,Sheet1!$G:$G,Sheet1!$F:$F),IFERROR(_xlfn.XLOOKUP(1,(--($X$2:$X$1074=X678))*(--ISNUMBER(MATCH($H$2:$H$1074,Sheet1!$G:$G,0))),_xlfn.XLOOKUP($H$2:$H$1074,Sheet1!$G:$G,Sheet1!$F:$F,"")),"NOT FOUND"))</f>
        <v>0</v>
      </c>
      <c r="AF678" s="9" t="str">
        <f t="shared" si="41"/>
        <v/>
      </c>
      <c r="AG678" s="10" t="str">
        <f t="shared" si="42"/>
        <v/>
      </c>
      <c r="AH678" s="8" t="str" cm="1">
        <f t="array" ref="AH678">IF(OR(J678="",AE678="",AE678="NOT FOUND"),"",IF(Y678="RP",_xlfn.LET(_xlpm.desc,_xlfn.XLOOKUP(1,(--(Sheet1!$F$2:$F$754=AE678))*(--ISNUMBER(FIND("-",Sheet1!$W$2:$W$754,FIND("-",Sheet1!$W$2:$W$754)+1))),Sheet1!$W$2:$W$754,""),IF(_xlpm.desc="","NOT FOUND",LEFT(_xlpm.desc,FIND("-",_xlpm.desc,FIND("-",_xlpm.desc)+1))&amp;AE678)),LEFT(J678,FIND("-",J678,FIND("-",J678)+1))&amp;AE678))</f>
        <v/>
      </c>
    </row>
    <row r="679" spans="1:34" ht="15.75" customHeight="1" x14ac:dyDescent="0.2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 s="6" t="e">
        <f t="shared" si="30"/>
        <v>#VALUE!</v>
      </c>
      <c r="Y679" s="7" t="str">
        <f t="shared" si="31"/>
        <v>DC</v>
      </c>
      <c r="Z679" s="7">
        <f t="shared" si="32"/>
        <v>0</v>
      </c>
      <c r="AA679" s="7">
        <f t="shared" si="33"/>
        <v>0</v>
      </c>
      <c r="AB679" s="7">
        <f t="shared" si="34"/>
        <v>0</v>
      </c>
      <c r="AC679" s="7">
        <f t="shared" si="35"/>
        <v>0</v>
      </c>
      <c r="AD679" s="7">
        <f t="shared" si="36"/>
        <v>0</v>
      </c>
      <c r="AE679" s="8" cm="1">
        <f t="array" ref="AE679">IFERROR(_xlfn.XLOOKUP(H679,Sheet1!$G:$G,Sheet1!$F:$F),IFERROR(_xlfn.XLOOKUP(1,(--($X$2:$X$1074=X679))*(--ISNUMBER(MATCH($H$2:$H$1074,Sheet1!$G:$G,0))),_xlfn.XLOOKUP($H$2:$H$1074,Sheet1!$G:$G,Sheet1!$F:$F,"")),"NOT FOUND"))</f>
        <v>0</v>
      </c>
      <c r="AF679" s="9" t="str">
        <f t="shared" si="41"/>
        <v/>
      </c>
      <c r="AG679" s="10" t="str">
        <f t="shared" si="42"/>
        <v/>
      </c>
      <c r="AH679" s="8" t="str" cm="1">
        <f t="array" ref="AH679">IF(OR(J679="",AE679="",AE679="NOT FOUND"),"",IF(Y679="RP",_xlfn.LET(_xlpm.desc,_xlfn.XLOOKUP(1,(--(Sheet1!$F$2:$F$754=AE679))*(--ISNUMBER(FIND("-",Sheet1!$W$2:$W$754,FIND("-",Sheet1!$W$2:$W$754)+1))),Sheet1!$W$2:$W$754,""),IF(_xlpm.desc="","NOT FOUND",LEFT(_xlpm.desc,FIND("-",_xlpm.desc,FIND("-",_xlpm.desc)+1))&amp;AE679)),LEFT(J679,FIND("-",J679,FIND("-",J679)+1))&amp;AE679))</f>
        <v/>
      </c>
    </row>
    <row r="680" spans="1:34" ht="15.75" customHeight="1" x14ac:dyDescent="0.2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 s="6" t="e">
        <f t="shared" si="30"/>
        <v>#VALUE!</v>
      </c>
      <c r="Y680" s="7" t="str">
        <f t="shared" si="31"/>
        <v>DC</v>
      </c>
      <c r="Z680" s="7">
        <f t="shared" si="32"/>
        <v>0</v>
      </c>
      <c r="AA680" s="7">
        <f t="shared" si="33"/>
        <v>0</v>
      </c>
      <c r="AB680" s="7">
        <f t="shared" si="34"/>
        <v>0</v>
      </c>
      <c r="AC680" s="7">
        <f t="shared" si="35"/>
        <v>0</v>
      </c>
      <c r="AD680" s="7">
        <f t="shared" si="36"/>
        <v>0</v>
      </c>
      <c r="AE680" s="8" cm="1">
        <f t="array" ref="AE680">IFERROR(_xlfn.XLOOKUP(H680,Sheet1!$G:$G,Sheet1!$F:$F),IFERROR(_xlfn.XLOOKUP(1,(--($X$2:$X$1074=X680))*(--ISNUMBER(MATCH($H$2:$H$1074,Sheet1!$G:$G,0))),_xlfn.XLOOKUP($H$2:$H$1074,Sheet1!$G:$G,Sheet1!$F:$F,"")),"NOT FOUND"))</f>
        <v>0</v>
      </c>
      <c r="AF680" s="9" t="str">
        <f t="shared" si="41"/>
        <v/>
      </c>
      <c r="AG680" s="10" t="str">
        <f t="shared" si="42"/>
        <v/>
      </c>
      <c r="AH680" s="8" t="str" cm="1">
        <f t="array" ref="AH680">IF(OR(J680="",AE680="",AE680="NOT FOUND"),"",IF(Y680="RP",_xlfn.LET(_xlpm.desc,_xlfn.XLOOKUP(1,(--(Sheet1!$F$2:$F$754=AE680))*(--ISNUMBER(FIND("-",Sheet1!$W$2:$W$754,FIND("-",Sheet1!$W$2:$W$754)+1))),Sheet1!$W$2:$W$754,""),IF(_xlpm.desc="","NOT FOUND",LEFT(_xlpm.desc,FIND("-",_xlpm.desc,FIND("-",_xlpm.desc)+1))&amp;AE680)),LEFT(J680,FIND("-",J680,FIND("-",J680)+1))&amp;AE680))</f>
        <v/>
      </c>
    </row>
    <row r="681" spans="1:34" ht="15.75" customHeight="1" x14ac:dyDescent="0.2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 s="6" t="e">
        <f t="shared" si="30"/>
        <v>#VALUE!</v>
      </c>
      <c r="Y681" s="7" t="str">
        <f t="shared" si="31"/>
        <v>DC</v>
      </c>
      <c r="Z681" s="7">
        <f t="shared" si="32"/>
        <v>0</v>
      </c>
      <c r="AA681" s="7">
        <f t="shared" si="33"/>
        <v>0</v>
      </c>
      <c r="AB681" s="7">
        <f t="shared" si="34"/>
        <v>0</v>
      </c>
      <c r="AC681" s="7">
        <f t="shared" si="35"/>
        <v>0</v>
      </c>
      <c r="AD681" s="7">
        <f t="shared" si="36"/>
        <v>0</v>
      </c>
      <c r="AE681" s="8" cm="1">
        <f t="array" ref="AE681">IFERROR(_xlfn.XLOOKUP(H681,Sheet1!$G:$G,Sheet1!$F:$F),IFERROR(_xlfn.XLOOKUP(1,(--($X$2:$X$1074=X681))*(--ISNUMBER(MATCH($H$2:$H$1074,Sheet1!$G:$G,0))),_xlfn.XLOOKUP($H$2:$H$1074,Sheet1!$G:$G,Sheet1!$F:$F,"")),"NOT FOUND"))</f>
        <v>0</v>
      </c>
      <c r="AF681" s="9" t="str">
        <f t="shared" si="41"/>
        <v/>
      </c>
      <c r="AG681" s="10" t="str">
        <f t="shared" si="42"/>
        <v/>
      </c>
      <c r="AH681" s="8" t="str" cm="1">
        <f t="array" ref="AH681">IF(OR(J681="",AE681="",AE681="NOT FOUND"),"",IF(Y681="RP",_xlfn.LET(_xlpm.desc,_xlfn.XLOOKUP(1,(--(Sheet1!$F$2:$F$754=AE681))*(--ISNUMBER(FIND("-",Sheet1!$W$2:$W$754,FIND("-",Sheet1!$W$2:$W$754)+1))),Sheet1!$W$2:$W$754,""),IF(_xlpm.desc="","NOT FOUND",LEFT(_xlpm.desc,FIND("-",_xlpm.desc,FIND("-",_xlpm.desc)+1))&amp;AE681)),LEFT(J681,FIND("-",J681,FIND("-",J681)+1))&amp;AE681))</f>
        <v/>
      </c>
    </row>
    <row r="682" spans="1:34" ht="15.75" customHeight="1" x14ac:dyDescent="0.2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 s="6" t="e">
        <f t="shared" si="30"/>
        <v>#VALUE!</v>
      </c>
      <c r="Y682" s="7" t="str">
        <f t="shared" si="31"/>
        <v>DC</v>
      </c>
      <c r="Z682" s="7">
        <f t="shared" si="32"/>
        <v>0</v>
      </c>
      <c r="AA682" s="7">
        <f t="shared" si="33"/>
        <v>0</v>
      </c>
      <c r="AB682" s="7">
        <f t="shared" si="34"/>
        <v>0</v>
      </c>
      <c r="AC682" s="7">
        <f t="shared" si="35"/>
        <v>0</v>
      </c>
      <c r="AD682" s="7">
        <f t="shared" si="36"/>
        <v>0</v>
      </c>
      <c r="AE682" s="8" cm="1">
        <f t="array" ref="AE682">IFERROR(_xlfn.XLOOKUP(H682,Sheet1!$G:$G,Sheet1!$F:$F),IFERROR(_xlfn.XLOOKUP(1,(--($X$2:$X$1074=X682))*(--ISNUMBER(MATCH($H$2:$H$1074,Sheet1!$G:$G,0))),_xlfn.XLOOKUP($H$2:$H$1074,Sheet1!$G:$G,Sheet1!$F:$F,"")),"NOT FOUND"))</f>
        <v>0</v>
      </c>
      <c r="AF682" s="9" t="str">
        <f t="shared" si="41"/>
        <v/>
      </c>
      <c r="AG682" s="10" t="str">
        <f t="shared" si="42"/>
        <v/>
      </c>
      <c r="AH682" s="8" t="str" cm="1">
        <f t="array" ref="AH682">IF(OR(J682="",AE682="",AE682="NOT FOUND"),"",IF(Y682="RP",_xlfn.LET(_xlpm.desc,_xlfn.XLOOKUP(1,(--(Sheet1!$F$2:$F$754=AE682))*(--ISNUMBER(FIND("-",Sheet1!$W$2:$W$754,FIND("-",Sheet1!$W$2:$W$754)+1))),Sheet1!$W$2:$W$754,""),IF(_xlpm.desc="","NOT FOUND",LEFT(_xlpm.desc,FIND("-",_xlpm.desc,FIND("-",_xlpm.desc)+1))&amp;AE682)),LEFT(J682,FIND("-",J682,FIND("-",J682)+1))&amp;AE682))</f>
        <v/>
      </c>
    </row>
    <row r="683" spans="1:34" ht="15.75" customHeight="1" x14ac:dyDescent="0.2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 s="6" t="e">
        <f t="shared" si="30"/>
        <v>#VALUE!</v>
      </c>
      <c r="Y683" s="7" t="str">
        <f t="shared" si="31"/>
        <v>DC</v>
      </c>
      <c r="Z683" s="7">
        <f t="shared" si="32"/>
        <v>0</v>
      </c>
      <c r="AA683" s="7">
        <f t="shared" si="33"/>
        <v>0</v>
      </c>
      <c r="AB683" s="7">
        <f t="shared" si="34"/>
        <v>0</v>
      </c>
      <c r="AC683" s="7">
        <f t="shared" si="35"/>
        <v>0</v>
      </c>
      <c r="AD683" s="7">
        <f t="shared" si="36"/>
        <v>0</v>
      </c>
      <c r="AE683" s="8" cm="1">
        <f t="array" ref="AE683">IFERROR(_xlfn.XLOOKUP(H683,Sheet1!$G:$G,Sheet1!$F:$F),IFERROR(_xlfn.XLOOKUP(1,(--($X$2:$X$1074=X683))*(--ISNUMBER(MATCH($H$2:$H$1074,Sheet1!$G:$G,0))),_xlfn.XLOOKUP($H$2:$H$1074,Sheet1!$G:$G,Sheet1!$F:$F,"")),"NOT FOUND"))</f>
        <v>0</v>
      </c>
      <c r="AF683" s="9" t="str">
        <f t="shared" si="41"/>
        <v/>
      </c>
      <c r="AG683" s="10" t="str">
        <f t="shared" si="42"/>
        <v/>
      </c>
      <c r="AH683" s="8" t="str" cm="1">
        <f t="array" ref="AH683">IF(OR(J683="",AE683="",AE683="NOT FOUND"),"",IF(Y683="RP",_xlfn.LET(_xlpm.desc,_xlfn.XLOOKUP(1,(--(Sheet1!$F$2:$F$754=AE683))*(--ISNUMBER(FIND("-",Sheet1!$W$2:$W$754,FIND("-",Sheet1!$W$2:$W$754)+1))),Sheet1!$W$2:$W$754,""),IF(_xlpm.desc="","NOT FOUND",LEFT(_xlpm.desc,FIND("-",_xlpm.desc,FIND("-",_xlpm.desc)+1))&amp;AE683)),LEFT(J683,FIND("-",J683,FIND("-",J683)+1))&amp;AE683))</f>
        <v/>
      </c>
    </row>
    <row r="684" spans="1:34" ht="15.75" customHeight="1" x14ac:dyDescent="0.2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 s="6" t="e">
        <f t="shared" si="30"/>
        <v>#VALUE!</v>
      </c>
      <c r="Y684" s="7" t="str">
        <f t="shared" si="31"/>
        <v>DC</v>
      </c>
      <c r="Z684" s="7">
        <f t="shared" si="32"/>
        <v>0</v>
      </c>
      <c r="AA684" s="7">
        <f t="shared" si="33"/>
        <v>0</v>
      </c>
      <c r="AB684" s="7">
        <f t="shared" si="34"/>
        <v>0</v>
      </c>
      <c r="AC684" s="7">
        <f t="shared" si="35"/>
        <v>0</v>
      </c>
      <c r="AD684" s="7">
        <f t="shared" si="36"/>
        <v>0</v>
      </c>
      <c r="AE684" s="8" cm="1">
        <f t="array" ref="AE684">IFERROR(_xlfn.XLOOKUP(H684,Sheet1!$G:$G,Sheet1!$F:$F),IFERROR(_xlfn.XLOOKUP(1,(--($X$2:$X$1074=X684))*(--ISNUMBER(MATCH($H$2:$H$1074,Sheet1!$G:$G,0))),_xlfn.XLOOKUP($H$2:$H$1074,Sheet1!$G:$G,Sheet1!$F:$F,"")),"NOT FOUND"))</f>
        <v>0</v>
      </c>
      <c r="AF684" s="9" t="str">
        <f t="shared" si="41"/>
        <v/>
      </c>
      <c r="AG684" s="10" t="str">
        <f t="shared" si="42"/>
        <v/>
      </c>
      <c r="AH684" s="8" t="str" cm="1">
        <f t="array" ref="AH684">IF(OR(J684="",AE684="",AE684="NOT FOUND"),"",IF(Y684="RP",_xlfn.LET(_xlpm.desc,_xlfn.XLOOKUP(1,(--(Sheet1!$F$2:$F$754=AE684))*(--ISNUMBER(FIND("-",Sheet1!$W$2:$W$754,FIND("-",Sheet1!$W$2:$W$754)+1))),Sheet1!$W$2:$W$754,""),IF(_xlpm.desc="","NOT FOUND",LEFT(_xlpm.desc,FIND("-",_xlpm.desc,FIND("-",_xlpm.desc)+1))&amp;AE684)),LEFT(J684,FIND("-",J684,FIND("-",J684)+1))&amp;AE684))</f>
        <v/>
      </c>
    </row>
    <row r="685" spans="1:34" ht="15.75" customHeight="1" x14ac:dyDescent="0.2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 s="6" t="e">
        <f t="shared" si="30"/>
        <v>#VALUE!</v>
      </c>
      <c r="Y685" s="7" t="str">
        <f t="shared" si="31"/>
        <v>DC</v>
      </c>
      <c r="Z685" s="7">
        <f t="shared" si="32"/>
        <v>0</v>
      </c>
      <c r="AA685" s="7">
        <f t="shared" si="33"/>
        <v>0</v>
      </c>
      <c r="AB685" s="7">
        <f t="shared" si="34"/>
        <v>0</v>
      </c>
      <c r="AC685" s="7">
        <f t="shared" si="35"/>
        <v>0</v>
      </c>
      <c r="AD685" s="7">
        <f t="shared" si="36"/>
        <v>0</v>
      </c>
      <c r="AE685" s="8" cm="1">
        <f t="array" ref="AE685">IFERROR(_xlfn.XLOOKUP(H685,Sheet1!$G:$G,Sheet1!$F:$F),IFERROR(_xlfn.XLOOKUP(1,(--($X$2:$X$1074=X685))*(--ISNUMBER(MATCH($H$2:$H$1074,Sheet1!$G:$G,0))),_xlfn.XLOOKUP($H$2:$H$1074,Sheet1!$G:$G,Sheet1!$F:$F,"")),"NOT FOUND"))</f>
        <v>0</v>
      </c>
      <c r="AF685" s="9" t="str">
        <f t="shared" si="41"/>
        <v/>
      </c>
      <c r="AG685" s="10" t="str">
        <f t="shared" si="42"/>
        <v/>
      </c>
      <c r="AH685" s="8" t="str" cm="1">
        <f t="array" ref="AH685">IF(OR(J685="",AE685="",AE685="NOT FOUND"),"",IF(Y685="RP",_xlfn.LET(_xlpm.desc,_xlfn.XLOOKUP(1,(--(Sheet1!$F$2:$F$754=AE685))*(--ISNUMBER(FIND("-",Sheet1!$W$2:$W$754,FIND("-",Sheet1!$W$2:$W$754)+1))),Sheet1!$W$2:$W$754,""),IF(_xlpm.desc="","NOT FOUND",LEFT(_xlpm.desc,FIND("-",_xlpm.desc,FIND("-",_xlpm.desc)+1))&amp;AE685)),LEFT(J685,FIND("-",J685,FIND("-",J685)+1))&amp;AE685))</f>
        <v/>
      </c>
    </row>
    <row r="686" spans="1:34" ht="15.75" customHeight="1" x14ac:dyDescent="0.2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 s="6" t="e">
        <f t="shared" si="30"/>
        <v>#VALUE!</v>
      </c>
      <c r="Y686" s="7" t="str">
        <f t="shared" si="31"/>
        <v>DC</v>
      </c>
      <c r="Z686" s="7">
        <f t="shared" si="32"/>
        <v>0</v>
      </c>
      <c r="AA686" s="7">
        <f t="shared" si="33"/>
        <v>0</v>
      </c>
      <c r="AB686" s="7">
        <f t="shared" si="34"/>
        <v>0</v>
      </c>
      <c r="AC686" s="7">
        <f t="shared" si="35"/>
        <v>0</v>
      </c>
      <c r="AD686" s="7">
        <f t="shared" si="36"/>
        <v>0</v>
      </c>
      <c r="AE686" s="8" cm="1">
        <f t="array" ref="AE686">IFERROR(_xlfn.XLOOKUP(H686,Sheet1!$G:$G,Sheet1!$F:$F),IFERROR(_xlfn.XLOOKUP(1,(--($X$2:$X$1074=X686))*(--ISNUMBER(MATCH($H$2:$H$1074,Sheet1!$G:$G,0))),_xlfn.XLOOKUP($H$2:$H$1074,Sheet1!$G:$G,Sheet1!$F:$F,"")),"NOT FOUND"))</f>
        <v>0</v>
      </c>
      <c r="AF686" s="9" t="str">
        <f t="shared" si="41"/>
        <v/>
      </c>
      <c r="AG686" s="10" t="str">
        <f t="shared" si="42"/>
        <v/>
      </c>
      <c r="AH686" s="8" t="str" cm="1">
        <f t="array" ref="AH686">IF(OR(J686="",AE686="",AE686="NOT FOUND"),"",IF(Y686="RP",_xlfn.LET(_xlpm.desc,_xlfn.XLOOKUP(1,(--(Sheet1!$F$2:$F$754=AE686))*(--ISNUMBER(FIND("-",Sheet1!$W$2:$W$754,FIND("-",Sheet1!$W$2:$W$754)+1))),Sheet1!$W$2:$W$754,""),IF(_xlpm.desc="","NOT FOUND",LEFT(_xlpm.desc,FIND("-",_xlpm.desc,FIND("-",_xlpm.desc)+1))&amp;AE686)),LEFT(J686,FIND("-",J686,FIND("-",J686)+1))&amp;AE686))</f>
        <v/>
      </c>
    </row>
    <row r="687" spans="1:34" ht="15.75" customHeight="1" x14ac:dyDescent="0.2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 s="6" t="e">
        <f t="shared" si="30"/>
        <v>#VALUE!</v>
      </c>
      <c r="Y687" s="7" t="str">
        <f t="shared" si="31"/>
        <v>DC</v>
      </c>
      <c r="Z687" s="7">
        <f t="shared" si="32"/>
        <v>0</v>
      </c>
      <c r="AA687" s="7">
        <f t="shared" si="33"/>
        <v>0</v>
      </c>
      <c r="AB687" s="7">
        <f t="shared" si="34"/>
        <v>0</v>
      </c>
      <c r="AC687" s="7">
        <f t="shared" si="35"/>
        <v>0</v>
      </c>
      <c r="AD687" s="7">
        <f t="shared" si="36"/>
        <v>0</v>
      </c>
      <c r="AE687" s="8" cm="1">
        <f t="array" ref="AE687">IFERROR(_xlfn.XLOOKUP(H687,Sheet1!$G:$G,Sheet1!$F:$F),IFERROR(_xlfn.XLOOKUP(1,(--($X$2:$X$1074=X687))*(--ISNUMBER(MATCH($H$2:$H$1074,Sheet1!$G:$G,0))),_xlfn.XLOOKUP($H$2:$H$1074,Sheet1!$G:$G,Sheet1!$F:$F,"")),"NOT FOUND"))</f>
        <v>0</v>
      </c>
      <c r="AF687" s="9" t="str">
        <f t="shared" si="41"/>
        <v/>
      </c>
      <c r="AG687" s="10" t="str">
        <f t="shared" si="42"/>
        <v/>
      </c>
      <c r="AH687" s="8" t="str" cm="1">
        <f t="array" ref="AH687">IF(OR(J687="",AE687="",AE687="NOT FOUND"),"",IF(Y687="RP",_xlfn.LET(_xlpm.desc,_xlfn.XLOOKUP(1,(--(Sheet1!$F$2:$F$754=AE687))*(--ISNUMBER(FIND("-",Sheet1!$W$2:$W$754,FIND("-",Sheet1!$W$2:$W$754)+1))),Sheet1!$W$2:$W$754,""),IF(_xlpm.desc="","NOT FOUND",LEFT(_xlpm.desc,FIND("-",_xlpm.desc,FIND("-",_xlpm.desc)+1))&amp;AE687)),LEFT(J687,FIND("-",J687,FIND("-",J687)+1))&amp;AE687))</f>
        <v/>
      </c>
    </row>
    <row r="688" spans="1:34" ht="15.75" customHeight="1" x14ac:dyDescent="0.2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 s="6" t="e">
        <f t="shared" si="30"/>
        <v>#VALUE!</v>
      </c>
      <c r="Y688" s="7" t="str">
        <f t="shared" si="31"/>
        <v>DC</v>
      </c>
      <c r="Z688" s="7">
        <f t="shared" si="32"/>
        <v>0</v>
      </c>
      <c r="AA688" s="7">
        <f t="shared" si="33"/>
        <v>0</v>
      </c>
      <c r="AB688" s="7">
        <f t="shared" si="34"/>
        <v>0</v>
      </c>
      <c r="AC688" s="7">
        <f t="shared" si="35"/>
        <v>0</v>
      </c>
      <c r="AD688" s="7">
        <f t="shared" si="36"/>
        <v>0</v>
      </c>
      <c r="AE688" s="8" cm="1">
        <f t="array" ref="AE688">IFERROR(_xlfn.XLOOKUP(H688,Sheet1!$G:$G,Sheet1!$F:$F),IFERROR(_xlfn.XLOOKUP(1,(--($X$2:$X$1074=X688))*(--ISNUMBER(MATCH($H$2:$H$1074,Sheet1!$G:$G,0))),_xlfn.XLOOKUP($H$2:$H$1074,Sheet1!$G:$G,Sheet1!$F:$F,"")),"NOT FOUND"))</f>
        <v>0</v>
      </c>
      <c r="AF688" s="9" t="str">
        <f t="shared" si="41"/>
        <v/>
      </c>
      <c r="AG688" s="10" t="str">
        <f t="shared" si="42"/>
        <v/>
      </c>
      <c r="AH688" s="8" t="str" cm="1">
        <f t="array" ref="AH688">IF(OR(J688="",AE688="",AE688="NOT FOUND"),"",IF(Y688="RP",_xlfn.LET(_xlpm.desc,_xlfn.XLOOKUP(1,(--(Sheet1!$F$2:$F$754=AE688))*(--ISNUMBER(FIND("-",Sheet1!$W$2:$W$754,FIND("-",Sheet1!$W$2:$W$754)+1))),Sheet1!$W$2:$W$754,""),IF(_xlpm.desc="","NOT FOUND",LEFT(_xlpm.desc,FIND("-",_xlpm.desc,FIND("-",_xlpm.desc)+1))&amp;AE688)),LEFT(J688,FIND("-",J688,FIND("-",J688)+1))&amp;AE688))</f>
        <v/>
      </c>
    </row>
    <row r="689" spans="1:34" ht="15.75" customHeight="1" x14ac:dyDescent="0.2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 s="6" t="e">
        <f t="shared" si="30"/>
        <v>#VALUE!</v>
      </c>
      <c r="Y689" s="7" t="str">
        <f t="shared" si="31"/>
        <v>DC</v>
      </c>
      <c r="Z689" s="7">
        <f t="shared" si="32"/>
        <v>0</v>
      </c>
      <c r="AA689" s="7">
        <f t="shared" si="33"/>
        <v>0</v>
      </c>
      <c r="AB689" s="7">
        <f t="shared" si="34"/>
        <v>0</v>
      </c>
      <c r="AC689" s="7">
        <f t="shared" si="35"/>
        <v>0</v>
      </c>
      <c r="AD689" s="7">
        <f t="shared" si="36"/>
        <v>0</v>
      </c>
      <c r="AE689" s="8" cm="1">
        <f t="array" ref="AE689">IFERROR(_xlfn.XLOOKUP(H689,Sheet1!$G:$G,Sheet1!$F:$F),IFERROR(_xlfn.XLOOKUP(1,(--($X$2:$X$1074=X689))*(--ISNUMBER(MATCH($H$2:$H$1074,Sheet1!$G:$G,0))),_xlfn.XLOOKUP($H$2:$H$1074,Sheet1!$G:$G,Sheet1!$F:$F,"")),"NOT FOUND"))</f>
        <v>0</v>
      </c>
      <c r="AF689" s="9" t="str">
        <f t="shared" si="41"/>
        <v/>
      </c>
      <c r="AG689" s="10" t="str">
        <f t="shared" si="42"/>
        <v/>
      </c>
      <c r="AH689" s="8" t="str" cm="1">
        <f t="array" ref="AH689">IF(OR(J689="",AE689="",AE689="NOT FOUND"),"",IF(Y689="RP",_xlfn.LET(_xlpm.desc,_xlfn.XLOOKUP(1,(--(Sheet1!$F$2:$F$754=AE689))*(--ISNUMBER(FIND("-",Sheet1!$W$2:$W$754,FIND("-",Sheet1!$W$2:$W$754)+1))),Sheet1!$W$2:$W$754,""),IF(_xlpm.desc="","NOT FOUND",LEFT(_xlpm.desc,FIND("-",_xlpm.desc,FIND("-",_xlpm.desc)+1))&amp;AE689)),LEFT(J689,FIND("-",J689,FIND("-",J689)+1))&amp;AE689))</f>
        <v/>
      </c>
    </row>
    <row r="690" spans="1:34" ht="15.75" customHeight="1" x14ac:dyDescent="0.2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 s="6" t="e">
        <f t="shared" si="30"/>
        <v>#VALUE!</v>
      </c>
      <c r="Y690" s="7" t="str">
        <f t="shared" si="31"/>
        <v>DC</v>
      </c>
      <c r="Z690" s="7">
        <f t="shared" si="32"/>
        <v>0</v>
      </c>
      <c r="AA690" s="7">
        <f t="shared" si="33"/>
        <v>0</v>
      </c>
      <c r="AB690" s="7">
        <f t="shared" si="34"/>
        <v>0</v>
      </c>
      <c r="AC690" s="7">
        <f t="shared" si="35"/>
        <v>0</v>
      </c>
      <c r="AD690" s="7">
        <f t="shared" si="36"/>
        <v>0</v>
      </c>
      <c r="AE690" s="8" cm="1">
        <f t="array" ref="AE690">IFERROR(_xlfn.XLOOKUP(H690,Sheet1!$G:$G,Sheet1!$F:$F),IFERROR(_xlfn.XLOOKUP(1,(--($X$2:$X$1074=X690))*(--ISNUMBER(MATCH($H$2:$H$1074,Sheet1!$G:$G,0))),_xlfn.XLOOKUP($H$2:$H$1074,Sheet1!$G:$G,Sheet1!$F:$F,"")),"NOT FOUND"))</f>
        <v>0</v>
      </c>
      <c r="AF690" s="9" t="str">
        <f t="shared" si="41"/>
        <v/>
      </c>
      <c r="AG690" s="10" t="str">
        <f t="shared" si="42"/>
        <v/>
      </c>
      <c r="AH690" s="8" t="str" cm="1">
        <f t="array" ref="AH690">IF(OR(J690="",AE690="",AE690="NOT FOUND"),"",IF(Y690="RP",_xlfn.LET(_xlpm.desc,_xlfn.XLOOKUP(1,(--(Sheet1!$F$2:$F$754=AE690))*(--ISNUMBER(FIND("-",Sheet1!$W$2:$W$754,FIND("-",Sheet1!$W$2:$W$754)+1))),Sheet1!$W$2:$W$754,""),IF(_xlpm.desc="","NOT FOUND",LEFT(_xlpm.desc,FIND("-",_xlpm.desc,FIND("-",_xlpm.desc)+1))&amp;AE690)),LEFT(J690,FIND("-",J690,FIND("-",J690)+1))&amp;AE690))</f>
        <v/>
      </c>
    </row>
    <row r="691" spans="1:34" ht="15.75" customHeight="1" x14ac:dyDescent="0.2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 s="6" t="e">
        <f t="shared" si="30"/>
        <v>#VALUE!</v>
      </c>
      <c r="Y691" s="7" t="str">
        <f t="shared" si="31"/>
        <v>DC</v>
      </c>
      <c r="Z691" s="7">
        <f t="shared" si="32"/>
        <v>0</v>
      </c>
      <c r="AA691" s="7">
        <f t="shared" si="33"/>
        <v>0</v>
      </c>
      <c r="AB691" s="7">
        <f t="shared" si="34"/>
        <v>0</v>
      </c>
      <c r="AC691" s="7">
        <f t="shared" si="35"/>
        <v>0</v>
      </c>
      <c r="AD691" s="7">
        <f t="shared" si="36"/>
        <v>0</v>
      </c>
      <c r="AE691" s="8" cm="1">
        <f t="array" ref="AE691">IFERROR(_xlfn.XLOOKUP(H691,Sheet1!$G:$G,Sheet1!$F:$F),IFERROR(_xlfn.XLOOKUP(1,(--($X$2:$X$1074=X691))*(--ISNUMBER(MATCH($H$2:$H$1074,Sheet1!$G:$G,0))),_xlfn.XLOOKUP($H$2:$H$1074,Sheet1!$G:$G,Sheet1!$F:$F,"")),"NOT FOUND"))</f>
        <v>0</v>
      </c>
      <c r="AF691" s="9" t="str">
        <f t="shared" si="41"/>
        <v/>
      </c>
      <c r="AG691" s="10" t="str">
        <f t="shared" si="42"/>
        <v/>
      </c>
      <c r="AH691" s="8" t="str" cm="1">
        <f t="array" ref="AH691">IF(OR(J691="",AE691="",AE691="NOT FOUND"),"",IF(Y691="RP",_xlfn.LET(_xlpm.desc,_xlfn.XLOOKUP(1,(--(Sheet1!$F$2:$F$754=AE691))*(--ISNUMBER(FIND("-",Sheet1!$W$2:$W$754,FIND("-",Sheet1!$W$2:$W$754)+1))),Sheet1!$W$2:$W$754,""),IF(_xlpm.desc="","NOT FOUND",LEFT(_xlpm.desc,FIND("-",_xlpm.desc,FIND("-",_xlpm.desc)+1))&amp;AE691)),LEFT(J691,FIND("-",J691,FIND("-",J691)+1))&amp;AE691))</f>
        <v/>
      </c>
    </row>
    <row r="692" spans="1:34" ht="15.75" customHeight="1" x14ac:dyDescent="0.2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 s="6" t="e">
        <f t="shared" si="30"/>
        <v>#VALUE!</v>
      </c>
      <c r="Y692" s="7" t="str">
        <f t="shared" si="31"/>
        <v>DC</v>
      </c>
      <c r="Z692" s="7">
        <f t="shared" si="32"/>
        <v>0</v>
      </c>
      <c r="AA692" s="7">
        <f t="shared" si="33"/>
        <v>0</v>
      </c>
      <c r="AB692" s="7">
        <f t="shared" si="34"/>
        <v>0</v>
      </c>
      <c r="AC692" s="7">
        <f t="shared" si="35"/>
        <v>0</v>
      </c>
      <c r="AD692" s="7">
        <f t="shared" si="36"/>
        <v>0</v>
      </c>
      <c r="AE692" s="8" cm="1">
        <f t="array" ref="AE692">IFERROR(_xlfn.XLOOKUP(H692,Sheet1!$G:$G,Sheet1!$F:$F),IFERROR(_xlfn.XLOOKUP(1,(--($X$2:$X$1074=X692))*(--ISNUMBER(MATCH($H$2:$H$1074,Sheet1!$G:$G,0))),_xlfn.XLOOKUP($H$2:$H$1074,Sheet1!$G:$G,Sheet1!$F:$F,"")),"NOT FOUND"))</f>
        <v>0</v>
      </c>
      <c r="AF692" s="9" t="str">
        <f t="shared" si="41"/>
        <v/>
      </c>
      <c r="AG692" s="10" t="str">
        <f t="shared" si="42"/>
        <v/>
      </c>
      <c r="AH692" s="8" t="str" cm="1">
        <f t="array" ref="AH692">IF(OR(J692="",AE692="",AE692="NOT FOUND"),"",IF(Y692="RP",_xlfn.LET(_xlpm.desc,_xlfn.XLOOKUP(1,(--(Sheet1!$F$2:$F$754=AE692))*(--ISNUMBER(FIND("-",Sheet1!$W$2:$W$754,FIND("-",Sheet1!$W$2:$W$754)+1))),Sheet1!$W$2:$W$754,""),IF(_xlpm.desc="","NOT FOUND",LEFT(_xlpm.desc,FIND("-",_xlpm.desc,FIND("-",_xlpm.desc)+1))&amp;AE692)),LEFT(J692,FIND("-",J692,FIND("-",J692)+1))&amp;AE692))</f>
        <v/>
      </c>
    </row>
    <row r="693" spans="1:34" ht="15.75" customHeight="1" x14ac:dyDescent="0.2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 s="6" t="e">
        <f t="shared" si="30"/>
        <v>#VALUE!</v>
      </c>
      <c r="Y693" s="7" t="str">
        <f t="shared" si="31"/>
        <v>DC</v>
      </c>
      <c r="Z693" s="7">
        <f t="shared" si="32"/>
        <v>0</v>
      </c>
      <c r="AA693" s="7">
        <f t="shared" si="33"/>
        <v>0</v>
      </c>
      <c r="AB693" s="7">
        <f t="shared" si="34"/>
        <v>0</v>
      </c>
      <c r="AC693" s="7">
        <f t="shared" si="35"/>
        <v>0</v>
      </c>
      <c r="AD693" s="7">
        <f t="shared" si="36"/>
        <v>0</v>
      </c>
      <c r="AE693" s="8" cm="1">
        <f t="array" ref="AE693">IFERROR(_xlfn.XLOOKUP(H693,Sheet1!$G:$G,Sheet1!$F:$F),IFERROR(_xlfn.XLOOKUP(1,(--($X$2:$X$1074=X693))*(--ISNUMBER(MATCH($H$2:$H$1074,Sheet1!$G:$G,0))),_xlfn.XLOOKUP($H$2:$H$1074,Sheet1!$G:$G,Sheet1!$F:$F,"")),"NOT FOUND"))</f>
        <v>0</v>
      </c>
      <c r="AF693" s="9" t="str">
        <f t="shared" si="41"/>
        <v/>
      </c>
      <c r="AG693" s="10" t="str">
        <f t="shared" si="42"/>
        <v/>
      </c>
      <c r="AH693" s="8" t="str" cm="1">
        <f t="array" ref="AH693">IF(OR(J693="",AE693="",AE693="NOT FOUND"),"",IF(Y693="RP",_xlfn.LET(_xlpm.desc,_xlfn.XLOOKUP(1,(--(Sheet1!$F$2:$F$754=AE693))*(--ISNUMBER(FIND("-",Sheet1!$W$2:$W$754,FIND("-",Sheet1!$W$2:$W$754)+1))),Sheet1!$W$2:$W$754,""),IF(_xlpm.desc="","NOT FOUND",LEFT(_xlpm.desc,FIND("-",_xlpm.desc,FIND("-",_xlpm.desc)+1))&amp;AE693)),LEFT(J693,FIND("-",J693,FIND("-",J693)+1))&amp;AE693))</f>
        <v/>
      </c>
    </row>
    <row r="694" spans="1:34" ht="15.75" customHeight="1" x14ac:dyDescent="0.2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 s="6" t="e">
        <f t="shared" si="30"/>
        <v>#VALUE!</v>
      </c>
      <c r="Y694" s="7" t="str">
        <f t="shared" si="31"/>
        <v>DC</v>
      </c>
      <c r="Z694" s="7">
        <f t="shared" si="32"/>
        <v>0</v>
      </c>
      <c r="AA694" s="7">
        <f t="shared" si="33"/>
        <v>0</v>
      </c>
      <c r="AB694" s="7">
        <f t="shared" si="34"/>
        <v>0</v>
      </c>
      <c r="AC694" s="7">
        <f t="shared" si="35"/>
        <v>0</v>
      </c>
      <c r="AD694" s="7">
        <f t="shared" si="36"/>
        <v>0</v>
      </c>
      <c r="AE694" s="8" cm="1">
        <f t="array" ref="AE694">IFERROR(_xlfn.XLOOKUP(H694,Sheet1!$G:$G,Sheet1!$F:$F),IFERROR(_xlfn.XLOOKUP(1,(--($X$2:$X$1074=X694))*(--ISNUMBER(MATCH($H$2:$H$1074,Sheet1!$G:$G,0))),_xlfn.XLOOKUP($H$2:$H$1074,Sheet1!$G:$G,Sheet1!$F:$F,"")),"NOT FOUND"))</f>
        <v>0</v>
      </c>
      <c r="AF694" s="9" t="str">
        <f t="shared" si="41"/>
        <v/>
      </c>
      <c r="AG694" s="10" t="str">
        <f t="shared" si="42"/>
        <v/>
      </c>
      <c r="AH694" s="8" t="str" cm="1">
        <f t="array" ref="AH694">IF(OR(J694="",AE694="",AE694="NOT FOUND"),"",IF(Y694="RP",_xlfn.LET(_xlpm.desc,_xlfn.XLOOKUP(1,(--(Sheet1!$F$2:$F$754=AE694))*(--ISNUMBER(FIND("-",Sheet1!$W$2:$W$754,FIND("-",Sheet1!$W$2:$W$754)+1))),Sheet1!$W$2:$W$754,""),IF(_xlpm.desc="","NOT FOUND",LEFT(_xlpm.desc,FIND("-",_xlpm.desc,FIND("-",_xlpm.desc)+1))&amp;AE694)),LEFT(J694,FIND("-",J694,FIND("-",J694)+1))&amp;AE694))</f>
        <v/>
      </c>
    </row>
    <row r="695" spans="1:34" ht="15.75" customHeight="1" x14ac:dyDescent="0.2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 s="6" t="e">
        <f t="shared" si="30"/>
        <v>#VALUE!</v>
      </c>
      <c r="Y695" s="7" t="str">
        <f t="shared" si="31"/>
        <v>DC</v>
      </c>
      <c r="Z695" s="7">
        <f t="shared" si="32"/>
        <v>0</v>
      </c>
      <c r="AA695" s="7">
        <f t="shared" si="33"/>
        <v>0</v>
      </c>
      <c r="AB695" s="7">
        <f t="shared" si="34"/>
        <v>0</v>
      </c>
      <c r="AC695" s="7">
        <f t="shared" si="35"/>
        <v>0</v>
      </c>
      <c r="AD695" s="7">
        <f t="shared" si="36"/>
        <v>0</v>
      </c>
      <c r="AE695" s="8" cm="1">
        <f t="array" ref="AE695">IFERROR(_xlfn.XLOOKUP(H695,Sheet1!$G:$G,Sheet1!$F:$F),IFERROR(_xlfn.XLOOKUP(1,(--($X$2:$X$1074=X695))*(--ISNUMBER(MATCH($H$2:$H$1074,Sheet1!$G:$G,0))),_xlfn.XLOOKUP($H$2:$H$1074,Sheet1!$G:$G,Sheet1!$F:$F,"")),"NOT FOUND"))</f>
        <v>0</v>
      </c>
      <c r="AF695" s="9" t="str">
        <f t="shared" si="41"/>
        <v/>
      </c>
      <c r="AG695" s="10" t="str">
        <f t="shared" si="42"/>
        <v/>
      </c>
      <c r="AH695" s="8" t="str" cm="1">
        <f t="array" ref="AH695">IF(OR(J695="",AE695="",AE695="NOT FOUND"),"",IF(Y695="RP",_xlfn.LET(_xlpm.desc,_xlfn.XLOOKUP(1,(--(Sheet1!$F$2:$F$754=AE695))*(--ISNUMBER(FIND("-",Sheet1!$W$2:$W$754,FIND("-",Sheet1!$W$2:$W$754)+1))),Sheet1!$W$2:$W$754,""),IF(_xlpm.desc="","NOT FOUND",LEFT(_xlpm.desc,FIND("-",_xlpm.desc,FIND("-",_xlpm.desc)+1))&amp;AE695)),LEFT(J695,FIND("-",J695,FIND("-",J695)+1))&amp;AE695))</f>
        <v/>
      </c>
    </row>
    <row r="696" spans="1:34" ht="15.75" customHeight="1" x14ac:dyDescent="0.2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 s="6" t="e">
        <f t="shared" si="30"/>
        <v>#VALUE!</v>
      </c>
      <c r="Y696" s="7" t="str">
        <f t="shared" si="31"/>
        <v>DC</v>
      </c>
      <c r="Z696" s="7">
        <f t="shared" si="32"/>
        <v>0</v>
      </c>
      <c r="AA696" s="7">
        <f t="shared" si="33"/>
        <v>0</v>
      </c>
      <c r="AB696" s="7">
        <f t="shared" si="34"/>
        <v>0</v>
      </c>
      <c r="AC696" s="7">
        <f t="shared" si="35"/>
        <v>0</v>
      </c>
      <c r="AD696" s="7">
        <f t="shared" si="36"/>
        <v>0</v>
      </c>
      <c r="AE696" s="8" cm="1">
        <f t="array" ref="AE696">IFERROR(_xlfn.XLOOKUP(H696,Sheet1!$G:$G,Sheet1!$F:$F),IFERROR(_xlfn.XLOOKUP(1,(--($X$2:$X$1074=X696))*(--ISNUMBER(MATCH($H$2:$H$1074,Sheet1!$G:$G,0))),_xlfn.XLOOKUP($H$2:$H$1074,Sheet1!$G:$G,Sheet1!$F:$F,"")),"NOT FOUND"))</f>
        <v>0</v>
      </c>
      <c r="AF696" s="9" t="str">
        <f t="shared" si="41"/>
        <v/>
      </c>
      <c r="AG696" s="10" t="str">
        <f t="shared" si="42"/>
        <v/>
      </c>
      <c r="AH696" s="8" t="str" cm="1">
        <f t="array" ref="AH696">IF(OR(J696="",AE696="",AE696="NOT FOUND"),"",IF(Y696="RP",_xlfn.LET(_xlpm.desc,_xlfn.XLOOKUP(1,(--(Sheet1!$F$2:$F$754=AE696))*(--ISNUMBER(FIND("-",Sheet1!$W$2:$W$754,FIND("-",Sheet1!$W$2:$W$754)+1))),Sheet1!$W$2:$W$754,""),IF(_xlpm.desc="","NOT FOUND",LEFT(_xlpm.desc,FIND("-",_xlpm.desc,FIND("-",_xlpm.desc)+1))&amp;AE696)),LEFT(J696,FIND("-",J696,FIND("-",J696)+1))&amp;AE696))</f>
        <v/>
      </c>
    </row>
    <row r="697" spans="1:34" ht="15.75" customHeight="1" x14ac:dyDescent="0.2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 s="6" t="e">
        <f t="shared" si="30"/>
        <v>#VALUE!</v>
      </c>
      <c r="Y697" s="7" t="str">
        <f t="shared" si="31"/>
        <v>DC</v>
      </c>
      <c r="Z697" s="7">
        <f t="shared" si="32"/>
        <v>0</v>
      </c>
      <c r="AA697" s="7">
        <f t="shared" si="33"/>
        <v>0</v>
      </c>
      <c r="AB697" s="7">
        <f t="shared" si="34"/>
        <v>0</v>
      </c>
      <c r="AC697" s="7">
        <f t="shared" si="35"/>
        <v>0</v>
      </c>
      <c r="AD697" s="7">
        <f t="shared" si="36"/>
        <v>0</v>
      </c>
      <c r="AE697" s="8" cm="1">
        <f t="array" ref="AE697">IFERROR(_xlfn.XLOOKUP(H697,Sheet1!$G:$G,Sheet1!$F:$F),IFERROR(_xlfn.XLOOKUP(1,(--($X$2:$X$1074=X697))*(--ISNUMBER(MATCH($H$2:$H$1074,Sheet1!$G:$G,0))),_xlfn.XLOOKUP($H$2:$H$1074,Sheet1!$G:$G,Sheet1!$F:$F,"")),"NOT FOUND"))</f>
        <v>0</v>
      </c>
      <c r="AF697" s="9" t="str">
        <f t="shared" si="41"/>
        <v/>
      </c>
      <c r="AG697" s="10" t="str">
        <f t="shared" si="42"/>
        <v/>
      </c>
      <c r="AH697" s="8" t="str" cm="1">
        <f t="array" ref="AH697">IF(OR(J697="",AE697="",AE697="NOT FOUND"),"",IF(Y697="RP",_xlfn.LET(_xlpm.desc,_xlfn.XLOOKUP(1,(--(Sheet1!$F$2:$F$754=AE697))*(--ISNUMBER(FIND("-",Sheet1!$W$2:$W$754,FIND("-",Sheet1!$W$2:$W$754)+1))),Sheet1!$W$2:$W$754,""),IF(_xlpm.desc="","NOT FOUND",LEFT(_xlpm.desc,FIND("-",_xlpm.desc,FIND("-",_xlpm.desc)+1))&amp;AE697)),LEFT(J697,FIND("-",J697,FIND("-",J697)+1))&amp;AE697))</f>
        <v/>
      </c>
    </row>
    <row r="698" spans="1:34" ht="15.75" customHeight="1" x14ac:dyDescent="0.2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 s="6" t="e">
        <f t="shared" si="30"/>
        <v>#VALUE!</v>
      </c>
      <c r="Y698" s="7" t="str">
        <f t="shared" si="31"/>
        <v>DC</v>
      </c>
      <c r="Z698" s="7">
        <f t="shared" si="32"/>
        <v>0</v>
      </c>
      <c r="AA698" s="7">
        <f t="shared" si="33"/>
        <v>0</v>
      </c>
      <c r="AB698" s="7">
        <f t="shared" si="34"/>
        <v>0</v>
      </c>
      <c r="AC698" s="7">
        <f t="shared" si="35"/>
        <v>0</v>
      </c>
      <c r="AD698" s="7">
        <f t="shared" si="36"/>
        <v>0</v>
      </c>
      <c r="AE698" s="8" cm="1">
        <f t="array" ref="AE698">IFERROR(_xlfn.XLOOKUP(H698,Sheet1!$G:$G,Sheet1!$F:$F),IFERROR(_xlfn.XLOOKUP(1,(--($X$2:$X$1074=X698))*(--ISNUMBER(MATCH($H$2:$H$1074,Sheet1!$G:$G,0))),_xlfn.XLOOKUP($H$2:$H$1074,Sheet1!$G:$G,Sheet1!$F:$F,"")),"NOT FOUND"))</f>
        <v>0</v>
      </c>
      <c r="AF698" s="9" t="str">
        <f t="shared" si="41"/>
        <v/>
      </c>
      <c r="AG698" s="10" t="str">
        <f t="shared" si="42"/>
        <v/>
      </c>
      <c r="AH698" s="8" t="str" cm="1">
        <f t="array" ref="AH698">IF(OR(J698="",AE698="",AE698="NOT FOUND"),"",IF(Y698="RP",_xlfn.LET(_xlpm.desc,_xlfn.XLOOKUP(1,(--(Sheet1!$F$2:$F$754=AE698))*(--ISNUMBER(FIND("-",Sheet1!$W$2:$W$754,FIND("-",Sheet1!$W$2:$W$754)+1))),Sheet1!$W$2:$W$754,""),IF(_xlpm.desc="","NOT FOUND",LEFT(_xlpm.desc,FIND("-",_xlpm.desc,FIND("-",_xlpm.desc)+1))&amp;AE698)),LEFT(J698,FIND("-",J698,FIND("-",J698)+1))&amp;AE698))</f>
        <v/>
      </c>
    </row>
    <row r="699" spans="1:34" ht="15.75" customHeight="1" x14ac:dyDescent="0.2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 s="6" t="e">
        <f t="shared" si="30"/>
        <v>#VALUE!</v>
      </c>
      <c r="Y699" s="7" t="str">
        <f t="shared" si="31"/>
        <v>DC</v>
      </c>
      <c r="Z699" s="7">
        <f t="shared" si="32"/>
        <v>0</v>
      </c>
      <c r="AA699" s="7">
        <f t="shared" si="33"/>
        <v>0</v>
      </c>
      <c r="AB699" s="7">
        <f t="shared" si="34"/>
        <v>0</v>
      </c>
      <c r="AC699" s="7">
        <f t="shared" si="35"/>
        <v>0</v>
      </c>
      <c r="AD699" s="7">
        <f t="shared" si="36"/>
        <v>0</v>
      </c>
      <c r="AE699" s="8" cm="1">
        <f t="array" ref="AE699">IFERROR(_xlfn.XLOOKUP(H699,Sheet1!$G:$G,Sheet1!$F:$F),IFERROR(_xlfn.XLOOKUP(1,(--($X$2:$X$1074=X699))*(--ISNUMBER(MATCH($H$2:$H$1074,Sheet1!$G:$G,0))),_xlfn.XLOOKUP($H$2:$H$1074,Sheet1!$G:$G,Sheet1!$F:$F,"")),"NOT FOUND"))</f>
        <v>0</v>
      </c>
      <c r="AF699" s="9" t="str">
        <f t="shared" si="41"/>
        <v/>
      </c>
      <c r="AG699" s="10" t="str">
        <f t="shared" si="42"/>
        <v/>
      </c>
      <c r="AH699" s="8" t="str" cm="1">
        <f t="array" ref="AH699">IF(OR(J699="",AE699="",AE699="NOT FOUND"),"",IF(Y699="RP",_xlfn.LET(_xlpm.desc,_xlfn.XLOOKUP(1,(--(Sheet1!$F$2:$F$754=AE699))*(--ISNUMBER(FIND("-",Sheet1!$W$2:$W$754,FIND("-",Sheet1!$W$2:$W$754)+1))),Sheet1!$W$2:$W$754,""),IF(_xlpm.desc="","NOT FOUND",LEFT(_xlpm.desc,FIND("-",_xlpm.desc,FIND("-",_xlpm.desc)+1))&amp;AE699)),LEFT(J699,FIND("-",J699,FIND("-",J699)+1))&amp;AE699))</f>
        <v/>
      </c>
    </row>
    <row r="700" spans="1:34" ht="15.75" customHeight="1" x14ac:dyDescent="0.2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 s="6" t="e">
        <f t="shared" si="30"/>
        <v>#VALUE!</v>
      </c>
      <c r="Y700" s="7" t="str">
        <f t="shared" si="31"/>
        <v>DC</v>
      </c>
      <c r="Z700" s="7">
        <f t="shared" si="32"/>
        <v>0</v>
      </c>
      <c r="AA700" s="7">
        <f t="shared" si="33"/>
        <v>0</v>
      </c>
      <c r="AB700" s="7">
        <f t="shared" si="34"/>
        <v>0</v>
      </c>
      <c r="AC700" s="7">
        <f t="shared" si="35"/>
        <v>0</v>
      </c>
      <c r="AD700" s="7">
        <f t="shared" si="36"/>
        <v>0</v>
      </c>
      <c r="AE700" s="8" cm="1">
        <f t="array" ref="AE700">IFERROR(_xlfn.XLOOKUP(H700,Sheet1!$G:$G,Sheet1!$F:$F),IFERROR(_xlfn.XLOOKUP(1,(--($X$2:$X$1074=X700))*(--ISNUMBER(MATCH($H$2:$H$1074,Sheet1!$G:$G,0))),_xlfn.XLOOKUP($H$2:$H$1074,Sheet1!$G:$G,Sheet1!$F:$F,"")),"NOT FOUND"))</f>
        <v>0</v>
      </c>
      <c r="AF700" s="9" t="str">
        <f t="shared" si="41"/>
        <v/>
      </c>
      <c r="AG700" s="10" t="str">
        <f t="shared" si="42"/>
        <v/>
      </c>
      <c r="AH700" s="8" t="str" cm="1">
        <f t="array" ref="AH700">IF(OR(J700="",AE700="",AE700="NOT FOUND"),"",IF(Y700="RP",_xlfn.LET(_xlpm.desc,_xlfn.XLOOKUP(1,(--(Sheet1!$F$2:$F$754=AE700))*(--ISNUMBER(FIND("-",Sheet1!$W$2:$W$754,FIND("-",Sheet1!$W$2:$W$754)+1))),Sheet1!$W$2:$W$754,""),IF(_xlpm.desc="","NOT FOUND",LEFT(_xlpm.desc,FIND("-",_xlpm.desc,FIND("-",_xlpm.desc)+1))&amp;AE700)),LEFT(J700,FIND("-",J700,FIND("-",J700)+1))&amp;AE700))</f>
        <v/>
      </c>
    </row>
    <row r="701" spans="1:34" ht="15.75" customHeight="1" x14ac:dyDescent="0.2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 s="6" t="e">
        <f t="shared" si="30"/>
        <v>#VALUE!</v>
      </c>
      <c r="Y701" s="7" t="str">
        <f t="shared" si="31"/>
        <v>DC</v>
      </c>
      <c r="Z701" s="7">
        <f t="shared" si="32"/>
        <v>0</v>
      </c>
      <c r="AA701" s="7">
        <f t="shared" si="33"/>
        <v>0</v>
      </c>
      <c r="AB701" s="7">
        <f t="shared" si="34"/>
        <v>0</v>
      </c>
      <c r="AC701" s="7">
        <f t="shared" si="35"/>
        <v>0</v>
      </c>
      <c r="AD701" s="7">
        <f t="shared" si="36"/>
        <v>0</v>
      </c>
      <c r="AE701" s="8" cm="1">
        <f t="array" ref="AE701">IFERROR(_xlfn.XLOOKUP(H701,Sheet1!$G:$G,Sheet1!$F:$F),IFERROR(_xlfn.XLOOKUP(1,(--($X$2:$X$1074=X701))*(--ISNUMBER(MATCH($H$2:$H$1074,Sheet1!$G:$G,0))),_xlfn.XLOOKUP($H$2:$H$1074,Sheet1!$G:$G,Sheet1!$F:$F,"")),"NOT FOUND"))</f>
        <v>0</v>
      </c>
      <c r="AF701" s="9" t="str">
        <f t="shared" si="41"/>
        <v/>
      </c>
      <c r="AG701" s="10" t="str">
        <f t="shared" si="42"/>
        <v/>
      </c>
      <c r="AH701" s="8" t="str" cm="1">
        <f t="array" ref="AH701">IF(OR(J701="",AE701="",AE701="NOT FOUND"),"",IF(Y701="RP",_xlfn.LET(_xlpm.desc,_xlfn.XLOOKUP(1,(--(Sheet1!$F$2:$F$754=AE701))*(--ISNUMBER(FIND("-",Sheet1!$W$2:$W$754,FIND("-",Sheet1!$W$2:$W$754)+1))),Sheet1!$W$2:$W$754,""),IF(_xlpm.desc="","NOT FOUND",LEFT(_xlpm.desc,FIND("-",_xlpm.desc,FIND("-",_xlpm.desc)+1))&amp;AE701)),LEFT(J701,FIND("-",J701,FIND("-",J701)+1))&amp;AE701))</f>
        <v/>
      </c>
    </row>
    <row r="702" spans="1:34" ht="15.75" customHeight="1" x14ac:dyDescent="0.2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 s="6" t="e">
        <f t="shared" si="30"/>
        <v>#VALUE!</v>
      </c>
      <c r="Y702" s="7" t="str">
        <f t="shared" si="31"/>
        <v>DC</v>
      </c>
      <c r="Z702" s="7">
        <f t="shared" si="32"/>
        <v>0</v>
      </c>
      <c r="AA702" s="7">
        <f t="shared" si="33"/>
        <v>0</v>
      </c>
      <c r="AB702" s="7">
        <f t="shared" si="34"/>
        <v>0</v>
      </c>
      <c r="AC702" s="7">
        <f t="shared" si="35"/>
        <v>0</v>
      </c>
      <c r="AD702" s="7">
        <f t="shared" si="36"/>
        <v>0</v>
      </c>
      <c r="AE702" s="8" cm="1">
        <f t="array" ref="AE702">IFERROR(_xlfn.XLOOKUP(H702,Sheet1!$G:$G,Sheet1!$F:$F),IFERROR(_xlfn.XLOOKUP(1,(--($X$2:$X$1074=X702))*(--ISNUMBER(MATCH($H$2:$H$1074,Sheet1!$G:$G,0))),_xlfn.XLOOKUP($H$2:$H$1074,Sheet1!$G:$G,Sheet1!$F:$F,"")),"NOT FOUND"))</f>
        <v>0</v>
      </c>
      <c r="AF702" s="9" t="str">
        <f t="shared" si="41"/>
        <v/>
      </c>
      <c r="AG702" s="10" t="str">
        <f t="shared" si="42"/>
        <v/>
      </c>
      <c r="AH702" s="8" t="str" cm="1">
        <f t="array" ref="AH702">IF(OR(J702="",AE702="",AE702="NOT FOUND"),"",IF(Y702="RP",_xlfn.LET(_xlpm.desc,_xlfn.XLOOKUP(1,(--(Sheet1!$F$2:$F$754=AE702))*(--ISNUMBER(FIND("-",Sheet1!$W$2:$W$754,FIND("-",Sheet1!$W$2:$W$754)+1))),Sheet1!$W$2:$W$754,""),IF(_xlpm.desc="","NOT FOUND",LEFT(_xlpm.desc,FIND("-",_xlpm.desc,FIND("-",_xlpm.desc)+1))&amp;AE702)),LEFT(J702,FIND("-",J702,FIND("-",J702)+1))&amp;AE702))</f>
        <v/>
      </c>
    </row>
    <row r="703" spans="1:34" ht="15.75" customHeight="1" x14ac:dyDescent="0.2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 s="6" t="e">
        <f t="shared" si="30"/>
        <v>#VALUE!</v>
      </c>
      <c r="Y703" s="7" t="str">
        <f t="shared" si="31"/>
        <v>DC</v>
      </c>
      <c r="Z703" s="7">
        <f t="shared" si="32"/>
        <v>0</v>
      </c>
      <c r="AA703" s="7">
        <f t="shared" si="33"/>
        <v>0</v>
      </c>
      <c r="AB703" s="7">
        <f t="shared" si="34"/>
        <v>0</v>
      </c>
      <c r="AC703" s="7">
        <f t="shared" si="35"/>
        <v>0</v>
      </c>
      <c r="AD703" s="7">
        <f t="shared" si="36"/>
        <v>0</v>
      </c>
      <c r="AE703" s="8" cm="1">
        <f t="array" ref="AE703">IFERROR(_xlfn.XLOOKUP(H703,Sheet1!$G:$G,Sheet1!$F:$F),IFERROR(_xlfn.XLOOKUP(1,(--($X$2:$X$1074=X703))*(--ISNUMBER(MATCH($H$2:$H$1074,Sheet1!$G:$G,0))),_xlfn.XLOOKUP($H$2:$H$1074,Sheet1!$G:$G,Sheet1!$F:$F,"")),"NOT FOUND"))</f>
        <v>0</v>
      </c>
      <c r="AF703" s="9" t="str">
        <f t="shared" si="41"/>
        <v/>
      </c>
      <c r="AG703" s="10" t="str">
        <f t="shared" si="42"/>
        <v/>
      </c>
      <c r="AH703" s="8" t="str" cm="1">
        <f t="array" ref="AH703">IF(OR(J703="",AE703="",AE703="NOT FOUND"),"",IF(Y703="RP",_xlfn.LET(_xlpm.desc,_xlfn.XLOOKUP(1,(--(Sheet1!$F$2:$F$754=AE703))*(--ISNUMBER(FIND("-",Sheet1!$W$2:$W$754,FIND("-",Sheet1!$W$2:$W$754)+1))),Sheet1!$W$2:$W$754,""),IF(_xlpm.desc="","NOT FOUND",LEFT(_xlpm.desc,FIND("-",_xlpm.desc,FIND("-",_xlpm.desc)+1))&amp;AE703)),LEFT(J703,FIND("-",J703,FIND("-",J703)+1))&amp;AE703))</f>
        <v/>
      </c>
    </row>
    <row r="704" spans="1:34" ht="15.75" customHeight="1" x14ac:dyDescent="0.2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 s="6" t="e">
        <f t="shared" si="30"/>
        <v>#VALUE!</v>
      </c>
      <c r="Y704" s="7" t="str">
        <f t="shared" si="31"/>
        <v>DC</v>
      </c>
      <c r="Z704" s="7">
        <f t="shared" si="32"/>
        <v>0</v>
      </c>
      <c r="AA704" s="7">
        <f t="shared" si="33"/>
        <v>0</v>
      </c>
      <c r="AB704" s="7">
        <f t="shared" si="34"/>
        <v>0</v>
      </c>
      <c r="AC704" s="7">
        <f t="shared" si="35"/>
        <v>0</v>
      </c>
      <c r="AD704" s="7">
        <f t="shared" si="36"/>
        <v>0</v>
      </c>
      <c r="AE704" s="8" cm="1">
        <f t="array" ref="AE704">IFERROR(_xlfn.XLOOKUP(H704,Sheet1!$G:$G,Sheet1!$F:$F),IFERROR(_xlfn.XLOOKUP(1,(--($X$2:$X$1074=X704))*(--ISNUMBER(MATCH($H$2:$H$1074,Sheet1!$G:$G,0))),_xlfn.XLOOKUP($H$2:$H$1074,Sheet1!$G:$G,Sheet1!$F:$F,"")),"NOT FOUND"))</f>
        <v>0</v>
      </c>
      <c r="AF704" s="9" t="str">
        <f t="shared" si="41"/>
        <v/>
      </c>
      <c r="AG704" s="10" t="str">
        <f t="shared" si="42"/>
        <v/>
      </c>
      <c r="AH704" s="8" t="str" cm="1">
        <f t="array" ref="AH704">IF(OR(J704="",AE704="",AE704="NOT FOUND"),"",IF(Y704="RP",_xlfn.LET(_xlpm.desc,_xlfn.XLOOKUP(1,(--(Sheet1!$F$2:$F$754=AE704))*(--ISNUMBER(FIND("-",Sheet1!$W$2:$W$754,FIND("-",Sheet1!$W$2:$W$754)+1))),Sheet1!$W$2:$W$754,""),IF(_xlpm.desc="","NOT FOUND",LEFT(_xlpm.desc,FIND("-",_xlpm.desc,FIND("-",_xlpm.desc)+1))&amp;AE704)),LEFT(J704,FIND("-",J704,FIND("-",J704)+1))&amp;AE704))</f>
        <v/>
      </c>
    </row>
    <row r="705" spans="1:34" ht="15.75" customHeight="1" x14ac:dyDescent="0.2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 s="6" t="e">
        <f t="shared" si="30"/>
        <v>#VALUE!</v>
      </c>
      <c r="Y705" s="7" t="str">
        <f t="shared" si="31"/>
        <v>DC</v>
      </c>
      <c r="Z705" s="7">
        <f t="shared" si="32"/>
        <v>0</v>
      </c>
      <c r="AA705" s="7">
        <f t="shared" si="33"/>
        <v>0</v>
      </c>
      <c r="AB705" s="7">
        <f t="shared" si="34"/>
        <v>0</v>
      </c>
      <c r="AC705" s="7">
        <f t="shared" si="35"/>
        <v>0</v>
      </c>
      <c r="AD705" s="7">
        <f t="shared" si="36"/>
        <v>0</v>
      </c>
      <c r="AE705" s="8" cm="1">
        <f t="array" ref="AE705">IFERROR(_xlfn.XLOOKUP(H705,Sheet1!$G:$G,Sheet1!$F:$F),IFERROR(_xlfn.XLOOKUP(1,(--($X$2:$X$1074=X705))*(--ISNUMBER(MATCH($H$2:$H$1074,Sheet1!$G:$G,0))),_xlfn.XLOOKUP($H$2:$H$1074,Sheet1!$G:$G,Sheet1!$F:$F,"")),"NOT FOUND"))</f>
        <v>0</v>
      </c>
      <c r="AF705" s="9" t="str">
        <f t="shared" si="41"/>
        <v/>
      </c>
      <c r="AG705" s="10" t="str">
        <f t="shared" si="42"/>
        <v/>
      </c>
      <c r="AH705" s="8" t="str" cm="1">
        <f t="array" ref="AH705">IF(OR(J705="",AE705="",AE705="NOT FOUND"),"",IF(Y705="RP",_xlfn.LET(_xlpm.desc,_xlfn.XLOOKUP(1,(--(Sheet1!$F$2:$F$754=AE705))*(--ISNUMBER(FIND("-",Sheet1!$W$2:$W$754,FIND("-",Sheet1!$W$2:$W$754)+1))),Sheet1!$W$2:$W$754,""),IF(_xlpm.desc="","NOT FOUND",LEFT(_xlpm.desc,FIND("-",_xlpm.desc,FIND("-",_xlpm.desc)+1))&amp;AE705)),LEFT(J705,FIND("-",J705,FIND("-",J705)+1))&amp;AE705))</f>
        <v/>
      </c>
    </row>
    <row r="706" spans="1:34" ht="15.75" customHeight="1" x14ac:dyDescent="0.2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 s="6" t="e">
        <f t="shared" si="30"/>
        <v>#VALUE!</v>
      </c>
      <c r="Y706" s="7" t="str">
        <f t="shared" si="31"/>
        <v>DC</v>
      </c>
      <c r="Z706" s="7">
        <f t="shared" si="32"/>
        <v>0</v>
      </c>
      <c r="AA706" s="7">
        <f t="shared" si="33"/>
        <v>0</v>
      </c>
      <c r="AB706" s="7">
        <f t="shared" si="34"/>
        <v>0</v>
      </c>
      <c r="AC706" s="7">
        <f t="shared" si="35"/>
        <v>0</v>
      </c>
      <c r="AD706" s="7">
        <f t="shared" si="36"/>
        <v>0</v>
      </c>
      <c r="AE706" s="8" cm="1">
        <f t="array" ref="AE706">IFERROR(_xlfn.XLOOKUP(H706,Sheet1!$G:$G,Sheet1!$F:$F),IFERROR(_xlfn.XLOOKUP(1,(--($X$2:$X$1074=X706))*(--ISNUMBER(MATCH($H$2:$H$1074,Sheet1!$G:$G,0))),_xlfn.XLOOKUP($H$2:$H$1074,Sheet1!$G:$G,Sheet1!$F:$F,"")),"NOT FOUND"))</f>
        <v>0</v>
      </c>
      <c r="AF706" s="9" t="str">
        <f t="shared" si="41"/>
        <v/>
      </c>
      <c r="AG706" s="10" t="str">
        <f t="shared" si="42"/>
        <v/>
      </c>
      <c r="AH706" s="8" t="str" cm="1">
        <f t="array" ref="AH706">IF(OR(J706="",AE706="",AE706="NOT FOUND"),"",IF(Y706="RP",_xlfn.LET(_xlpm.desc,_xlfn.XLOOKUP(1,(--(Sheet1!$F$2:$F$754=AE706))*(--ISNUMBER(FIND("-",Sheet1!$W$2:$W$754,FIND("-",Sheet1!$W$2:$W$754)+1))),Sheet1!$W$2:$W$754,""),IF(_xlpm.desc="","NOT FOUND",LEFT(_xlpm.desc,FIND("-",_xlpm.desc,FIND("-",_xlpm.desc)+1))&amp;AE706)),LEFT(J706,FIND("-",J706,FIND("-",J706)+1))&amp;AE706))</f>
        <v/>
      </c>
    </row>
    <row r="707" spans="1:34" ht="15.75" customHeight="1" x14ac:dyDescent="0.2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 s="6" t="e">
        <f t="shared" si="30"/>
        <v>#VALUE!</v>
      </c>
      <c r="Y707" s="7" t="str">
        <f t="shared" si="31"/>
        <v>DC</v>
      </c>
      <c r="Z707" s="7">
        <f t="shared" si="32"/>
        <v>0</v>
      </c>
      <c r="AA707" s="7">
        <f t="shared" si="33"/>
        <v>0</v>
      </c>
      <c r="AB707" s="7">
        <f t="shared" si="34"/>
        <v>0</v>
      </c>
      <c r="AC707" s="7">
        <f t="shared" si="35"/>
        <v>0</v>
      </c>
      <c r="AD707" s="7">
        <f t="shared" si="36"/>
        <v>0</v>
      </c>
      <c r="AE707" s="8" cm="1">
        <f t="array" ref="AE707">IFERROR(_xlfn.XLOOKUP(H707,Sheet1!$G:$G,Sheet1!$F:$F),IFERROR(_xlfn.XLOOKUP(1,(--($X$2:$X$1074=X707))*(--ISNUMBER(MATCH($H$2:$H$1074,Sheet1!$G:$G,0))),_xlfn.XLOOKUP($H$2:$H$1074,Sheet1!$G:$G,Sheet1!$F:$F,"")),"NOT FOUND"))</f>
        <v>0</v>
      </c>
      <c r="AF707" s="9" t="str">
        <f t="shared" ref="AF707:AF770" si="43">IFERROR(IF(ISNUMBER(SEARCH("(RP)",J707)),TRIM(SUBSTITUTE(MID(J707,10,LEN(J707)),"(RP)","")),TRIM(MID(J707,FIND(",",J707)+1,FIND(",",J707,FIND(",",J707)+1)-FIND(",",J707)-1))),"")</f>
        <v/>
      </c>
      <c r="AG707" s="10" t="str">
        <f t="shared" ref="AG707:AG770" si="44">IF(A707="SZAF","Bangalore",IF(A707="SAEX","JHAJJAR",IF(A707="S0EU","HARIPAL","")))</f>
        <v/>
      </c>
      <c r="AH707" s="8" t="str" cm="1">
        <f t="array" ref="AH707">IF(OR(J707="",AE707="",AE707="NOT FOUND"),"",IF(Y707="RP",_xlfn.LET(_xlpm.desc,_xlfn.XLOOKUP(1,(--(Sheet1!$F$2:$F$754=AE707))*(--ISNUMBER(FIND("-",Sheet1!$W$2:$W$754,FIND("-",Sheet1!$W$2:$W$754)+1))),Sheet1!$W$2:$W$754,""),IF(_xlpm.desc="","NOT FOUND",LEFT(_xlpm.desc,FIND("-",_xlpm.desc,FIND("-",_xlpm.desc)+1))&amp;AE707)),LEFT(J707,FIND("-",J707,FIND("-",J707)+1))&amp;AE707))</f>
        <v/>
      </c>
    </row>
    <row r="708" spans="1:34" ht="15.75" customHeight="1" x14ac:dyDescent="0.2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 s="6" t="e">
        <f t="shared" si="30"/>
        <v>#VALUE!</v>
      </c>
      <c r="Y708" s="7" t="str">
        <f t="shared" si="31"/>
        <v>DC</v>
      </c>
      <c r="Z708" s="7">
        <f t="shared" si="32"/>
        <v>0</v>
      </c>
      <c r="AA708" s="7">
        <f t="shared" si="33"/>
        <v>0</v>
      </c>
      <c r="AB708" s="7">
        <f t="shared" si="34"/>
        <v>0</v>
      </c>
      <c r="AC708" s="7">
        <f t="shared" si="35"/>
        <v>0</v>
      </c>
      <c r="AD708" s="7">
        <f t="shared" si="36"/>
        <v>0</v>
      </c>
      <c r="AE708" s="8" cm="1">
        <f t="array" ref="AE708">IFERROR(_xlfn.XLOOKUP(H708,Sheet1!$G:$G,Sheet1!$F:$F),IFERROR(_xlfn.XLOOKUP(1,(--($X$2:$X$1074=X708))*(--ISNUMBER(MATCH($H$2:$H$1074,Sheet1!$G:$G,0))),_xlfn.XLOOKUP($H$2:$H$1074,Sheet1!$G:$G,Sheet1!$F:$F,"")),"NOT FOUND"))</f>
        <v>0</v>
      </c>
      <c r="AF708" s="9" t="str">
        <f t="shared" si="43"/>
        <v/>
      </c>
      <c r="AG708" s="10" t="str">
        <f t="shared" si="44"/>
        <v/>
      </c>
      <c r="AH708" s="8" t="str" cm="1">
        <f t="array" ref="AH708">IF(OR(J708="",AE708="",AE708="NOT FOUND"),"",IF(Y708="RP",_xlfn.LET(_xlpm.desc,_xlfn.XLOOKUP(1,(--(Sheet1!$F$2:$F$754=AE708))*(--ISNUMBER(FIND("-",Sheet1!$W$2:$W$754,FIND("-",Sheet1!$W$2:$W$754)+1))),Sheet1!$W$2:$W$754,""),IF(_xlpm.desc="","NOT FOUND",LEFT(_xlpm.desc,FIND("-",_xlpm.desc,FIND("-",_xlpm.desc)+1))&amp;AE708)),LEFT(J708,FIND("-",J708,FIND("-",J708)+1))&amp;AE708))</f>
        <v/>
      </c>
    </row>
    <row r="709" spans="1:34" ht="15.75" customHeight="1" x14ac:dyDescent="0.2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 s="6" t="e">
        <f t="shared" si="30"/>
        <v>#VALUE!</v>
      </c>
      <c r="Y709" s="7" t="str">
        <f t="shared" si="31"/>
        <v>DC</v>
      </c>
      <c r="Z709" s="7">
        <f t="shared" si="32"/>
        <v>0</v>
      </c>
      <c r="AA709" s="7">
        <f t="shared" si="33"/>
        <v>0</v>
      </c>
      <c r="AB709" s="7">
        <f t="shared" si="34"/>
        <v>0</v>
      </c>
      <c r="AC709" s="7">
        <f t="shared" si="35"/>
        <v>0</v>
      </c>
      <c r="AD709" s="7">
        <f t="shared" si="36"/>
        <v>0</v>
      </c>
      <c r="AE709" s="8" cm="1">
        <f t="array" ref="AE709">IFERROR(_xlfn.XLOOKUP(H709,Sheet1!$G:$G,Sheet1!$F:$F),IFERROR(_xlfn.XLOOKUP(1,(--($X$2:$X$1074=X709))*(--ISNUMBER(MATCH($H$2:$H$1074,Sheet1!$G:$G,0))),_xlfn.XLOOKUP($H$2:$H$1074,Sheet1!$G:$G,Sheet1!$F:$F,"")),"NOT FOUND"))</f>
        <v>0</v>
      </c>
      <c r="AF709" s="9" t="str">
        <f t="shared" si="43"/>
        <v/>
      </c>
      <c r="AG709" s="10" t="str">
        <f t="shared" si="44"/>
        <v/>
      </c>
      <c r="AH709" s="8" t="str" cm="1">
        <f t="array" ref="AH709">IF(OR(J709="",AE709="",AE709="NOT FOUND"),"",IF(Y709="RP",_xlfn.LET(_xlpm.desc,_xlfn.XLOOKUP(1,(--(Sheet1!$F$2:$F$754=AE709))*(--ISNUMBER(FIND("-",Sheet1!$W$2:$W$754,FIND("-",Sheet1!$W$2:$W$754)+1))),Sheet1!$W$2:$W$754,""),IF(_xlpm.desc="","NOT FOUND",LEFT(_xlpm.desc,FIND("-",_xlpm.desc,FIND("-",_xlpm.desc)+1))&amp;AE709)),LEFT(J709,FIND("-",J709,FIND("-",J709)+1))&amp;AE709))</f>
        <v/>
      </c>
    </row>
    <row r="710" spans="1:34" ht="15.75" customHeight="1" x14ac:dyDescent="0.2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 s="6" t="e">
        <f t="shared" si="30"/>
        <v>#VALUE!</v>
      </c>
      <c r="Y710" s="7" t="str">
        <f t="shared" si="31"/>
        <v>DC</v>
      </c>
      <c r="Z710" s="7">
        <f t="shared" si="32"/>
        <v>0</v>
      </c>
      <c r="AA710" s="7">
        <f t="shared" si="33"/>
        <v>0</v>
      </c>
      <c r="AB710" s="7">
        <f t="shared" si="34"/>
        <v>0</v>
      </c>
      <c r="AC710" s="7">
        <f t="shared" si="35"/>
        <v>0</v>
      </c>
      <c r="AD710" s="7">
        <f t="shared" si="36"/>
        <v>0</v>
      </c>
      <c r="AE710" s="8" cm="1">
        <f t="array" ref="AE710">IFERROR(_xlfn.XLOOKUP(H710,Sheet1!$G:$G,Sheet1!$F:$F),IFERROR(_xlfn.XLOOKUP(1,(--($X$2:$X$1074=X710))*(--ISNUMBER(MATCH($H$2:$H$1074,Sheet1!$G:$G,0))),_xlfn.XLOOKUP($H$2:$H$1074,Sheet1!$G:$G,Sheet1!$F:$F,"")),"NOT FOUND"))</f>
        <v>0</v>
      </c>
      <c r="AF710" s="9" t="str">
        <f t="shared" si="43"/>
        <v/>
      </c>
      <c r="AG710" s="10" t="str">
        <f t="shared" si="44"/>
        <v/>
      </c>
      <c r="AH710" s="8" t="str" cm="1">
        <f t="array" ref="AH710">IF(OR(J710="",AE710="",AE710="NOT FOUND"),"",IF(Y710="RP",_xlfn.LET(_xlpm.desc,_xlfn.XLOOKUP(1,(--(Sheet1!$F$2:$F$754=AE710))*(--ISNUMBER(FIND("-",Sheet1!$W$2:$W$754,FIND("-",Sheet1!$W$2:$W$754)+1))),Sheet1!$W$2:$W$754,""),IF(_xlpm.desc="","NOT FOUND",LEFT(_xlpm.desc,FIND("-",_xlpm.desc,FIND("-",_xlpm.desc)+1))&amp;AE710)),LEFT(J710,FIND("-",J710,FIND("-",J710)+1))&amp;AE710))</f>
        <v/>
      </c>
    </row>
    <row r="711" spans="1:34" ht="15.75" customHeight="1" x14ac:dyDescent="0.2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 s="6" t="e">
        <f t="shared" si="30"/>
        <v>#VALUE!</v>
      </c>
      <c r="Y711" s="7" t="str">
        <f t="shared" si="31"/>
        <v>DC</v>
      </c>
      <c r="Z711" s="7">
        <f t="shared" si="32"/>
        <v>0</v>
      </c>
      <c r="AA711" s="7">
        <f t="shared" si="33"/>
        <v>0</v>
      </c>
      <c r="AB711" s="7">
        <f t="shared" si="34"/>
        <v>0</v>
      </c>
      <c r="AC711" s="7">
        <f t="shared" si="35"/>
        <v>0</v>
      </c>
      <c r="AD711" s="7">
        <f t="shared" si="36"/>
        <v>0</v>
      </c>
      <c r="AE711" s="8" cm="1">
        <f t="array" ref="AE711">IFERROR(_xlfn.XLOOKUP(H711,Sheet1!$G:$G,Sheet1!$F:$F),IFERROR(_xlfn.XLOOKUP(1,(--($X$2:$X$1074=X711))*(--ISNUMBER(MATCH($H$2:$H$1074,Sheet1!$G:$G,0))),_xlfn.XLOOKUP($H$2:$H$1074,Sheet1!$G:$G,Sheet1!$F:$F,"")),"NOT FOUND"))</f>
        <v>0</v>
      </c>
      <c r="AF711" s="9" t="str">
        <f t="shared" si="43"/>
        <v/>
      </c>
      <c r="AG711" s="10" t="str">
        <f t="shared" si="44"/>
        <v/>
      </c>
      <c r="AH711" s="8" t="str" cm="1">
        <f t="array" ref="AH711">IF(OR(J711="",AE711="",AE711="NOT FOUND"),"",IF(Y711="RP",_xlfn.LET(_xlpm.desc,_xlfn.XLOOKUP(1,(--(Sheet1!$F$2:$F$754=AE711))*(--ISNUMBER(FIND("-",Sheet1!$W$2:$W$754,FIND("-",Sheet1!$W$2:$W$754)+1))),Sheet1!$W$2:$W$754,""),IF(_xlpm.desc="","NOT FOUND",LEFT(_xlpm.desc,FIND("-",_xlpm.desc,FIND("-",_xlpm.desc)+1))&amp;AE711)),LEFT(J711,FIND("-",J711,FIND("-",J711)+1))&amp;AE711))</f>
        <v/>
      </c>
    </row>
    <row r="712" spans="1:34" ht="15.75" customHeight="1" x14ac:dyDescent="0.2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 s="6" t="e">
        <f t="shared" si="30"/>
        <v>#VALUE!</v>
      </c>
      <c r="Y712" s="7" t="str">
        <f t="shared" si="31"/>
        <v>DC</v>
      </c>
      <c r="Z712" s="7">
        <f t="shared" si="32"/>
        <v>0</v>
      </c>
      <c r="AA712" s="7">
        <f t="shared" si="33"/>
        <v>0</v>
      </c>
      <c r="AB712" s="7">
        <f t="shared" si="34"/>
        <v>0</v>
      </c>
      <c r="AC712" s="7">
        <f t="shared" si="35"/>
        <v>0</v>
      </c>
      <c r="AD712" s="7">
        <f t="shared" si="36"/>
        <v>0</v>
      </c>
      <c r="AE712" s="8" cm="1">
        <f t="array" ref="AE712">IFERROR(_xlfn.XLOOKUP(H712,Sheet1!$G:$G,Sheet1!$F:$F),IFERROR(_xlfn.XLOOKUP(1,(--($X$2:$X$1074=X712))*(--ISNUMBER(MATCH($H$2:$H$1074,Sheet1!$G:$G,0))),_xlfn.XLOOKUP($H$2:$H$1074,Sheet1!$G:$G,Sheet1!$F:$F,"")),"NOT FOUND"))</f>
        <v>0</v>
      </c>
      <c r="AF712" s="9" t="str">
        <f t="shared" si="43"/>
        <v/>
      </c>
      <c r="AG712" s="10" t="str">
        <f t="shared" si="44"/>
        <v/>
      </c>
      <c r="AH712" s="8" t="str" cm="1">
        <f t="array" ref="AH712">IF(OR(J712="",AE712="",AE712="NOT FOUND"),"",IF(Y712="RP",_xlfn.LET(_xlpm.desc,_xlfn.XLOOKUP(1,(--(Sheet1!$F$2:$F$754=AE712))*(--ISNUMBER(FIND("-",Sheet1!$W$2:$W$754,FIND("-",Sheet1!$W$2:$W$754)+1))),Sheet1!$W$2:$W$754,""),IF(_xlpm.desc="","NOT FOUND",LEFT(_xlpm.desc,FIND("-",_xlpm.desc,FIND("-",_xlpm.desc)+1))&amp;AE712)),LEFT(J712,FIND("-",J712,FIND("-",J712)+1))&amp;AE712))</f>
        <v/>
      </c>
    </row>
    <row r="713" spans="1:34" ht="15.75" customHeight="1" x14ac:dyDescent="0.2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 s="6" t="e">
        <f t="shared" si="30"/>
        <v>#VALUE!</v>
      </c>
      <c r="Y713" s="7" t="str">
        <f t="shared" si="31"/>
        <v>DC</v>
      </c>
      <c r="Z713" s="7">
        <f t="shared" si="32"/>
        <v>0</v>
      </c>
      <c r="AA713" s="7">
        <f t="shared" si="33"/>
        <v>0</v>
      </c>
      <c r="AB713" s="7">
        <f t="shared" si="34"/>
        <v>0</v>
      </c>
      <c r="AC713" s="7">
        <f t="shared" si="35"/>
        <v>0</v>
      </c>
      <c r="AD713" s="7">
        <f t="shared" si="36"/>
        <v>0</v>
      </c>
      <c r="AE713" s="8" cm="1">
        <f t="array" ref="AE713">IFERROR(_xlfn.XLOOKUP(H713,Sheet1!$G:$G,Sheet1!$F:$F),IFERROR(_xlfn.XLOOKUP(1,(--($X$2:$X$1074=X713))*(--ISNUMBER(MATCH($H$2:$H$1074,Sheet1!$G:$G,0))),_xlfn.XLOOKUP($H$2:$H$1074,Sheet1!$G:$G,Sheet1!$F:$F,"")),"NOT FOUND"))</f>
        <v>0</v>
      </c>
      <c r="AF713" s="9" t="str">
        <f t="shared" si="43"/>
        <v/>
      </c>
      <c r="AG713" s="10" t="str">
        <f t="shared" si="44"/>
        <v/>
      </c>
      <c r="AH713" s="8" t="str" cm="1">
        <f t="array" ref="AH713">IF(OR(J713="",AE713="",AE713="NOT FOUND"),"",IF(Y713="RP",_xlfn.LET(_xlpm.desc,_xlfn.XLOOKUP(1,(--(Sheet1!$F$2:$F$754=AE713))*(--ISNUMBER(FIND("-",Sheet1!$W$2:$W$754,FIND("-",Sheet1!$W$2:$W$754)+1))),Sheet1!$W$2:$W$754,""),IF(_xlpm.desc="","NOT FOUND",LEFT(_xlpm.desc,FIND("-",_xlpm.desc,FIND("-",_xlpm.desc)+1))&amp;AE713)),LEFT(J713,FIND("-",J713,FIND("-",J713)+1))&amp;AE713))</f>
        <v/>
      </c>
    </row>
    <row r="714" spans="1:34" ht="15.75" customHeight="1" x14ac:dyDescent="0.2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 s="6" t="e">
        <f t="shared" si="30"/>
        <v>#VALUE!</v>
      </c>
      <c r="Y714" s="7" t="str">
        <f t="shared" si="31"/>
        <v>DC</v>
      </c>
      <c r="Z714" s="7">
        <f t="shared" si="32"/>
        <v>0</v>
      </c>
      <c r="AA714" s="7">
        <f t="shared" si="33"/>
        <v>0</v>
      </c>
      <c r="AB714" s="7">
        <f t="shared" si="34"/>
        <v>0</v>
      </c>
      <c r="AC714" s="7">
        <f t="shared" si="35"/>
        <v>0</v>
      </c>
      <c r="AD714" s="7">
        <f t="shared" si="36"/>
        <v>0</v>
      </c>
      <c r="AE714" s="8" cm="1">
        <f t="array" ref="AE714">IFERROR(_xlfn.XLOOKUP(H714,Sheet1!$G:$G,Sheet1!$F:$F),IFERROR(_xlfn.XLOOKUP(1,(--($X$2:$X$1074=X714))*(--ISNUMBER(MATCH($H$2:$H$1074,Sheet1!$G:$G,0))),_xlfn.XLOOKUP($H$2:$H$1074,Sheet1!$G:$G,Sheet1!$F:$F,"")),"NOT FOUND"))</f>
        <v>0</v>
      </c>
      <c r="AF714" s="9" t="str">
        <f t="shared" si="43"/>
        <v/>
      </c>
      <c r="AG714" s="10" t="str">
        <f t="shared" si="44"/>
        <v/>
      </c>
      <c r="AH714" s="8" t="str" cm="1">
        <f t="array" ref="AH714">IF(OR(J714="",AE714="",AE714="NOT FOUND"),"",IF(Y714="RP",_xlfn.LET(_xlpm.desc,_xlfn.XLOOKUP(1,(--(Sheet1!$F$2:$F$754=AE714))*(--ISNUMBER(FIND("-",Sheet1!$W$2:$W$754,FIND("-",Sheet1!$W$2:$W$754)+1))),Sheet1!$W$2:$W$754,""),IF(_xlpm.desc="","NOT FOUND",LEFT(_xlpm.desc,FIND("-",_xlpm.desc,FIND("-",_xlpm.desc)+1))&amp;AE714)),LEFT(J714,FIND("-",J714,FIND("-",J714)+1))&amp;AE714))</f>
        <v/>
      </c>
    </row>
    <row r="715" spans="1:34" ht="15.75" customHeight="1" x14ac:dyDescent="0.2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 s="6" t="e">
        <f t="shared" si="30"/>
        <v>#VALUE!</v>
      </c>
      <c r="Y715" s="7" t="str">
        <f t="shared" si="31"/>
        <v>DC</v>
      </c>
      <c r="Z715" s="7">
        <f t="shared" si="32"/>
        <v>0</v>
      </c>
      <c r="AA715" s="7">
        <f t="shared" si="33"/>
        <v>0</v>
      </c>
      <c r="AB715" s="7">
        <f t="shared" si="34"/>
        <v>0</v>
      </c>
      <c r="AC715" s="7">
        <f t="shared" si="35"/>
        <v>0</v>
      </c>
      <c r="AD715" s="7">
        <f t="shared" si="36"/>
        <v>0</v>
      </c>
      <c r="AE715" s="8" cm="1">
        <f t="array" ref="AE715">IFERROR(_xlfn.XLOOKUP(H715,Sheet1!$G:$G,Sheet1!$F:$F),IFERROR(_xlfn.XLOOKUP(1,(--($X$2:$X$1074=X715))*(--ISNUMBER(MATCH($H$2:$H$1074,Sheet1!$G:$G,0))),_xlfn.XLOOKUP($H$2:$H$1074,Sheet1!$G:$G,Sheet1!$F:$F,"")),"NOT FOUND"))</f>
        <v>0</v>
      </c>
      <c r="AF715" s="9" t="str">
        <f t="shared" si="43"/>
        <v/>
      </c>
      <c r="AG715" s="10" t="str">
        <f t="shared" si="44"/>
        <v/>
      </c>
      <c r="AH715" s="8" t="str" cm="1">
        <f t="array" ref="AH715">IF(OR(J715="",AE715="",AE715="NOT FOUND"),"",IF(Y715="RP",_xlfn.LET(_xlpm.desc,_xlfn.XLOOKUP(1,(--(Sheet1!$F$2:$F$754=AE715))*(--ISNUMBER(FIND("-",Sheet1!$W$2:$W$754,FIND("-",Sheet1!$W$2:$W$754)+1))),Sheet1!$W$2:$W$754,""),IF(_xlpm.desc="","NOT FOUND",LEFT(_xlpm.desc,FIND("-",_xlpm.desc,FIND("-",_xlpm.desc)+1))&amp;AE715)),LEFT(J715,FIND("-",J715,FIND("-",J715)+1))&amp;AE715))</f>
        <v/>
      </c>
    </row>
    <row r="716" spans="1:34" ht="15.75" customHeight="1" x14ac:dyDescent="0.2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 s="6" t="e">
        <f t="shared" si="30"/>
        <v>#VALUE!</v>
      </c>
      <c r="Y716" s="7" t="str">
        <f t="shared" si="31"/>
        <v>DC</v>
      </c>
      <c r="Z716" s="7">
        <f t="shared" si="32"/>
        <v>0</v>
      </c>
      <c r="AA716" s="7">
        <f t="shared" si="33"/>
        <v>0</v>
      </c>
      <c r="AB716" s="7">
        <f t="shared" si="34"/>
        <v>0</v>
      </c>
      <c r="AC716" s="7">
        <f t="shared" si="35"/>
        <v>0</v>
      </c>
      <c r="AD716" s="7">
        <f t="shared" si="36"/>
        <v>0</v>
      </c>
      <c r="AE716" s="8" cm="1">
        <f t="array" ref="AE716">IFERROR(_xlfn.XLOOKUP(H716,Sheet1!$G:$G,Sheet1!$F:$F),IFERROR(_xlfn.XLOOKUP(1,(--($X$2:$X$1074=X716))*(--ISNUMBER(MATCH($H$2:$H$1074,Sheet1!$G:$G,0))),_xlfn.XLOOKUP($H$2:$H$1074,Sheet1!$G:$G,Sheet1!$F:$F,"")),"NOT FOUND"))</f>
        <v>0</v>
      </c>
      <c r="AF716" s="9" t="str">
        <f t="shared" si="43"/>
        <v/>
      </c>
      <c r="AG716" s="10" t="str">
        <f t="shared" si="44"/>
        <v/>
      </c>
      <c r="AH716" s="8" t="str" cm="1">
        <f t="array" ref="AH716">IF(OR(J716="",AE716="",AE716="NOT FOUND"),"",IF(Y716="RP",_xlfn.LET(_xlpm.desc,_xlfn.XLOOKUP(1,(--(Sheet1!$F$2:$F$754=AE716))*(--ISNUMBER(FIND("-",Sheet1!$W$2:$W$754,FIND("-",Sheet1!$W$2:$W$754)+1))),Sheet1!$W$2:$W$754,""),IF(_xlpm.desc="","NOT FOUND",LEFT(_xlpm.desc,FIND("-",_xlpm.desc,FIND("-",_xlpm.desc)+1))&amp;AE716)),LEFT(J716,FIND("-",J716,FIND("-",J716)+1))&amp;AE716))</f>
        <v/>
      </c>
    </row>
    <row r="717" spans="1:34" ht="15.75" customHeight="1" x14ac:dyDescent="0.2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 s="6" t="e">
        <f t="shared" si="30"/>
        <v>#VALUE!</v>
      </c>
      <c r="Y717" s="7" t="str">
        <f t="shared" si="31"/>
        <v>DC</v>
      </c>
      <c r="Z717" s="7">
        <f t="shared" si="32"/>
        <v>0</v>
      </c>
      <c r="AA717" s="7">
        <f t="shared" si="33"/>
        <v>0</v>
      </c>
      <c r="AB717" s="7">
        <f t="shared" si="34"/>
        <v>0</v>
      </c>
      <c r="AC717" s="7">
        <f t="shared" si="35"/>
        <v>0</v>
      </c>
      <c r="AD717" s="7">
        <f t="shared" si="36"/>
        <v>0</v>
      </c>
      <c r="AE717" s="8" cm="1">
        <f t="array" ref="AE717">IFERROR(_xlfn.XLOOKUP(H717,Sheet1!$G:$G,Sheet1!$F:$F),IFERROR(_xlfn.XLOOKUP(1,(--($X$2:$X$1074=X717))*(--ISNUMBER(MATCH($H$2:$H$1074,Sheet1!$G:$G,0))),_xlfn.XLOOKUP($H$2:$H$1074,Sheet1!$G:$G,Sheet1!$F:$F,"")),"NOT FOUND"))</f>
        <v>0</v>
      </c>
      <c r="AF717" s="9" t="str">
        <f t="shared" si="43"/>
        <v/>
      </c>
      <c r="AG717" s="10" t="str">
        <f t="shared" si="44"/>
        <v/>
      </c>
      <c r="AH717" s="8" t="str" cm="1">
        <f t="array" ref="AH717">IF(OR(J717="",AE717="",AE717="NOT FOUND"),"",IF(Y717="RP",_xlfn.LET(_xlpm.desc,_xlfn.XLOOKUP(1,(--(Sheet1!$F$2:$F$754=AE717))*(--ISNUMBER(FIND("-",Sheet1!$W$2:$W$754,FIND("-",Sheet1!$W$2:$W$754)+1))),Sheet1!$W$2:$W$754,""),IF(_xlpm.desc="","NOT FOUND",LEFT(_xlpm.desc,FIND("-",_xlpm.desc,FIND("-",_xlpm.desc)+1))&amp;AE717)),LEFT(J717,FIND("-",J717,FIND("-",J717)+1))&amp;AE717))</f>
        <v/>
      </c>
    </row>
    <row r="718" spans="1:34" ht="15.75" customHeight="1" x14ac:dyDescent="0.2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 s="6" t="e">
        <f t="shared" si="30"/>
        <v>#VALUE!</v>
      </c>
      <c r="Y718" s="7" t="str">
        <f t="shared" si="31"/>
        <v>DC</v>
      </c>
      <c r="Z718" s="7">
        <f t="shared" si="32"/>
        <v>0</v>
      </c>
      <c r="AA718" s="7">
        <f t="shared" si="33"/>
        <v>0</v>
      </c>
      <c r="AB718" s="7">
        <f t="shared" si="34"/>
        <v>0</v>
      </c>
      <c r="AC718" s="7">
        <f t="shared" si="35"/>
        <v>0</v>
      </c>
      <c r="AD718" s="7">
        <f t="shared" si="36"/>
        <v>0</v>
      </c>
      <c r="AE718" s="8" cm="1">
        <f t="array" ref="AE718">IFERROR(_xlfn.XLOOKUP(H718,Sheet1!$G:$G,Sheet1!$F:$F),IFERROR(_xlfn.XLOOKUP(1,(--($X$2:$X$1074=X718))*(--ISNUMBER(MATCH($H$2:$H$1074,Sheet1!$G:$G,0))),_xlfn.XLOOKUP($H$2:$H$1074,Sheet1!$G:$G,Sheet1!$F:$F,"")),"NOT FOUND"))</f>
        <v>0</v>
      </c>
      <c r="AF718" s="9" t="str">
        <f t="shared" si="43"/>
        <v/>
      </c>
      <c r="AG718" s="10" t="str">
        <f t="shared" si="44"/>
        <v/>
      </c>
      <c r="AH718" s="8" t="str" cm="1">
        <f t="array" ref="AH718">IF(OR(J718="",AE718="",AE718="NOT FOUND"),"",IF(Y718="RP",_xlfn.LET(_xlpm.desc,_xlfn.XLOOKUP(1,(--(Sheet1!$F$2:$F$754=AE718))*(--ISNUMBER(FIND("-",Sheet1!$W$2:$W$754,FIND("-",Sheet1!$W$2:$W$754)+1))),Sheet1!$W$2:$W$754,""),IF(_xlpm.desc="","NOT FOUND",LEFT(_xlpm.desc,FIND("-",_xlpm.desc,FIND("-",_xlpm.desc)+1))&amp;AE718)),LEFT(J718,FIND("-",J718,FIND("-",J718)+1))&amp;AE718))</f>
        <v/>
      </c>
    </row>
    <row r="719" spans="1:34" ht="15.75" customHeight="1" x14ac:dyDescent="0.2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 s="6" t="e">
        <f t="shared" si="30"/>
        <v>#VALUE!</v>
      </c>
      <c r="Y719" s="7" t="str">
        <f t="shared" si="31"/>
        <v>DC</v>
      </c>
      <c r="Z719" s="7">
        <f t="shared" si="32"/>
        <v>0</v>
      </c>
      <c r="AA719" s="7">
        <f t="shared" si="33"/>
        <v>0</v>
      </c>
      <c r="AB719" s="7">
        <f t="shared" si="34"/>
        <v>0</v>
      </c>
      <c r="AC719" s="7">
        <f t="shared" si="35"/>
        <v>0</v>
      </c>
      <c r="AD719" s="7">
        <f t="shared" si="36"/>
        <v>0</v>
      </c>
      <c r="AE719" s="8" cm="1">
        <f t="array" ref="AE719">IFERROR(_xlfn.XLOOKUP(H719,Sheet1!$G:$G,Sheet1!$F:$F),IFERROR(_xlfn.XLOOKUP(1,(--($X$2:$X$1074=X719))*(--ISNUMBER(MATCH($H$2:$H$1074,Sheet1!$G:$G,0))),_xlfn.XLOOKUP($H$2:$H$1074,Sheet1!$G:$G,Sheet1!$F:$F,"")),"NOT FOUND"))</f>
        <v>0</v>
      </c>
      <c r="AF719" s="9" t="str">
        <f t="shared" si="43"/>
        <v/>
      </c>
      <c r="AG719" s="10" t="str">
        <f t="shared" si="44"/>
        <v/>
      </c>
      <c r="AH719" s="8" t="str" cm="1">
        <f t="array" ref="AH719">IF(OR(J719="",AE719="",AE719="NOT FOUND"),"",IF(Y719="RP",_xlfn.LET(_xlpm.desc,_xlfn.XLOOKUP(1,(--(Sheet1!$F$2:$F$754=AE719))*(--ISNUMBER(FIND("-",Sheet1!$W$2:$W$754,FIND("-",Sheet1!$W$2:$W$754)+1))),Sheet1!$W$2:$W$754,""),IF(_xlpm.desc="","NOT FOUND",LEFT(_xlpm.desc,FIND("-",_xlpm.desc,FIND("-",_xlpm.desc)+1))&amp;AE719)),LEFT(J719,FIND("-",J719,FIND("-",J719)+1))&amp;AE719))</f>
        <v/>
      </c>
    </row>
    <row r="720" spans="1:34" ht="15.75" customHeight="1" x14ac:dyDescent="0.2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 s="6" t="e">
        <f t="shared" si="30"/>
        <v>#VALUE!</v>
      </c>
      <c r="Y720" s="7" t="str">
        <f t="shared" si="31"/>
        <v>DC</v>
      </c>
      <c r="Z720" s="7">
        <f t="shared" si="32"/>
        <v>0</v>
      </c>
      <c r="AA720" s="7">
        <f t="shared" si="33"/>
        <v>0</v>
      </c>
      <c r="AB720" s="7">
        <f t="shared" si="34"/>
        <v>0</v>
      </c>
      <c r="AC720" s="7">
        <f t="shared" si="35"/>
        <v>0</v>
      </c>
      <c r="AD720" s="7">
        <f t="shared" si="36"/>
        <v>0</v>
      </c>
      <c r="AE720" s="8" cm="1">
        <f t="array" ref="AE720">IFERROR(_xlfn.XLOOKUP(H720,Sheet1!$G:$G,Sheet1!$F:$F),IFERROR(_xlfn.XLOOKUP(1,(--($X$2:$X$1074=X720))*(--ISNUMBER(MATCH($H$2:$H$1074,Sheet1!$G:$G,0))),_xlfn.XLOOKUP($H$2:$H$1074,Sheet1!$G:$G,Sheet1!$F:$F,"")),"NOT FOUND"))</f>
        <v>0</v>
      </c>
      <c r="AF720" s="9" t="str">
        <f t="shared" si="43"/>
        <v/>
      </c>
      <c r="AG720" s="10" t="str">
        <f t="shared" si="44"/>
        <v/>
      </c>
      <c r="AH720" s="8" t="str" cm="1">
        <f t="array" ref="AH720">IF(OR(J720="",AE720="",AE720="NOT FOUND"),"",IF(Y720="RP",_xlfn.LET(_xlpm.desc,_xlfn.XLOOKUP(1,(--(Sheet1!$F$2:$F$754=AE720))*(--ISNUMBER(FIND("-",Sheet1!$W$2:$W$754,FIND("-",Sheet1!$W$2:$W$754)+1))),Sheet1!$W$2:$W$754,""),IF(_xlpm.desc="","NOT FOUND",LEFT(_xlpm.desc,FIND("-",_xlpm.desc,FIND("-",_xlpm.desc)+1))&amp;AE720)),LEFT(J720,FIND("-",J720,FIND("-",J720)+1))&amp;AE720))</f>
        <v/>
      </c>
    </row>
    <row r="721" spans="1:34" ht="15.75" customHeight="1" x14ac:dyDescent="0.2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 s="6" t="e">
        <f t="shared" si="30"/>
        <v>#VALUE!</v>
      </c>
      <c r="Y721" s="7" t="str">
        <f t="shared" si="31"/>
        <v>DC</v>
      </c>
      <c r="Z721" s="7">
        <f t="shared" si="32"/>
        <v>0</v>
      </c>
      <c r="AA721" s="7">
        <f t="shared" si="33"/>
        <v>0</v>
      </c>
      <c r="AB721" s="7">
        <f t="shared" si="34"/>
        <v>0</v>
      </c>
      <c r="AC721" s="7">
        <f t="shared" si="35"/>
        <v>0</v>
      </c>
      <c r="AD721" s="7">
        <f t="shared" si="36"/>
        <v>0</v>
      </c>
      <c r="AE721" s="8" cm="1">
        <f t="array" ref="AE721">IFERROR(_xlfn.XLOOKUP(H721,Sheet1!$G:$G,Sheet1!$F:$F),IFERROR(_xlfn.XLOOKUP(1,(--($X$2:$X$1074=X721))*(--ISNUMBER(MATCH($H$2:$H$1074,Sheet1!$G:$G,0))),_xlfn.XLOOKUP($H$2:$H$1074,Sheet1!$G:$G,Sheet1!$F:$F,"")),"NOT FOUND"))</f>
        <v>0</v>
      </c>
      <c r="AF721" s="9" t="str">
        <f t="shared" si="43"/>
        <v/>
      </c>
      <c r="AG721" s="10" t="str">
        <f t="shared" si="44"/>
        <v/>
      </c>
      <c r="AH721" s="8" t="str" cm="1">
        <f t="array" ref="AH721">IF(OR(J721="",AE721="",AE721="NOT FOUND"),"",IF(Y721="RP",_xlfn.LET(_xlpm.desc,_xlfn.XLOOKUP(1,(--(Sheet1!$F$2:$F$754=AE721))*(--ISNUMBER(FIND("-",Sheet1!$W$2:$W$754,FIND("-",Sheet1!$W$2:$W$754)+1))),Sheet1!$W$2:$W$754,""),IF(_xlpm.desc="","NOT FOUND",LEFT(_xlpm.desc,FIND("-",_xlpm.desc,FIND("-",_xlpm.desc)+1))&amp;AE721)),LEFT(J721,FIND("-",J721,FIND("-",J721)+1))&amp;AE721))</f>
        <v/>
      </c>
    </row>
    <row r="722" spans="1:34" ht="15.75" customHeight="1" x14ac:dyDescent="0.2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 s="6" t="e">
        <f t="shared" si="30"/>
        <v>#VALUE!</v>
      </c>
      <c r="Y722" s="7" t="str">
        <f t="shared" si="31"/>
        <v>DC</v>
      </c>
      <c r="Z722" s="7">
        <f t="shared" si="32"/>
        <v>0</v>
      </c>
      <c r="AA722" s="7">
        <f t="shared" si="33"/>
        <v>0</v>
      </c>
      <c r="AB722" s="7">
        <f t="shared" si="34"/>
        <v>0</v>
      </c>
      <c r="AC722" s="7">
        <f t="shared" si="35"/>
        <v>0</v>
      </c>
      <c r="AD722" s="7">
        <f t="shared" si="36"/>
        <v>0</v>
      </c>
      <c r="AE722" s="8" cm="1">
        <f t="array" ref="AE722">IFERROR(_xlfn.XLOOKUP(H722,Sheet1!$G:$G,Sheet1!$F:$F),IFERROR(_xlfn.XLOOKUP(1,(--($X$2:$X$1074=X722))*(--ISNUMBER(MATCH($H$2:$H$1074,Sheet1!$G:$G,0))),_xlfn.XLOOKUP($H$2:$H$1074,Sheet1!$G:$G,Sheet1!$F:$F,"")),"NOT FOUND"))</f>
        <v>0</v>
      </c>
      <c r="AF722" s="9" t="str">
        <f t="shared" si="43"/>
        <v/>
      </c>
      <c r="AG722" s="10" t="str">
        <f t="shared" si="44"/>
        <v/>
      </c>
      <c r="AH722" s="8" t="str" cm="1">
        <f t="array" ref="AH722">IF(OR(J722="",AE722="",AE722="NOT FOUND"),"",IF(Y722="RP",_xlfn.LET(_xlpm.desc,_xlfn.XLOOKUP(1,(--(Sheet1!$F$2:$F$754=AE722))*(--ISNUMBER(FIND("-",Sheet1!$W$2:$W$754,FIND("-",Sheet1!$W$2:$W$754)+1))),Sheet1!$W$2:$W$754,""),IF(_xlpm.desc="","NOT FOUND",LEFT(_xlpm.desc,FIND("-",_xlpm.desc,FIND("-",_xlpm.desc)+1))&amp;AE722)),LEFT(J722,FIND("-",J722,FIND("-",J722)+1))&amp;AE722))</f>
        <v/>
      </c>
    </row>
    <row r="723" spans="1:34" ht="15.75" customHeight="1" x14ac:dyDescent="0.2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 s="6" t="e">
        <f t="shared" si="30"/>
        <v>#VALUE!</v>
      </c>
      <c r="Y723" s="7" t="str">
        <f t="shared" si="31"/>
        <v>DC</v>
      </c>
      <c r="Z723" s="7">
        <f t="shared" si="32"/>
        <v>0</v>
      </c>
      <c r="AA723" s="7">
        <f t="shared" si="33"/>
        <v>0</v>
      </c>
      <c r="AB723" s="7">
        <f t="shared" si="34"/>
        <v>0</v>
      </c>
      <c r="AC723" s="7">
        <f t="shared" si="35"/>
        <v>0</v>
      </c>
      <c r="AD723" s="7">
        <f t="shared" si="36"/>
        <v>0</v>
      </c>
      <c r="AE723" s="8" cm="1">
        <f t="array" ref="AE723">IFERROR(_xlfn.XLOOKUP(H723,Sheet1!$G:$G,Sheet1!$F:$F),IFERROR(_xlfn.XLOOKUP(1,(--($X$2:$X$1074=X723))*(--ISNUMBER(MATCH($H$2:$H$1074,Sheet1!$G:$G,0))),_xlfn.XLOOKUP($H$2:$H$1074,Sheet1!$G:$G,Sheet1!$F:$F,"")),"NOT FOUND"))</f>
        <v>0</v>
      </c>
      <c r="AF723" s="9" t="str">
        <f t="shared" si="43"/>
        <v/>
      </c>
      <c r="AG723" s="10" t="str">
        <f t="shared" si="44"/>
        <v/>
      </c>
      <c r="AH723" s="8" t="str" cm="1">
        <f t="array" ref="AH723">IF(OR(J723="",AE723="",AE723="NOT FOUND"),"",IF(Y723="RP",_xlfn.LET(_xlpm.desc,_xlfn.XLOOKUP(1,(--(Sheet1!$F$2:$F$754=AE723))*(--ISNUMBER(FIND("-",Sheet1!$W$2:$W$754,FIND("-",Sheet1!$W$2:$W$754)+1))),Sheet1!$W$2:$W$754,""),IF(_xlpm.desc="","NOT FOUND",LEFT(_xlpm.desc,FIND("-",_xlpm.desc,FIND("-",_xlpm.desc)+1))&amp;AE723)),LEFT(J723,FIND("-",J723,FIND("-",J723)+1))&amp;AE723))</f>
        <v/>
      </c>
    </row>
    <row r="724" spans="1:34" ht="15.75" customHeight="1" x14ac:dyDescent="0.2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 s="6" t="e">
        <f t="shared" si="30"/>
        <v>#VALUE!</v>
      </c>
      <c r="Y724" s="7" t="str">
        <f t="shared" si="31"/>
        <v>DC</v>
      </c>
      <c r="Z724" s="7">
        <f t="shared" si="32"/>
        <v>0</v>
      </c>
      <c r="AA724" s="7">
        <f t="shared" si="33"/>
        <v>0</v>
      </c>
      <c r="AB724" s="7">
        <f t="shared" si="34"/>
        <v>0</v>
      </c>
      <c r="AC724" s="7">
        <f t="shared" si="35"/>
        <v>0</v>
      </c>
      <c r="AD724" s="7">
        <f t="shared" si="36"/>
        <v>0</v>
      </c>
      <c r="AE724" s="8" cm="1">
        <f t="array" ref="AE724">IFERROR(_xlfn.XLOOKUP(H724,Sheet1!$G:$G,Sheet1!$F:$F),IFERROR(_xlfn.XLOOKUP(1,(--($X$2:$X$1074=X724))*(--ISNUMBER(MATCH($H$2:$H$1074,Sheet1!$G:$G,0))),_xlfn.XLOOKUP($H$2:$H$1074,Sheet1!$G:$G,Sheet1!$F:$F,"")),"NOT FOUND"))</f>
        <v>0</v>
      </c>
      <c r="AF724" s="9" t="str">
        <f t="shared" si="43"/>
        <v/>
      </c>
      <c r="AG724" s="10" t="str">
        <f t="shared" si="44"/>
        <v/>
      </c>
      <c r="AH724" s="8" t="str" cm="1">
        <f t="array" ref="AH724">IF(OR(J724="",AE724="",AE724="NOT FOUND"),"",IF(Y724="RP",_xlfn.LET(_xlpm.desc,_xlfn.XLOOKUP(1,(--(Sheet1!$F$2:$F$754=AE724))*(--ISNUMBER(FIND("-",Sheet1!$W$2:$W$754,FIND("-",Sheet1!$W$2:$W$754)+1))),Sheet1!$W$2:$W$754,""),IF(_xlpm.desc="","NOT FOUND",LEFT(_xlpm.desc,FIND("-",_xlpm.desc,FIND("-",_xlpm.desc)+1))&amp;AE724)),LEFT(J724,FIND("-",J724,FIND("-",J724)+1))&amp;AE724))</f>
        <v/>
      </c>
    </row>
    <row r="725" spans="1:34" ht="15.75" customHeight="1" x14ac:dyDescent="0.2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 s="6" t="e">
        <f t="shared" si="30"/>
        <v>#VALUE!</v>
      </c>
      <c r="Y725" s="7" t="str">
        <f t="shared" si="31"/>
        <v>DC</v>
      </c>
      <c r="Z725" s="7">
        <f t="shared" si="32"/>
        <v>0</v>
      </c>
      <c r="AA725" s="7">
        <f t="shared" si="33"/>
        <v>0</v>
      </c>
      <c r="AB725" s="7">
        <f t="shared" si="34"/>
        <v>0</v>
      </c>
      <c r="AC725" s="7">
        <f t="shared" si="35"/>
        <v>0</v>
      </c>
      <c r="AD725" s="7">
        <f t="shared" si="36"/>
        <v>0</v>
      </c>
      <c r="AE725" s="8" cm="1">
        <f t="array" ref="AE725">IFERROR(_xlfn.XLOOKUP(H725,Sheet1!$G:$G,Sheet1!$F:$F),IFERROR(_xlfn.XLOOKUP(1,(--($X$2:$X$1074=X725))*(--ISNUMBER(MATCH($H$2:$H$1074,Sheet1!$G:$G,0))),_xlfn.XLOOKUP($H$2:$H$1074,Sheet1!$G:$G,Sheet1!$F:$F,"")),"NOT FOUND"))</f>
        <v>0</v>
      </c>
      <c r="AF725" s="9" t="str">
        <f t="shared" si="43"/>
        <v/>
      </c>
      <c r="AG725" s="10" t="str">
        <f t="shared" si="44"/>
        <v/>
      </c>
      <c r="AH725" s="8" t="str" cm="1">
        <f t="array" ref="AH725">IF(OR(J725="",AE725="",AE725="NOT FOUND"),"",IF(Y725="RP",_xlfn.LET(_xlpm.desc,_xlfn.XLOOKUP(1,(--(Sheet1!$F$2:$F$754=AE725))*(--ISNUMBER(FIND("-",Sheet1!$W$2:$W$754,FIND("-",Sheet1!$W$2:$W$754)+1))),Sheet1!$W$2:$W$754,""),IF(_xlpm.desc="","NOT FOUND",LEFT(_xlpm.desc,FIND("-",_xlpm.desc,FIND("-",_xlpm.desc)+1))&amp;AE725)),LEFT(J725,FIND("-",J725,FIND("-",J725)+1))&amp;AE725))</f>
        <v/>
      </c>
    </row>
    <row r="726" spans="1:34" ht="15.75" customHeight="1" x14ac:dyDescent="0.2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 s="6" t="e">
        <f t="shared" si="30"/>
        <v>#VALUE!</v>
      </c>
      <c r="Y726" s="7" t="str">
        <f t="shared" si="31"/>
        <v>DC</v>
      </c>
      <c r="Z726" s="7">
        <f t="shared" si="32"/>
        <v>0</v>
      </c>
      <c r="AA726" s="7">
        <f t="shared" si="33"/>
        <v>0</v>
      </c>
      <c r="AB726" s="7">
        <f t="shared" si="34"/>
        <v>0</v>
      </c>
      <c r="AC726" s="7">
        <f t="shared" si="35"/>
        <v>0</v>
      </c>
      <c r="AD726" s="7">
        <f t="shared" si="36"/>
        <v>0</v>
      </c>
      <c r="AE726" s="8" cm="1">
        <f t="array" ref="AE726">IFERROR(_xlfn.XLOOKUP(H726,Sheet1!$G:$G,Sheet1!$F:$F),IFERROR(_xlfn.XLOOKUP(1,(--($X$2:$X$1074=X726))*(--ISNUMBER(MATCH($H$2:$H$1074,Sheet1!$G:$G,0))),_xlfn.XLOOKUP($H$2:$H$1074,Sheet1!$G:$G,Sheet1!$F:$F,"")),"NOT FOUND"))</f>
        <v>0</v>
      </c>
      <c r="AF726" s="9" t="str">
        <f t="shared" si="43"/>
        <v/>
      </c>
      <c r="AG726" s="10" t="str">
        <f t="shared" si="44"/>
        <v/>
      </c>
      <c r="AH726" s="8" t="str" cm="1">
        <f t="array" ref="AH726">IF(OR(J726="",AE726="",AE726="NOT FOUND"),"",IF(Y726="RP",_xlfn.LET(_xlpm.desc,_xlfn.XLOOKUP(1,(--(Sheet1!$F$2:$F$754=AE726))*(--ISNUMBER(FIND("-",Sheet1!$W$2:$W$754,FIND("-",Sheet1!$W$2:$W$754)+1))),Sheet1!$W$2:$W$754,""),IF(_xlpm.desc="","NOT FOUND",LEFT(_xlpm.desc,FIND("-",_xlpm.desc,FIND("-",_xlpm.desc)+1))&amp;AE726)),LEFT(J726,FIND("-",J726,FIND("-",J726)+1))&amp;AE726))</f>
        <v/>
      </c>
    </row>
    <row r="727" spans="1:34" ht="15.75" customHeight="1" x14ac:dyDescent="0.2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 s="6" t="e">
        <f t="shared" si="30"/>
        <v>#VALUE!</v>
      </c>
      <c r="Y727" s="7" t="str">
        <f t="shared" si="31"/>
        <v>DC</v>
      </c>
      <c r="Z727" s="7">
        <f t="shared" si="32"/>
        <v>0</v>
      </c>
      <c r="AA727" s="7">
        <f t="shared" si="33"/>
        <v>0</v>
      </c>
      <c r="AB727" s="7">
        <f t="shared" si="34"/>
        <v>0</v>
      </c>
      <c r="AC727" s="7">
        <f t="shared" si="35"/>
        <v>0</v>
      </c>
      <c r="AD727" s="7">
        <f t="shared" si="36"/>
        <v>0</v>
      </c>
      <c r="AE727" s="8" cm="1">
        <f t="array" ref="AE727">IFERROR(_xlfn.XLOOKUP(H727,Sheet1!$G:$G,Sheet1!$F:$F),IFERROR(_xlfn.XLOOKUP(1,(--($X$2:$X$1074=X727))*(--ISNUMBER(MATCH($H$2:$H$1074,Sheet1!$G:$G,0))),_xlfn.XLOOKUP($H$2:$H$1074,Sheet1!$G:$G,Sheet1!$F:$F,"")),"NOT FOUND"))</f>
        <v>0</v>
      </c>
      <c r="AF727" s="9" t="str">
        <f t="shared" si="43"/>
        <v/>
      </c>
      <c r="AG727" s="10" t="str">
        <f t="shared" si="44"/>
        <v/>
      </c>
      <c r="AH727" s="8" t="str" cm="1">
        <f t="array" ref="AH727">IF(OR(J727="",AE727="",AE727="NOT FOUND"),"",IF(Y727="RP",_xlfn.LET(_xlpm.desc,_xlfn.XLOOKUP(1,(--(Sheet1!$F$2:$F$754=AE727))*(--ISNUMBER(FIND("-",Sheet1!$W$2:$W$754,FIND("-",Sheet1!$W$2:$W$754)+1))),Sheet1!$W$2:$W$754,""),IF(_xlpm.desc="","NOT FOUND",LEFT(_xlpm.desc,FIND("-",_xlpm.desc,FIND("-",_xlpm.desc)+1))&amp;AE727)),LEFT(J727,FIND("-",J727,FIND("-",J727)+1))&amp;AE727))</f>
        <v/>
      </c>
    </row>
    <row r="728" spans="1:34" ht="15.75" customHeight="1" x14ac:dyDescent="0.2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 s="6" t="e">
        <f t="shared" si="30"/>
        <v>#VALUE!</v>
      </c>
      <c r="Y728" s="7" t="str">
        <f t="shared" si="31"/>
        <v>DC</v>
      </c>
      <c r="Z728" s="7">
        <f t="shared" si="32"/>
        <v>0</v>
      </c>
      <c r="AA728" s="7">
        <f t="shared" si="33"/>
        <v>0</v>
      </c>
      <c r="AB728" s="7">
        <f t="shared" si="34"/>
        <v>0</v>
      </c>
      <c r="AC728" s="7">
        <f t="shared" si="35"/>
        <v>0</v>
      </c>
      <c r="AD728" s="7">
        <f t="shared" si="36"/>
        <v>0</v>
      </c>
      <c r="AE728" s="8" cm="1">
        <f t="array" ref="AE728">IFERROR(_xlfn.XLOOKUP(H728,Sheet1!$G:$G,Sheet1!$F:$F),IFERROR(_xlfn.XLOOKUP(1,(--($X$2:$X$1074=X728))*(--ISNUMBER(MATCH($H$2:$H$1074,Sheet1!$G:$G,0))),_xlfn.XLOOKUP($H$2:$H$1074,Sheet1!$G:$G,Sheet1!$F:$F,"")),"NOT FOUND"))</f>
        <v>0</v>
      </c>
      <c r="AF728" s="9" t="str">
        <f t="shared" si="43"/>
        <v/>
      </c>
      <c r="AG728" s="10" t="str">
        <f t="shared" si="44"/>
        <v/>
      </c>
      <c r="AH728" s="8" t="str" cm="1">
        <f t="array" ref="AH728">IF(OR(J728="",AE728="",AE728="NOT FOUND"),"",IF(Y728="RP",_xlfn.LET(_xlpm.desc,_xlfn.XLOOKUP(1,(--(Sheet1!$F$2:$F$754=AE728))*(--ISNUMBER(FIND("-",Sheet1!$W$2:$W$754,FIND("-",Sheet1!$W$2:$W$754)+1))),Sheet1!$W$2:$W$754,""),IF(_xlpm.desc="","NOT FOUND",LEFT(_xlpm.desc,FIND("-",_xlpm.desc,FIND("-",_xlpm.desc)+1))&amp;AE728)),LEFT(J728,FIND("-",J728,FIND("-",J728)+1))&amp;AE728))</f>
        <v/>
      </c>
    </row>
    <row r="729" spans="1:34" ht="15.75" customHeight="1" x14ac:dyDescent="0.2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 s="6" t="e">
        <f t="shared" si="30"/>
        <v>#VALUE!</v>
      </c>
      <c r="Y729" s="7" t="str">
        <f t="shared" si="31"/>
        <v>DC</v>
      </c>
      <c r="Z729" s="7">
        <f t="shared" si="32"/>
        <v>0</v>
      </c>
      <c r="AA729" s="7">
        <f t="shared" si="33"/>
        <v>0</v>
      </c>
      <c r="AB729" s="7">
        <f t="shared" si="34"/>
        <v>0</v>
      </c>
      <c r="AC729" s="7">
        <f t="shared" si="35"/>
        <v>0</v>
      </c>
      <c r="AD729" s="7">
        <f t="shared" si="36"/>
        <v>0</v>
      </c>
      <c r="AE729" s="8" cm="1">
        <f t="array" ref="AE729">IFERROR(_xlfn.XLOOKUP(H729,Sheet1!$G:$G,Sheet1!$F:$F),IFERROR(_xlfn.XLOOKUP(1,(--($X$2:$X$1074=X729))*(--ISNUMBER(MATCH($H$2:$H$1074,Sheet1!$G:$G,0))),_xlfn.XLOOKUP($H$2:$H$1074,Sheet1!$G:$G,Sheet1!$F:$F,"")),"NOT FOUND"))</f>
        <v>0</v>
      </c>
      <c r="AF729" s="9" t="str">
        <f t="shared" si="43"/>
        <v/>
      </c>
      <c r="AG729" s="10" t="str">
        <f t="shared" si="44"/>
        <v/>
      </c>
      <c r="AH729" s="8" t="str" cm="1">
        <f t="array" ref="AH729">IF(OR(J729="",AE729="",AE729="NOT FOUND"),"",IF(Y729="RP",_xlfn.LET(_xlpm.desc,_xlfn.XLOOKUP(1,(--(Sheet1!$F$2:$F$754=AE729))*(--ISNUMBER(FIND("-",Sheet1!$W$2:$W$754,FIND("-",Sheet1!$W$2:$W$754)+1))),Sheet1!$W$2:$W$754,""),IF(_xlpm.desc="","NOT FOUND",LEFT(_xlpm.desc,FIND("-",_xlpm.desc,FIND("-",_xlpm.desc)+1))&amp;AE729)),LEFT(J729,FIND("-",J729,FIND("-",J729)+1))&amp;AE729))</f>
        <v/>
      </c>
    </row>
    <row r="730" spans="1:34" ht="15.75" customHeight="1" x14ac:dyDescent="0.2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 s="6" t="e">
        <f t="shared" si="30"/>
        <v>#VALUE!</v>
      </c>
      <c r="Y730" s="7" t="str">
        <f t="shared" si="31"/>
        <v>DC</v>
      </c>
      <c r="Z730" s="7">
        <f t="shared" si="32"/>
        <v>0</v>
      </c>
      <c r="AA730" s="7">
        <f t="shared" si="33"/>
        <v>0</v>
      </c>
      <c r="AB730" s="7">
        <f t="shared" si="34"/>
        <v>0</v>
      </c>
      <c r="AC730" s="7">
        <f t="shared" si="35"/>
        <v>0</v>
      </c>
      <c r="AD730" s="7">
        <f t="shared" si="36"/>
        <v>0</v>
      </c>
      <c r="AE730" s="8" cm="1">
        <f t="array" ref="AE730">IFERROR(_xlfn.XLOOKUP(H730,Sheet1!$G:$G,Sheet1!$F:$F),IFERROR(_xlfn.XLOOKUP(1,(--($X$2:$X$1074=X730))*(--ISNUMBER(MATCH($H$2:$H$1074,Sheet1!$G:$G,0))),_xlfn.XLOOKUP($H$2:$H$1074,Sheet1!$G:$G,Sheet1!$F:$F,"")),"NOT FOUND"))</f>
        <v>0</v>
      </c>
      <c r="AF730" s="9" t="str">
        <f t="shared" si="43"/>
        <v/>
      </c>
      <c r="AG730" s="10" t="str">
        <f t="shared" si="44"/>
        <v/>
      </c>
      <c r="AH730" s="8" t="str" cm="1">
        <f t="array" ref="AH730">IF(OR(J730="",AE730="",AE730="NOT FOUND"),"",IF(Y730="RP",_xlfn.LET(_xlpm.desc,_xlfn.XLOOKUP(1,(--(Sheet1!$F$2:$F$754=AE730))*(--ISNUMBER(FIND("-",Sheet1!$W$2:$W$754,FIND("-",Sheet1!$W$2:$W$754)+1))),Sheet1!$W$2:$W$754,""),IF(_xlpm.desc="","NOT FOUND",LEFT(_xlpm.desc,FIND("-",_xlpm.desc,FIND("-",_xlpm.desc)+1))&amp;AE730)),LEFT(J730,FIND("-",J730,FIND("-",J730)+1))&amp;AE730))</f>
        <v/>
      </c>
    </row>
    <row r="731" spans="1:34" ht="15.75" customHeight="1" x14ac:dyDescent="0.2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 s="6" t="e">
        <f t="shared" si="30"/>
        <v>#VALUE!</v>
      </c>
      <c r="Y731" s="7" t="str">
        <f t="shared" si="31"/>
        <v>DC</v>
      </c>
      <c r="Z731" s="7">
        <f t="shared" si="32"/>
        <v>0</v>
      </c>
      <c r="AA731" s="7">
        <f t="shared" si="33"/>
        <v>0</v>
      </c>
      <c r="AB731" s="7">
        <f t="shared" si="34"/>
        <v>0</v>
      </c>
      <c r="AC731" s="7">
        <f t="shared" si="35"/>
        <v>0</v>
      </c>
      <c r="AD731" s="7">
        <f t="shared" si="36"/>
        <v>0</v>
      </c>
      <c r="AE731" s="8" cm="1">
        <f t="array" ref="AE731">IFERROR(_xlfn.XLOOKUP(H731,Sheet1!$G:$G,Sheet1!$F:$F),IFERROR(_xlfn.XLOOKUP(1,(--($X$2:$X$1074=X731))*(--ISNUMBER(MATCH($H$2:$H$1074,Sheet1!$G:$G,0))),_xlfn.XLOOKUP($H$2:$H$1074,Sheet1!$G:$G,Sheet1!$F:$F,"")),"NOT FOUND"))</f>
        <v>0</v>
      </c>
      <c r="AF731" s="9" t="str">
        <f t="shared" si="43"/>
        <v/>
      </c>
      <c r="AG731" s="10" t="str">
        <f t="shared" si="44"/>
        <v/>
      </c>
      <c r="AH731" s="8" t="str" cm="1">
        <f t="array" ref="AH731">IF(OR(J731="",AE731="",AE731="NOT FOUND"),"",IF(Y731="RP",_xlfn.LET(_xlpm.desc,_xlfn.XLOOKUP(1,(--(Sheet1!$F$2:$F$754=AE731))*(--ISNUMBER(FIND("-",Sheet1!$W$2:$W$754,FIND("-",Sheet1!$W$2:$W$754)+1))),Sheet1!$W$2:$W$754,""),IF(_xlpm.desc="","NOT FOUND",LEFT(_xlpm.desc,FIND("-",_xlpm.desc,FIND("-",_xlpm.desc)+1))&amp;AE731)),LEFT(J731,FIND("-",J731,FIND("-",J731)+1))&amp;AE731))</f>
        <v/>
      </c>
    </row>
    <row r="732" spans="1:34" ht="15.75" customHeight="1" x14ac:dyDescent="0.2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 s="6" t="e">
        <f t="shared" si="30"/>
        <v>#VALUE!</v>
      </c>
      <c r="Y732" s="7" t="str">
        <f t="shared" si="31"/>
        <v>DC</v>
      </c>
      <c r="Z732" s="7">
        <f t="shared" si="32"/>
        <v>0</v>
      </c>
      <c r="AA732" s="7">
        <f t="shared" si="33"/>
        <v>0</v>
      </c>
      <c r="AB732" s="7">
        <f t="shared" si="34"/>
        <v>0</v>
      </c>
      <c r="AC732" s="7">
        <f t="shared" si="35"/>
        <v>0</v>
      </c>
      <c r="AD732" s="7">
        <f t="shared" si="36"/>
        <v>0</v>
      </c>
      <c r="AE732" s="8" cm="1">
        <f t="array" ref="AE732">IFERROR(_xlfn.XLOOKUP(H732,Sheet1!$G:$G,Sheet1!$F:$F),IFERROR(_xlfn.XLOOKUP(1,(--($X$2:$X$1074=X732))*(--ISNUMBER(MATCH($H$2:$H$1074,Sheet1!$G:$G,0))),_xlfn.XLOOKUP($H$2:$H$1074,Sheet1!$G:$G,Sheet1!$F:$F,"")),"NOT FOUND"))</f>
        <v>0</v>
      </c>
      <c r="AF732" s="9" t="str">
        <f t="shared" si="43"/>
        <v/>
      </c>
      <c r="AG732" s="10" t="str">
        <f t="shared" si="44"/>
        <v/>
      </c>
      <c r="AH732" s="8" t="str" cm="1">
        <f t="array" ref="AH732">IF(OR(J732="",AE732="",AE732="NOT FOUND"),"",IF(Y732="RP",_xlfn.LET(_xlpm.desc,_xlfn.XLOOKUP(1,(--(Sheet1!$F$2:$F$754=AE732))*(--ISNUMBER(FIND("-",Sheet1!$W$2:$W$754,FIND("-",Sheet1!$W$2:$W$754)+1))),Sheet1!$W$2:$W$754,""),IF(_xlpm.desc="","NOT FOUND",LEFT(_xlpm.desc,FIND("-",_xlpm.desc,FIND("-",_xlpm.desc)+1))&amp;AE732)),LEFT(J732,FIND("-",J732,FIND("-",J732)+1))&amp;AE732))</f>
        <v/>
      </c>
    </row>
    <row r="733" spans="1:34" ht="15.75" customHeight="1" x14ac:dyDescent="0.2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 s="6" t="e">
        <f t="shared" si="30"/>
        <v>#VALUE!</v>
      </c>
      <c r="Y733" s="7" t="str">
        <f t="shared" si="31"/>
        <v>DC</v>
      </c>
      <c r="Z733" s="7">
        <f t="shared" si="32"/>
        <v>0</v>
      </c>
      <c r="AA733" s="7">
        <f t="shared" si="33"/>
        <v>0</v>
      </c>
      <c r="AB733" s="7">
        <f t="shared" si="34"/>
        <v>0</v>
      </c>
      <c r="AC733" s="7">
        <f t="shared" si="35"/>
        <v>0</v>
      </c>
      <c r="AD733" s="7">
        <f t="shared" si="36"/>
        <v>0</v>
      </c>
      <c r="AE733" s="8" cm="1">
        <f t="array" ref="AE733">IFERROR(_xlfn.XLOOKUP(H733,Sheet1!$G:$G,Sheet1!$F:$F),IFERROR(_xlfn.XLOOKUP(1,(--($X$2:$X$1074=X733))*(--ISNUMBER(MATCH($H$2:$H$1074,Sheet1!$G:$G,0))),_xlfn.XLOOKUP($H$2:$H$1074,Sheet1!$G:$G,Sheet1!$F:$F,"")),"NOT FOUND"))</f>
        <v>0</v>
      </c>
      <c r="AF733" s="9" t="str">
        <f t="shared" si="43"/>
        <v/>
      </c>
      <c r="AG733" s="10" t="str">
        <f t="shared" si="44"/>
        <v/>
      </c>
      <c r="AH733" s="8" t="str" cm="1">
        <f t="array" ref="AH733">IF(OR(J733="",AE733="",AE733="NOT FOUND"),"",IF(Y733="RP",_xlfn.LET(_xlpm.desc,_xlfn.XLOOKUP(1,(--(Sheet1!$F$2:$F$754=AE733))*(--ISNUMBER(FIND("-",Sheet1!$W$2:$W$754,FIND("-",Sheet1!$W$2:$W$754)+1))),Sheet1!$W$2:$W$754,""),IF(_xlpm.desc="","NOT FOUND",LEFT(_xlpm.desc,FIND("-",_xlpm.desc,FIND("-",_xlpm.desc)+1))&amp;AE733)),LEFT(J733,FIND("-",J733,FIND("-",J733)+1))&amp;AE733))</f>
        <v/>
      </c>
    </row>
    <row r="734" spans="1:34" ht="15.75" customHeight="1" x14ac:dyDescent="0.2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 s="6" t="e">
        <f t="shared" si="30"/>
        <v>#VALUE!</v>
      </c>
      <c r="Y734" s="7" t="str">
        <f t="shared" si="31"/>
        <v>DC</v>
      </c>
      <c r="Z734" s="7">
        <f t="shared" si="32"/>
        <v>0</v>
      </c>
      <c r="AA734" s="7">
        <f t="shared" si="33"/>
        <v>0</v>
      </c>
      <c r="AB734" s="7">
        <f t="shared" si="34"/>
        <v>0</v>
      </c>
      <c r="AC734" s="7">
        <f t="shared" si="35"/>
        <v>0</v>
      </c>
      <c r="AD734" s="7">
        <f t="shared" si="36"/>
        <v>0</v>
      </c>
      <c r="AE734" s="8" cm="1">
        <f t="array" ref="AE734">IFERROR(_xlfn.XLOOKUP(H734,Sheet1!$G:$G,Sheet1!$F:$F),IFERROR(_xlfn.XLOOKUP(1,(--($X$2:$X$1074=X734))*(--ISNUMBER(MATCH($H$2:$H$1074,Sheet1!$G:$G,0))),_xlfn.XLOOKUP($H$2:$H$1074,Sheet1!$G:$G,Sheet1!$F:$F,"")),"NOT FOUND"))</f>
        <v>0</v>
      </c>
      <c r="AF734" s="9" t="str">
        <f t="shared" si="43"/>
        <v/>
      </c>
      <c r="AG734" s="10" t="str">
        <f t="shared" si="44"/>
        <v/>
      </c>
      <c r="AH734" s="8" t="str" cm="1">
        <f t="array" ref="AH734">IF(OR(J734="",AE734="",AE734="NOT FOUND"),"",IF(Y734="RP",_xlfn.LET(_xlpm.desc,_xlfn.XLOOKUP(1,(--(Sheet1!$F$2:$F$754=AE734))*(--ISNUMBER(FIND("-",Sheet1!$W$2:$W$754,FIND("-",Sheet1!$W$2:$W$754)+1))),Sheet1!$W$2:$W$754,""),IF(_xlpm.desc="","NOT FOUND",LEFT(_xlpm.desc,FIND("-",_xlpm.desc,FIND("-",_xlpm.desc)+1))&amp;AE734)),LEFT(J734,FIND("-",J734,FIND("-",J734)+1))&amp;AE734))</f>
        <v/>
      </c>
    </row>
    <row r="735" spans="1:34" ht="15.75" customHeight="1" x14ac:dyDescent="0.2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 s="6" t="e">
        <f t="shared" si="30"/>
        <v>#VALUE!</v>
      </c>
      <c r="Y735" s="7" t="str">
        <f t="shared" si="31"/>
        <v>DC</v>
      </c>
      <c r="Z735" s="7">
        <f t="shared" si="32"/>
        <v>0</v>
      </c>
      <c r="AA735" s="7">
        <f t="shared" si="33"/>
        <v>0</v>
      </c>
      <c r="AB735" s="7">
        <f t="shared" si="34"/>
        <v>0</v>
      </c>
      <c r="AC735" s="7">
        <f t="shared" si="35"/>
        <v>0</v>
      </c>
      <c r="AD735" s="7">
        <f t="shared" si="36"/>
        <v>0</v>
      </c>
      <c r="AE735" s="8" cm="1">
        <f t="array" ref="AE735">IFERROR(_xlfn.XLOOKUP(H735,Sheet1!$G:$G,Sheet1!$F:$F),IFERROR(_xlfn.XLOOKUP(1,(--($X$2:$X$1074=X735))*(--ISNUMBER(MATCH($H$2:$H$1074,Sheet1!$G:$G,0))),_xlfn.XLOOKUP($H$2:$H$1074,Sheet1!$G:$G,Sheet1!$F:$F,"")),"NOT FOUND"))</f>
        <v>0</v>
      </c>
      <c r="AF735" s="9" t="str">
        <f t="shared" si="43"/>
        <v/>
      </c>
      <c r="AG735" s="10" t="str">
        <f t="shared" si="44"/>
        <v/>
      </c>
      <c r="AH735" s="8" t="str" cm="1">
        <f t="array" ref="AH735">IF(OR(J735="",AE735="",AE735="NOT FOUND"),"",IF(Y735="RP",_xlfn.LET(_xlpm.desc,_xlfn.XLOOKUP(1,(--(Sheet1!$F$2:$F$754=AE735))*(--ISNUMBER(FIND("-",Sheet1!$W$2:$W$754,FIND("-",Sheet1!$W$2:$W$754)+1))),Sheet1!$W$2:$W$754,""),IF(_xlpm.desc="","NOT FOUND",LEFT(_xlpm.desc,FIND("-",_xlpm.desc,FIND("-",_xlpm.desc)+1))&amp;AE735)),LEFT(J735,FIND("-",J735,FIND("-",J735)+1))&amp;AE735))</f>
        <v/>
      </c>
    </row>
    <row r="736" spans="1:34" ht="15.75" customHeight="1" x14ac:dyDescent="0.2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 s="6" t="e">
        <f t="shared" si="30"/>
        <v>#VALUE!</v>
      </c>
      <c r="Y736" s="7" t="str">
        <f t="shared" si="31"/>
        <v>DC</v>
      </c>
      <c r="Z736" s="7">
        <f t="shared" si="32"/>
        <v>0</v>
      </c>
      <c r="AA736" s="7">
        <f t="shared" si="33"/>
        <v>0</v>
      </c>
      <c r="AB736" s="7">
        <f t="shared" si="34"/>
        <v>0</v>
      </c>
      <c r="AC736" s="7">
        <f t="shared" si="35"/>
        <v>0</v>
      </c>
      <c r="AD736" s="7">
        <f t="shared" si="36"/>
        <v>0</v>
      </c>
      <c r="AE736" s="8" cm="1">
        <f t="array" ref="AE736">IFERROR(_xlfn.XLOOKUP(H736,Sheet1!$G:$G,Sheet1!$F:$F),IFERROR(_xlfn.XLOOKUP(1,(--($X$2:$X$1074=X736))*(--ISNUMBER(MATCH($H$2:$H$1074,Sheet1!$G:$G,0))),_xlfn.XLOOKUP($H$2:$H$1074,Sheet1!$G:$G,Sheet1!$F:$F,"")),"NOT FOUND"))</f>
        <v>0</v>
      </c>
      <c r="AF736" s="9" t="str">
        <f t="shared" si="43"/>
        <v/>
      </c>
      <c r="AG736" s="10" t="str">
        <f t="shared" si="44"/>
        <v/>
      </c>
      <c r="AH736" s="8" t="str" cm="1">
        <f t="array" ref="AH736">IF(OR(J736="",AE736="",AE736="NOT FOUND"),"",IF(Y736="RP",_xlfn.LET(_xlpm.desc,_xlfn.XLOOKUP(1,(--(Sheet1!$F$2:$F$754=AE736))*(--ISNUMBER(FIND("-",Sheet1!$W$2:$W$754,FIND("-",Sheet1!$W$2:$W$754)+1))),Sheet1!$W$2:$W$754,""),IF(_xlpm.desc="","NOT FOUND",LEFT(_xlpm.desc,FIND("-",_xlpm.desc,FIND("-",_xlpm.desc)+1))&amp;AE736)),LEFT(J736,FIND("-",J736,FIND("-",J736)+1))&amp;AE736))</f>
        <v/>
      </c>
    </row>
    <row r="737" spans="1:34" ht="15.75" customHeight="1" x14ac:dyDescent="0.2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 s="6" t="e">
        <f t="shared" si="30"/>
        <v>#VALUE!</v>
      </c>
      <c r="Y737" s="7" t="str">
        <f t="shared" si="31"/>
        <v>DC</v>
      </c>
      <c r="Z737" s="7">
        <f t="shared" si="32"/>
        <v>0</v>
      </c>
      <c r="AA737" s="7">
        <f t="shared" si="33"/>
        <v>0</v>
      </c>
      <c r="AB737" s="7">
        <f t="shared" si="34"/>
        <v>0</v>
      </c>
      <c r="AC737" s="7">
        <f t="shared" si="35"/>
        <v>0</v>
      </c>
      <c r="AD737" s="7">
        <f t="shared" si="36"/>
        <v>0</v>
      </c>
      <c r="AE737" s="8" cm="1">
        <f t="array" ref="AE737">IFERROR(_xlfn.XLOOKUP(H737,Sheet1!$G:$G,Sheet1!$F:$F),IFERROR(_xlfn.XLOOKUP(1,(--($X$2:$X$1074=X737))*(--ISNUMBER(MATCH($H$2:$H$1074,Sheet1!$G:$G,0))),_xlfn.XLOOKUP($H$2:$H$1074,Sheet1!$G:$G,Sheet1!$F:$F,"")),"NOT FOUND"))</f>
        <v>0</v>
      </c>
      <c r="AF737" s="9" t="str">
        <f t="shared" si="43"/>
        <v/>
      </c>
      <c r="AG737" s="10" t="str">
        <f t="shared" si="44"/>
        <v/>
      </c>
      <c r="AH737" s="8" t="str" cm="1">
        <f t="array" ref="AH737">IF(OR(J737="",AE737="",AE737="NOT FOUND"),"",IF(Y737="RP",_xlfn.LET(_xlpm.desc,_xlfn.XLOOKUP(1,(--(Sheet1!$F$2:$F$754=AE737))*(--ISNUMBER(FIND("-",Sheet1!$W$2:$W$754,FIND("-",Sheet1!$W$2:$W$754)+1))),Sheet1!$W$2:$W$754,""),IF(_xlpm.desc="","NOT FOUND",LEFT(_xlpm.desc,FIND("-",_xlpm.desc,FIND("-",_xlpm.desc)+1))&amp;AE737)),LEFT(J737,FIND("-",J737,FIND("-",J737)+1))&amp;AE737))</f>
        <v/>
      </c>
    </row>
    <row r="738" spans="1:34" ht="15.75" customHeight="1" x14ac:dyDescent="0.2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 s="6" t="e">
        <f t="shared" si="30"/>
        <v>#VALUE!</v>
      </c>
      <c r="Y738" s="7" t="str">
        <f t="shared" si="31"/>
        <v>DC</v>
      </c>
      <c r="Z738" s="7">
        <f t="shared" si="32"/>
        <v>0</v>
      </c>
      <c r="AA738" s="7">
        <f t="shared" si="33"/>
        <v>0</v>
      </c>
      <c r="AB738" s="7">
        <f t="shared" si="34"/>
        <v>0</v>
      </c>
      <c r="AC738" s="7">
        <f t="shared" si="35"/>
        <v>0</v>
      </c>
      <c r="AD738" s="7">
        <f t="shared" si="36"/>
        <v>0</v>
      </c>
      <c r="AE738" s="8" cm="1">
        <f t="array" ref="AE738">IFERROR(_xlfn.XLOOKUP(H738,Sheet1!$G:$G,Sheet1!$F:$F),IFERROR(_xlfn.XLOOKUP(1,(--($X$2:$X$1074=X738))*(--ISNUMBER(MATCH($H$2:$H$1074,Sheet1!$G:$G,0))),_xlfn.XLOOKUP($H$2:$H$1074,Sheet1!$G:$G,Sheet1!$F:$F,"")),"NOT FOUND"))</f>
        <v>0</v>
      </c>
      <c r="AF738" s="9" t="str">
        <f t="shared" si="43"/>
        <v/>
      </c>
      <c r="AG738" s="10" t="str">
        <f t="shared" si="44"/>
        <v/>
      </c>
      <c r="AH738" s="8" t="str" cm="1">
        <f t="array" ref="AH738">IF(OR(J738="",AE738="",AE738="NOT FOUND"),"",IF(Y738="RP",_xlfn.LET(_xlpm.desc,_xlfn.XLOOKUP(1,(--(Sheet1!$F$2:$F$754=AE738))*(--ISNUMBER(FIND("-",Sheet1!$W$2:$W$754,FIND("-",Sheet1!$W$2:$W$754)+1))),Sheet1!$W$2:$W$754,""),IF(_xlpm.desc="","NOT FOUND",LEFT(_xlpm.desc,FIND("-",_xlpm.desc,FIND("-",_xlpm.desc)+1))&amp;AE738)),LEFT(J738,FIND("-",J738,FIND("-",J738)+1))&amp;AE738))</f>
        <v/>
      </c>
    </row>
    <row r="739" spans="1:34" ht="15.75" customHeight="1" x14ac:dyDescent="0.2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 s="6" t="e">
        <f t="shared" si="30"/>
        <v>#VALUE!</v>
      </c>
      <c r="Y739" s="7" t="str">
        <f t="shared" si="31"/>
        <v>DC</v>
      </c>
      <c r="Z739" s="7">
        <f t="shared" si="32"/>
        <v>0</v>
      </c>
      <c r="AA739" s="7">
        <f t="shared" si="33"/>
        <v>0</v>
      </c>
      <c r="AB739" s="7">
        <f t="shared" si="34"/>
        <v>0</v>
      </c>
      <c r="AC739" s="7">
        <f t="shared" si="35"/>
        <v>0</v>
      </c>
      <c r="AD739" s="7">
        <f t="shared" si="36"/>
        <v>0</v>
      </c>
      <c r="AE739" s="8" cm="1">
        <f t="array" ref="AE739">IFERROR(_xlfn.XLOOKUP(H739,Sheet1!$G:$G,Sheet1!$F:$F),IFERROR(_xlfn.XLOOKUP(1,(--($X$2:$X$1074=X739))*(--ISNUMBER(MATCH($H$2:$H$1074,Sheet1!$G:$G,0))),_xlfn.XLOOKUP($H$2:$H$1074,Sheet1!$G:$G,Sheet1!$F:$F,"")),"NOT FOUND"))</f>
        <v>0</v>
      </c>
      <c r="AF739" s="9" t="str">
        <f t="shared" si="43"/>
        <v/>
      </c>
      <c r="AG739" s="10" t="str">
        <f t="shared" si="44"/>
        <v/>
      </c>
      <c r="AH739" s="8" t="str" cm="1">
        <f t="array" ref="AH739">IF(OR(J739="",AE739="",AE739="NOT FOUND"),"",IF(Y739="RP",_xlfn.LET(_xlpm.desc,_xlfn.XLOOKUP(1,(--(Sheet1!$F$2:$F$754=AE739))*(--ISNUMBER(FIND("-",Sheet1!$W$2:$W$754,FIND("-",Sheet1!$W$2:$W$754)+1))),Sheet1!$W$2:$W$754,""),IF(_xlpm.desc="","NOT FOUND",LEFT(_xlpm.desc,FIND("-",_xlpm.desc,FIND("-",_xlpm.desc)+1))&amp;AE739)),LEFT(J739,FIND("-",J739,FIND("-",J739)+1))&amp;AE739))</f>
        <v/>
      </c>
    </row>
    <row r="740" spans="1:34" ht="15.75" customHeight="1" x14ac:dyDescent="0.2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 s="6" t="e">
        <f t="shared" si="30"/>
        <v>#VALUE!</v>
      </c>
      <c r="Y740" s="7" t="str">
        <f t="shared" si="31"/>
        <v>DC</v>
      </c>
      <c r="Z740" s="7">
        <f t="shared" si="32"/>
        <v>0</v>
      </c>
      <c r="AA740" s="7">
        <f t="shared" si="33"/>
        <v>0</v>
      </c>
      <c r="AB740" s="7">
        <f t="shared" si="34"/>
        <v>0</v>
      </c>
      <c r="AC740" s="7">
        <f t="shared" si="35"/>
        <v>0</v>
      </c>
      <c r="AD740" s="7">
        <f t="shared" si="36"/>
        <v>0</v>
      </c>
      <c r="AE740" s="8" cm="1">
        <f t="array" ref="AE740">IFERROR(_xlfn.XLOOKUP(H740,Sheet1!$G:$G,Sheet1!$F:$F),IFERROR(_xlfn.XLOOKUP(1,(--($X$2:$X$1074=X740))*(--ISNUMBER(MATCH($H$2:$H$1074,Sheet1!$G:$G,0))),_xlfn.XLOOKUP($H$2:$H$1074,Sheet1!$G:$G,Sheet1!$F:$F,"")),"NOT FOUND"))</f>
        <v>0</v>
      </c>
      <c r="AF740" s="9" t="str">
        <f t="shared" si="43"/>
        <v/>
      </c>
      <c r="AG740" s="10" t="str">
        <f t="shared" si="44"/>
        <v/>
      </c>
      <c r="AH740" s="8" t="str" cm="1">
        <f t="array" ref="AH740">IF(OR(J740="",AE740="",AE740="NOT FOUND"),"",IF(Y740="RP",_xlfn.LET(_xlpm.desc,_xlfn.XLOOKUP(1,(--(Sheet1!$F$2:$F$754=AE740))*(--ISNUMBER(FIND("-",Sheet1!$W$2:$W$754,FIND("-",Sheet1!$W$2:$W$754)+1))),Sheet1!$W$2:$W$754,""),IF(_xlpm.desc="","NOT FOUND",LEFT(_xlpm.desc,FIND("-",_xlpm.desc,FIND("-",_xlpm.desc)+1))&amp;AE740)),LEFT(J740,FIND("-",J740,FIND("-",J740)+1))&amp;AE740))</f>
        <v/>
      </c>
    </row>
    <row r="741" spans="1:34" ht="15.75" customHeight="1" x14ac:dyDescent="0.2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 s="6" t="e">
        <f t="shared" si="30"/>
        <v>#VALUE!</v>
      </c>
      <c r="Y741" s="7" t="str">
        <f t="shared" si="31"/>
        <v>DC</v>
      </c>
      <c r="Z741" s="7">
        <f t="shared" si="32"/>
        <v>0</v>
      </c>
      <c r="AA741" s="7">
        <f t="shared" si="33"/>
        <v>0</v>
      </c>
      <c r="AB741" s="7">
        <f t="shared" si="34"/>
        <v>0</v>
      </c>
      <c r="AC741" s="7">
        <f t="shared" si="35"/>
        <v>0</v>
      </c>
      <c r="AD741" s="7">
        <f t="shared" si="36"/>
        <v>0</v>
      </c>
      <c r="AE741" s="8" cm="1">
        <f t="array" ref="AE741">IFERROR(_xlfn.XLOOKUP(H741,Sheet1!$G:$G,Sheet1!$F:$F),IFERROR(_xlfn.XLOOKUP(1,(--($X$2:$X$1074=X741))*(--ISNUMBER(MATCH($H$2:$H$1074,Sheet1!$G:$G,0))),_xlfn.XLOOKUP($H$2:$H$1074,Sheet1!$G:$G,Sheet1!$F:$F,"")),"NOT FOUND"))</f>
        <v>0</v>
      </c>
      <c r="AF741" s="9" t="str">
        <f t="shared" si="43"/>
        <v/>
      </c>
      <c r="AG741" s="10" t="str">
        <f t="shared" si="44"/>
        <v/>
      </c>
      <c r="AH741" s="8" t="str" cm="1">
        <f t="array" ref="AH741">IF(OR(J741="",AE741="",AE741="NOT FOUND"),"",IF(Y741="RP",_xlfn.LET(_xlpm.desc,_xlfn.XLOOKUP(1,(--(Sheet1!$F$2:$F$754=AE741))*(--ISNUMBER(FIND("-",Sheet1!$W$2:$W$754,FIND("-",Sheet1!$W$2:$W$754)+1))),Sheet1!$W$2:$W$754,""),IF(_xlpm.desc="","NOT FOUND",LEFT(_xlpm.desc,FIND("-",_xlpm.desc,FIND("-",_xlpm.desc)+1))&amp;AE741)),LEFT(J741,FIND("-",J741,FIND("-",J741)+1))&amp;AE741))</f>
        <v/>
      </c>
    </row>
    <row r="742" spans="1:34" ht="15.75" customHeight="1" x14ac:dyDescent="0.2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 s="6" t="e">
        <f t="shared" si="30"/>
        <v>#VALUE!</v>
      </c>
      <c r="Y742" s="7" t="str">
        <f t="shared" si="31"/>
        <v>DC</v>
      </c>
      <c r="Z742" s="7">
        <f t="shared" si="32"/>
        <v>0</v>
      </c>
      <c r="AA742" s="7">
        <f t="shared" si="33"/>
        <v>0</v>
      </c>
      <c r="AB742" s="7">
        <f t="shared" si="34"/>
        <v>0</v>
      </c>
      <c r="AC742" s="7">
        <f t="shared" si="35"/>
        <v>0</v>
      </c>
      <c r="AD742" s="7">
        <f t="shared" si="36"/>
        <v>0</v>
      </c>
      <c r="AE742" s="8" cm="1">
        <f t="array" ref="AE742">IFERROR(_xlfn.XLOOKUP(H742,Sheet1!$G:$G,Sheet1!$F:$F),IFERROR(_xlfn.XLOOKUP(1,(--($X$2:$X$1074=X742))*(--ISNUMBER(MATCH($H$2:$H$1074,Sheet1!$G:$G,0))),_xlfn.XLOOKUP($H$2:$H$1074,Sheet1!$G:$G,Sheet1!$F:$F,"")),"NOT FOUND"))</f>
        <v>0</v>
      </c>
      <c r="AF742" s="9" t="str">
        <f t="shared" si="43"/>
        <v/>
      </c>
      <c r="AG742" s="10" t="str">
        <f t="shared" si="44"/>
        <v/>
      </c>
      <c r="AH742" s="8" t="str" cm="1">
        <f t="array" ref="AH742">IF(OR(J742="",AE742="",AE742="NOT FOUND"),"",IF(Y742="RP",_xlfn.LET(_xlpm.desc,_xlfn.XLOOKUP(1,(--(Sheet1!$F$2:$F$754=AE742))*(--ISNUMBER(FIND("-",Sheet1!$W$2:$W$754,FIND("-",Sheet1!$W$2:$W$754)+1))),Sheet1!$W$2:$W$754,""),IF(_xlpm.desc="","NOT FOUND",LEFT(_xlpm.desc,FIND("-",_xlpm.desc,FIND("-",_xlpm.desc)+1))&amp;AE742)),LEFT(J742,FIND("-",J742,FIND("-",J742)+1))&amp;AE742))</f>
        <v/>
      </c>
    </row>
    <row r="743" spans="1:34" ht="15.75" customHeight="1" x14ac:dyDescent="0.2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 s="6" t="e">
        <f t="shared" si="30"/>
        <v>#VALUE!</v>
      </c>
      <c r="Y743" s="7" t="str">
        <f t="shared" si="31"/>
        <v>DC</v>
      </c>
      <c r="Z743" s="7">
        <f t="shared" si="32"/>
        <v>0</v>
      </c>
      <c r="AA743" s="7">
        <f t="shared" si="33"/>
        <v>0</v>
      </c>
      <c r="AB743" s="7">
        <f t="shared" si="34"/>
        <v>0</v>
      </c>
      <c r="AC743" s="7">
        <f t="shared" si="35"/>
        <v>0</v>
      </c>
      <c r="AD743" s="7">
        <f t="shared" si="36"/>
        <v>0</v>
      </c>
      <c r="AE743" s="8" cm="1">
        <f t="array" ref="AE743">IFERROR(_xlfn.XLOOKUP(H743,Sheet1!$G:$G,Sheet1!$F:$F),IFERROR(_xlfn.XLOOKUP(1,(--($X$2:$X$1074=X743))*(--ISNUMBER(MATCH($H$2:$H$1074,Sheet1!$G:$G,0))),_xlfn.XLOOKUP($H$2:$H$1074,Sheet1!$G:$G,Sheet1!$F:$F,"")),"NOT FOUND"))</f>
        <v>0</v>
      </c>
      <c r="AF743" s="9" t="str">
        <f t="shared" si="43"/>
        <v/>
      </c>
      <c r="AG743" s="10" t="str">
        <f t="shared" si="44"/>
        <v/>
      </c>
      <c r="AH743" s="8" t="str" cm="1">
        <f t="array" ref="AH743">IF(OR(J743="",AE743="",AE743="NOT FOUND"),"",IF(Y743="RP",_xlfn.LET(_xlpm.desc,_xlfn.XLOOKUP(1,(--(Sheet1!$F$2:$F$754=AE743))*(--ISNUMBER(FIND("-",Sheet1!$W$2:$W$754,FIND("-",Sheet1!$W$2:$W$754)+1))),Sheet1!$W$2:$W$754,""),IF(_xlpm.desc="","NOT FOUND",LEFT(_xlpm.desc,FIND("-",_xlpm.desc,FIND("-",_xlpm.desc)+1))&amp;AE743)),LEFT(J743,FIND("-",J743,FIND("-",J743)+1))&amp;AE743))</f>
        <v/>
      </c>
    </row>
    <row r="744" spans="1:34" ht="15.75" customHeight="1" x14ac:dyDescent="0.2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 s="6" t="e">
        <f t="shared" si="30"/>
        <v>#VALUE!</v>
      </c>
      <c r="Y744" s="7" t="str">
        <f t="shared" si="31"/>
        <v>DC</v>
      </c>
      <c r="Z744" s="7">
        <f t="shared" si="32"/>
        <v>0</v>
      </c>
      <c r="AA744" s="7">
        <f t="shared" si="33"/>
        <v>0</v>
      </c>
      <c r="AB744" s="7">
        <f t="shared" si="34"/>
        <v>0</v>
      </c>
      <c r="AC744" s="7">
        <f t="shared" si="35"/>
        <v>0</v>
      </c>
      <c r="AD744" s="7">
        <f t="shared" si="36"/>
        <v>0</v>
      </c>
      <c r="AE744" s="8" cm="1">
        <f t="array" ref="AE744">IFERROR(_xlfn.XLOOKUP(H744,Sheet1!$G:$G,Sheet1!$F:$F),IFERROR(_xlfn.XLOOKUP(1,(--($X$2:$X$1074=X744))*(--ISNUMBER(MATCH($H$2:$H$1074,Sheet1!$G:$G,0))),_xlfn.XLOOKUP($H$2:$H$1074,Sheet1!$G:$G,Sheet1!$F:$F,"")),"NOT FOUND"))</f>
        <v>0</v>
      </c>
      <c r="AF744" s="9" t="str">
        <f t="shared" si="43"/>
        <v/>
      </c>
      <c r="AG744" s="10" t="str">
        <f t="shared" si="44"/>
        <v/>
      </c>
      <c r="AH744" s="8" t="str" cm="1">
        <f t="array" ref="AH744">IF(OR(J744="",AE744="",AE744="NOT FOUND"),"",IF(Y744="RP",_xlfn.LET(_xlpm.desc,_xlfn.XLOOKUP(1,(--(Sheet1!$F$2:$F$754=AE744))*(--ISNUMBER(FIND("-",Sheet1!$W$2:$W$754,FIND("-",Sheet1!$W$2:$W$754)+1))),Sheet1!$W$2:$W$754,""),IF(_xlpm.desc="","NOT FOUND",LEFT(_xlpm.desc,FIND("-",_xlpm.desc,FIND("-",_xlpm.desc)+1))&amp;AE744)),LEFT(J744,FIND("-",J744,FIND("-",J744)+1))&amp;AE744))</f>
        <v/>
      </c>
    </row>
    <row r="745" spans="1:34" ht="15.75" customHeight="1" x14ac:dyDescent="0.2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 s="6" t="e">
        <f t="shared" si="30"/>
        <v>#VALUE!</v>
      </c>
      <c r="Y745" s="7" t="str">
        <f t="shared" si="31"/>
        <v>DC</v>
      </c>
      <c r="Z745" s="7">
        <f t="shared" si="32"/>
        <v>0</v>
      </c>
      <c r="AA745" s="7">
        <f t="shared" si="33"/>
        <v>0</v>
      </c>
      <c r="AB745" s="7">
        <f t="shared" si="34"/>
        <v>0</v>
      </c>
      <c r="AC745" s="7">
        <f t="shared" si="35"/>
        <v>0</v>
      </c>
      <c r="AD745" s="7">
        <f t="shared" si="36"/>
        <v>0</v>
      </c>
      <c r="AE745" s="8" cm="1">
        <f t="array" ref="AE745">IFERROR(_xlfn.XLOOKUP(H745,Sheet1!$G:$G,Sheet1!$F:$F),IFERROR(_xlfn.XLOOKUP(1,(--($X$2:$X$1074=X745))*(--ISNUMBER(MATCH($H$2:$H$1074,Sheet1!$G:$G,0))),_xlfn.XLOOKUP($H$2:$H$1074,Sheet1!$G:$G,Sheet1!$F:$F,"")),"NOT FOUND"))</f>
        <v>0</v>
      </c>
      <c r="AF745" s="9" t="str">
        <f t="shared" si="43"/>
        <v/>
      </c>
      <c r="AG745" s="10" t="str">
        <f t="shared" si="44"/>
        <v/>
      </c>
      <c r="AH745" s="8" t="str" cm="1">
        <f t="array" ref="AH745">IF(OR(J745="",AE745="",AE745="NOT FOUND"),"",IF(Y745="RP",_xlfn.LET(_xlpm.desc,_xlfn.XLOOKUP(1,(--(Sheet1!$F$2:$F$754=AE745))*(--ISNUMBER(FIND("-",Sheet1!$W$2:$W$754,FIND("-",Sheet1!$W$2:$W$754)+1))),Sheet1!$W$2:$W$754,""),IF(_xlpm.desc="","NOT FOUND",LEFT(_xlpm.desc,FIND("-",_xlpm.desc,FIND("-",_xlpm.desc)+1))&amp;AE745)),LEFT(J745,FIND("-",J745,FIND("-",J745)+1))&amp;AE745))</f>
        <v/>
      </c>
    </row>
    <row r="746" spans="1:34" ht="15.75" customHeight="1" x14ac:dyDescent="0.2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 s="6" t="e">
        <f t="shared" si="30"/>
        <v>#VALUE!</v>
      </c>
      <c r="Y746" s="7" t="str">
        <f t="shared" si="31"/>
        <v>DC</v>
      </c>
      <c r="Z746" s="7">
        <f t="shared" si="32"/>
        <v>0</v>
      </c>
      <c r="AA746" s="7">
        <f t="shared" si="33"/>
        <v>0</v>
      </c>
      <c r="AB746" s="7">
        <f t="shared" si="34"/>
        <v>0</v>
      </c>
      <c r="AC746" s="7">
        <f t="shared" si="35"/>
        <v>0</v>
      </c>
      <c r="AD746" s="7">
        <f t="shared" si="36"/>
        <v>0</v>
      </c>
      <c r="AE746" s="8" cm="1">
        <f t="array" ref="AE746">IFERROR(_xlfn.XLOOKUP(H746,Sheet1!$G:$G,Sheet1!$F:$F),IFERROR(_xlfn.XLOOKUP(1,(--($X$2:$X$1074=X746))*(--ISNUMBER(MATCH($H$2:$H$1074,Sheet1!$G:$G,0))),_xlfn.XLOOKUP($H$2:$H$1074,Sheet1!$G:$G,Sheet1!$F:$F,"")),"NOT FOUND"))</f>
        <v>0</v>
      </c>
      <c r="AF746" s="9" t="str">
        <f t="shared" si="43"/>
        <v/>
      </c>
      <c r="AG746" s="10" t="str">
        <f t="shared" si="44"/>
        <v/>
      </c>
      <c r="AH746" s="8" t="str" cm="1">
        <f t="array" ref="AH746">IF(OR(J746="",AE746="",AE746="NOT FOUND"),"",IF(Y746="RP",_xlfn.LET(_xlpm.desc,_xlfn.XLOOKUP(1,(--(Sheet1!$F$2:$F$754=AE746))*(--ISNUMBER(FIND("-",Sheet1!$W$2:$W$754,FIND("-",Sheet1!$W$2:$W$754)+1))),Sheet1!$W$2:$W$754,""),IF(_xlpm.desc="","NOT FOUND",LEFT(_xlpm.desc,FIND("-",_xlpm.desc,FIND("-",_xlpm.desc)+1))&amp;AE746)),LEFT(J746,FIND("-",J746,FIND("-",J746)+1))&amp;AE746))</f>
        <v/>
      </c>
    </row>
    <row r="747" spans="1:34" ht="15.75" customHeight="1" x14ac:dyDescent="0.2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 s="6" t="e">
        <f t="shared" si="30"/>
        <v>#VALUE!</v>
      </c>
      <c r="Y747" s="7" t="str">
        <f t="shared" si="31"/>
        <v>DC</v>
      </c>
      <c r="Z747" s="7">
        <f t="shared" si="32"/>
        <v>0</v>
      </c>
      <c r="AA747" s="7">
        <f t="shared" si="33"/>
        <v>0</v>
      </c>
      <c r="AB747" s="7">
        <f t="shared" si="34"/>
        <v>0</v>
      </c>
      <c r="AC747" s="7">
        <f t="shared" si="35"/>
        <v>0</v>
      </c>
      <c r="AD747" s="7">
        <f t="shared" si="36"/>
        <v>0</v>
      </c>
      <c r="AE747" s="8" cm="1">
        <f t="array" ref="AE747">IFERROR(_xlfn.XLOOKUP(H747,Sheet1!$G:$G,Sheet1!$F:$F),IFERROR(_xlfn.XLOOKUP(1,(--($X$2:$X$1074=X747))*(--ISNUMBER(MATCH($H$2:$H$1074,Sheet1!$G:$G,0))),_xlfn.XLOOKUP($H$2:$H$1074,Sheet1!$G:$G,Sheet1!$F:$F,"")),"NOT FOUND"))</f>
        <v>0</v>
      </c>
      <c r="AF747" s="9" t="str">
        <f t="shared" si="43"/>
        <v/>
      </c>
      <c r="AG747" s="10" t="str">
        <f t="shared" si="44"/>
        <v/>
      </c>
      <c r="AH747" s="8" t="str" cm="1">
        <f t="array" ref="AH747">IF(OR(J747="",AE747="",AE747="NOT FOUND"),"",IF(Y747="RP",_xlfn.LET(_xlpm.desc,_xlfn.XLOOKUP(1,(--(Sheet1!$F$2:$F$754=AE747))*(--ISNUMBER(FIND("-",Sheet1!$W$2:$W$754,FIND("-",Sheet1!$W$2:$W$754)+1))),Sheet1!$W$2:$W$754,""),IF(_xlpm.desc="","NOT FOUND",LEFT(_xlpm.desc,FIND("-",_xlpm.desc,FIND("-",_xlpm.desc)+1))&amp;AE747)),LEFT(J747,FIND("-",J747,FIND("-",J747)+1))&amp;AE747))</f>
        <v/>
      </c>
    </row>
    <row r="748" spans="1:34" ht="15.75" customHeight="1" x14ac:dyDescent="0.2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 s="6" t="e">
        <f t="shared" si="30"/>
        <v>#VALUE!</v>
      </c>
      <c r="Y748" s="7" t="str">
        <f t="shared" si="31"/>
        <v>DC</v>
      </c>
      <c r="Z748" s="7">
        <f t="shared" si="32"/>
        <v>0</v>
      </c>
      <c r="AA748" s="7">
        <f t="shared" si="33"/>
        <v>0</v>
      </c>
      <c r="AB748" s="7">
        <f t="shared" si="34"/>
        <v>0</v>
      </c>
      <c r="AC748" s="7">
        <f t="shared" si="35"/>
        <v>0</v>
      </c>
      <c r="AD748" s="7">
        <f t="shared" si="36"/>
        <v>0</v>
      </c>
      <c r="AE748" s="8" cm="1">
        <f t="array" ref="AE748">IFERROR(_xlfn.XLOOKUP(H748,Sheet1!$G:$G,Sheet1!$F:$F),IFERROR(_xlfn.XLOOKUP(1,(--($X$2:$X$1074=X748))*(--ISNUMBER(MATCH($H$2:$H$1074,Sheet1!$G:$G,0))),_xlfn.XLOOKUP($H$2:$H$1074,Sheet1!$G:$G,Sheet1!$F:$F,"")),"NOT FOUND"))</f>
        <v>0</v>
      </c>
      <c r="AF748" s="9" t="str">
        <f t="shared" si="43"/>
        <v/>
      </c>
      <c r="AG748" s="10" t="str">
        <f t="shared" si="44"/>
        <v/>
      </c>
      <c r="AH748" s="8" t="str" cm="1">
        <f t="array" ref="AH748">IF(OR(J748="",AE748="",AE748="NOT FOUND"),"",IF(Y748="RP",_xlfn.LET(_xlpm.desc,_xlfn.XLOOKUP(1,(--(Sheet1!$F$2:$F$754=AE748))*(--ISNUMBER(FIND("-",Sheet1!$W$2:$W$754,FIND("-",Sheet1!$W$2:$W$754)+1))),Sheet1!$W$2:$W$754,""),IF(_xlpm.desc="","NOT FOUND",LEFT(_xlpm.desc,FIND("-",_xlpm.desc,FIND("-",_xlpm.desc)+1))&amp;AE748)),LEFT(J748,FIND("-",J748,FIND("-",J748)+1))&amp;AE748))</f>
        <v/>
      </c>
    </row>
    <row r="749" spans="1:34" ht="15.75" customHeight="1" x14ac:dyDescent="0.2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 s="6" t="e">
        <f t="shared" si="30"/>
        <v>#VALUE!</v>
      </c>
      <c r="Y749" s="7" t="str">
        <f t="shared" si="31"/>
        <v>DC</v>
      </c>
      <c r="Z749" s="7">
        <f t="shared" si="32"/>
        <v>0</v>
      </c>
      <c r="AA749" s="7">
        <f t="shared" si="33"/>
        <v>0</v>
      </c>
      <c r="AB749" s="7">
        <f t="shared" si="34"/>
        <v>0</v>
      </c>
      <c r="AC749" s="7">
        <f t="shared" si="35"/>
        <v>0</v>
      </c>
      <c r="AD749" s="7">
        <f t="shared" si="36"/>
        <v>0</v>
      </c>
      <c r="AE749" s="8" cm="1">
        <f t="array" ref="AE749">IFERROR(_xlfn.XLOOKUP(H749,Sheet1!$G:$G,Sheet1!$F:$F),IFERROR(_xlfn.XLOOKUP(1,(--($X$2:$X$1074=X749))*(--ISNUMBER(MATCH($H$2:$H$1074,Sheet1!$G:$G,0))),_xlfn.XLOOKUP($H$2:$H$1074,Sheet1!$G:$G,Sheet1!$F:$F,"")),"NOT FOUND"))</f>
        <v>0</v>
      </c>
      <c r="AF749" s="9" t="str">
        <f t="shared" si="43"/>
        <v/>
      </c>
      <c r="AG749" s="10" t="str">
        <f t="shared" si="44"/>
        <v/>
      </c>
      <c r="AH749" s="8" t="str" cm="1">
        <f t="array" ref="AH749">IF(OR(J749="",AE749="",AE749="NOT FOUND"),"",IF(Y749="RP",_xlfn.LET(_xlpm.desc,_xlfn.XLOOKUP(1,(--(Sheet1!$F$2:$F$754=AE749))*(--ISNUMBER(FIND("-",Sheet1!$W$2:$W$754,FIND("-",Sheet1!$W$2:$W$754)+1))),Sheet1!$W$2:$W$754,""),IF(_xlpm.desc="","NOT FOUND",LEFT(_xlpm.desc,FIND("-",_xlpm.desc,FIND("-",_xlpm.desc)+1))&amp;AE749)),LEFT(J749,FIND("-",J749,FIND("-",J749)+1))&amp;AE749))</f>
        <v/>
      </c>
    </row>
    <row r="750" spans="1:34" ht="15.75" customHeight="1" x14ac:dyDescent="0.2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 s="6" t="e">
        <f t="shared" si="30"/>
        <v>#VALUE!</v>
      </c>
      <c r="Y750" s="7" t="str">
        <f t="shared" si="31"/>
        <v>DC</v>
      </c>
      <c r="Z750" s="7">
        <f t="shared" si="32"/>
        <v>0</v>
      </c>
      <c r="AA750" s="7">
        <f t="shared" si="33"/>
        <v>0</v>
      </c>
      <c r="AB750" s="7">
        <f t="shared" si="34"/>
        <v>0</v>
      </c>
      <c r="AC750" s="7">
        <f t="shared" si="35"/>
        <v>0</v>
      </c>
      <c r="AD750" s="7">
        <f t="shared" si="36"/>
        <v>0</v>
      </c>
      <c r="AE750" s="8" cm="1">
        <f t="array" ref="AE750">IFERROR(_xlfn.XLOOKUP(H750,Sheet1!$G:$G,Sheet1!$F:$F),IFERROR(_xlfn.XLOOKUP(1,(--($X$2:$X$1074=X750))*(--ISNUMBER(MATCH($H$2:$H$1074,Sheet1!$G:$G,0))),_xlfn.XLOOKUP($H$2:$H$1074,Sheet1!$G:$G,Sheet1!$F:$F,"")),"NOT FOUND"))</f>
        <v>0</v>
      </c>
      <c r="AF750" s="9" t="str">
        <f t="shared" si="43"/>
        <v/>
      </c>
      <c r="AG750" s="10" t="str">
        <f t="shared" si="44"/>
        <v/>
      </c>
      <c r="AH750" s="8" t="str" cm="1">
        <f t="array" ref="AH750">IF(OR(J750="",AE750="",AE750="NOT FOUND"),"",IF(Y750="RP",_xlfn.LET(_xlpm.desc,_xlfn.XLOOKUP(1,(--(Sheet1!$F$2:$F$754=AE750))*(--ISNUMBER(FIND("-",Sheet1!$W$2:$W$754,FIND("-",Sheet1!$W$2:$W$754)+1))),Sheet1!$W$2:$W$754,""),IF(_xlpm.desc="","NOT FOUND",LEFT(_xlpm.desc,FIND("-",_xlpm.desc,FIND("-",_xlpm.desc)+1))&amp;AE750)),LEFT(J750,FIND("-",J750,FIND("-",J750)+1))&amp;AE750))</f>
        <v/>
      </c>
    </row>
    <row r="751" spans="1:34" ht="15.75" customHeight="1" x14ac:dyDescent="0.2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 s="6" t="e">
        <f t="shared" si="30"/>
        <v>#VALUE!</v>
      </c>
      <c r="Y751" s="7" t="str">
        <f t="shared" si="31"/>
        <v>DC</v>
      </c>
      <c r="Z751" s="7">
        <f t="shared" si="32"/>
        <v>0</v>
      </c>
      <c r="AA751" s="7">
        <f t="shared" si="33"/>
        <v>0</v>
      </c>
      <c r="AB751" s="7">
        <f t="shared" si="34"/>
        <v>0</v>
      </c>
      <c r="AC751" s="7">
        <f t="shared" si="35"/>
        <v>0</v>
      </c>
      <c r="AD751" s="7">
        <f t="shared" si="36"/>
        <v>0</v>
      </c>
      <c r="AE751" s="8" cm="1">
        <f t="array" ref="AE751">IFERROR(_xlfn.XLOOKUP(H751,Sheet1!$G:$G,Sheet1!$F:$F),IFERROR(_xlfn.XLOOKUP(1,(--($X$2:$X$1074=X751))*(--ISNUMBER(MATCH($H$2:$H$1074,Sheet1!$G:$G,0))),_xlfn.XLOOKUP($H$2:$H$1074,Sheet1!$G:$G,Sheet1!$F:$F,"")),"NOT FOUND"))</f>
        <v>0</v>
      </c>
      <c r="AF751" s="9" t="str">
        <f t="shared" si="43"/>
        <v/>
      </c>
      <c r="AG751" s="10" t="str">
        <f t="shared" si="44"/>
        <v/>
      </c>
      <c r="AH751" s="8" t="str" cm="1">
        <f t="array" ref="AH751">IF(OR(J751="",AE751="",AE751="NOT FOUND"),"",IF(Y751="RP",_xlfn.LET(_xlpm.desc,_xlfn.XLOOKUP(1,(--(Sheet1!$F$2:$F$754=AE751))*(--ISNUMBER(FIND("-",Sheet1!$W$2:$W$754,FIND("-",Sheet1!$W$2:$W$754)+1))),Sheet1!$W$2:$W$754,""),IF(_xlpm.desc="","NOT FOUND",LEFT(_xlpm.desc,FIND("-",_xlpm.desc,FIND("-",_xlpm.desc)+1))&amp;AE751)),LEFT(J751,FIND("-",J751,FIND("-",J751)+1))&amp;AE751))</f>
        <v/>
      </c>
    </row>
    <row r="752" spans="1:34" ht="15.75" customHeight="1" x14ac:dyDescent="0.2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 s="6" t="e">
        <f t="shared" si="30"/>
        <v>#VALUE!</v>
      </c>
      <c r="Y752" s="7" t="str">
        <f t="shared" si="31"/>
        <v>DC</v>
      </c>
      <c r="Z752" s="7">
        <f t="shared" si="32"/>
        <v>0</v>
      </c>
      <c r="AA752" s="7">
        <f t="shared" si="33"/>
        <v>0</v>
      </c>
      <c r="AB752" s="7">
        <f t="shared" si="34"/>
        <v>0</v>
      </c>
      <c r="AC752" s="7">
        <f t="shared" si="35"/>
        <v>0</v>
      </c>
      <c r="AD752" s="7">
        <f t="shared" si="36"/>
        <v>0</v>
      </c>
      <c r="AE752" s="8" cm="1">
        <f t="array" ref="AE752">IFERROR(_xlfn.XLOOKUP(H752,Sheet1!$G:$G,Sheet1!$F:$F),IFERROR(_xlfn.XLOOKUP(1,(--($X$2:$X$1074=X752))*(--ISNUMBER(MATCH($H$2:$H$1074,Sheet1!$G:$G,0))),_xlfn.XLOOKUP($H$2:$H$1074,Sheet1!$G:$G,Sheet1!$F:$F,"")),"NOT FOUND"))</f>
        <v>0</v>
      </c>
      <c r="AF752" s="9" t="str">
        <f t="shared" si="43"/>
        <v/>
      </c>
      <c r="AG752" s="10" t="str">
        <f t="shared" si="44"/>
        <v/>
      </c>
      <c r="AH752" s="8" t="str" cm="1">
        <f t="array" ref="AH752">IF(OR(J752="",AE752="",AE752="NOT FOUND"),"",IF(Y752="RP",_xlfn.LET(_xlpm.desc,_xlfn.XLOOKUP(1,(--(Sheet1!$F$2:$F$754=AE752))*(--ISNUMBER(FIND("-",Sheet1!$W$2:$W$754,FIND("-",Sheet1!$W$2:$W$754)+1))),Sheet1!$W$2:$W$754,""),IF(_xlpm.desc="","NOT FOUND",LEFT(_xlpm.desc,FIND("-",_xlpm.desc,FIND("-",_xlpm.desc)+1))&amp;AE752)),LEFT(J752,FIND("-",J752,FIND("-",J752)+1))&amp;AE752))</f>
        <v/>
      </c>
    </row>
    <row r="753" spans="1:34" ht="15.75" customHeight="1" x14ac:dyDescent="0.2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 s="6" t="e">
        <f t="shared" si="30"/>
        <v>#VALUE!</v>
      </c>
      <c r="Y753" s="7" t="str">
        <f t="shared" si="31"/>
        <v>DC</v>
      </c>
      <c r="Z753" s="7">
        <f t="shared" si="32"/>
        <v>0</v>
      </c>
      <c r="AA753" s="7">
        <f t="shared" si="33"/>
        <v>0</v>
      </c>
      <c r="AB753" s="7">
        <f t="shared" si="34"/>
        <v>0</v>
      </c>
      <c r="AC753" s="7">
        <f t="shared" si="35"/>
        <v>0</v>
      </c>
      <c r="AD753" s="7">
        <f t="shared" si="36"/>
        <v>0</v>
      </c>
      <c r="AE753" s="8" cm="1">
        <f t="array" ref="AE753">IFERROR(_xlfn.XLOOKUP(H753,Sheet1!$G:$G,Sheet1!$F:$F),IFERROR(_xlfn.XLOOKUP(1,(--($X$2:$X$1074=X753))*(--ISNUMBER(MATCH($H$2:$H$1074,Sheet1!$G:$G,0))),_xlfn.XLOOKUP($H$2:$H$1074,Sheet1!$G:$G,Sheet1!$F:$F,"")),"NOT FOUND"))</f>
        <v>0</v>
      </c>
      <c r="AF753" s="9" t="str">
        <f t="shared" si="43"/>
        <v/>
      </c>
      <c r="AG753" s="10" t="str">
        <f t="shared" si="44"/>
        <v/>
      </c>
      <c r="AH753" s="8" t="str" cm="1">
        <f t="array" ref="AH753">IF(OR(J753="",AE753="",AE753="NOT FOUND"),"",IF(Y753="RP",_xlfn.LET(_xlpm.desc,_xlfn.XLOOKUP(1,(--(Sheet1!$F$2:$F$754=AE753))*(--ISNUMBER(FIND("-",Sheet1!$W$2:$W$754,FIND("-",Sheet1!$W$2:$W$754)+1))),Sheet1!$W$2:$W$754,""),IF(_xlpm.desc="","NOT FOUND",LEFT(_xlpm.desc,FIND("-",_xlpm.desc,FIND("-",_xlpm.desc)+1))&amp;AE753)),LEFT(J753,FIND("-",J753,FIND("-",J753)+1))&amp;AE753))</f>
        <v/>
      </c>
    </row>
    <row r="754" spans="1:34" ht="15.75" customHeight="1" x14ac:dyDescent="0.2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 s="6" t="e">
        <f t="shared" si="30"/>
        <v>#VALUE!</v>
      </c>
      <c r="Y754" s="7" t="str">
        <f t="shared" si="31"/>
        <v>DC</v>
      </c>
      <c r="Z754" s="7">
        <f t="shared" si="32"/>
        <v>0</v>
      </c>
      <c r="AA754" s="7">
        <f t="shared" si="33"/>
        <v>0</v>
      </c>
      <c r="AB754" s="7">
        <f t="shared" si="34"/>
        <v>0</v>
      </c>
      <c r="AC754" s="7">
        <f t="shared" si="35"/>
        <v>0</v>
      </c>
      <c r="AD754" s="7">
        <f t="shared" si="36"/>
        <v>0</v>
      </c>
      <c r="AE754" s="8" cm="1">
        <f t="array" ref="AE754">IFERROR(_xlfn.XLOOKUP(H754,Sheet1!$G:$G,Sheet1!$F:$F),IFERROR(_xlfn.XLOOKUP(1,(--($X$2:$X$1074=X754))*(--ISNUMBER(MATCH($H$2:$H$1074,Sheet1!$G:$G,0))),_xlfn.XLOOKUP($H$2:$H$1074,Sheet1!$G:$G,Sheet1!$F:$F,"")),"NOT FOUND"))</f>
        <v>0</v>
      </c>
      <c r="AF754" s="9" t="str">
        <f t="shared" si="43"/>
        <v/>
      </c>
      <c r="AG754" s="10" t="str">
        <f t="shared" si="44"/>
        <v/>
      </c>
      <c r="AH754" s="8" t="str" cm="1">
        <f t="array" ref="AH754">IF(OR(J754="",AE754="",AE754="NOT FOUND"),"",IF(Y754="RP",_xlfn.LET(_xlpm.desc,_xlfn.XLOOKUP(1,(--(Sheet1!$F$2:$F$754=AE754))*(--ISNUMBER(FIND("-",Sheet1!$W$2:$W$754,FIND("-",Sheet1!$W$2:$W$754)+1))),Sheet1!$W$2:$W$754,""),IF(_xlpm.desc="","NOT FOUND",LEFT(_xlpm.desc,FIND("-",_xlpm.desc,FIND("-",_xlpm.desc)+1))&amp;AE754)),LEFT(J754,FIND("-",J754,FIND("-",J754)+1))&amp;AE754))</f>
        <v/>
      </c>
    </row>
    <row r="755" spans="1:34" ht="16" x14ac:dyDescent="0.2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 s="6" t="e">
        <f t="shared" si="30"/>
        <v>#VALUE!</v>
      </c>
      <c r="Y755" s="7" t="str">
        <f t="shared" si="31"/>
        <v>DC</v>
      </c>
      <c r="Z755" s="7">
        <f t="shared" si="32"/>
        <v>0</v>
      </c>
      <c r="AA755" s="7">
        <f t="shared" si="33"/>
        <v>0</v>
      </c>
      <c r="AB755" s="7">
        <f t="shared" si="34"/>
        <v>0</v>
      </c>
      <c r="AC755" s="7">
        <f t="shared" si="35"/>
        <v>0</v>
      </c>
      <c r="AD755" s="7">
        <f t="shared" si="36"/>
        <v>0</v>
      </c>
      <c r="AE755" s="8" cm="1">
        <f t="array" ref="AE755">IFERROR(_xlfn.XLOOKUP(H755,Sheet1!$G:$G,Sheet1!$F:$F),IFERROR(_xlfn.XLOOKUP(1,(--($X$2:$X$1074=X755))*(--ISNUMBER(MATCH($H$2:$H$1074,Sheet1!$G:$G,0))),_xlfn.XLOOKUP($H$2:$H$1074,Sheet1!$G:$G,Sheet1!$F:$F,"")),"NOT FOUND"))</f>
        <v>0</v>
      </c>
      <c r="AF755" s="9" t="str">
        <f t="shared" si="43"/>
        <v/>
      </c>
      <c r="AG755" s="10" t="str">
        <f t="shared" si="44"/>
        <v/>
      </c>
      <c r="AH755" s="8" t="str" cm="1">
        <f t="array" ref="AH755">IF(OR(J755="",AE755="",AE755="NOT FOUND"),"",IF(Y755="RP",_xlfn.LET(_xlpm.desc,_xlfn.XLOOKUP(1,(--(Sheet1!$F$2:$F$754=AE755))*(--ISNUMBER(FIND("-",Sheet1!$W$2:$W$754,FIND("-",Sheet1!$W$2:$W$754)+1))),Sheet1!$W$2:$W$754,""),IF(_xlpm.desc="","NOT FOUND",LEFT(_xlpm.desc,FIND("-",_xlpm.desc,FIND("-",_xlpm.desc)+1))&amp;AE755)),LEFT(J755,FIND("-",J755,FIND("-",J755)+1))&amp;AE755))</f>
        <v/>
      </c>
    </row>
    <row r="756" spans="1:34" ht="16" x14ac:dyDescent="0.2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 s="6" t="e">
        <f t="shared" si="30"/>
        <v>#VALUE!</v>
      </c>
      <c r="Y756" s="7" t="str">
        <f t="shared" si="31"/>
        <v>DC</v>
      </c>
      <c r="Z756" s="7">
        <f t="shared" si="32"/>
        <v>0</v>
      </c>
      <c r="AA756" s="7">
        <f t="shared" si="33"/>
        <v>0</v>
      </c>
      <c r="AB756" s="7">
        <f t="shared" si="34"/>
        <v>0</v>
      </c>
      <c r="AC756" s="7">
        <f t="shared" si="35"/>
        <v>0</v>
      </c>
      <c r="AD756" s="7">
        <f t="shared" si="36"/>
        <v>0</v>
      </c>
      <c r="AE756" s="8" cm="1">
        <f t="array" ref="AE756">IFERROR(_xlfn.XLOOKUP(H756,Sheet1!$G:$G,Sheet1!$F:$F),IFERROR(_xlfn.XLOOKUP(1,(--($X$2:$X$1074=X756))*(--ISNUMBER(MATCH($H$2:$H$1074,Sheet1!$G:$G,0))),_xlfn.XLOOKUP($H$2:$H$1074,Sheet1!$G:$G,Sheet1!$F:$F,"")),"NOT FOUND"))</f>
        <v>0</v>
      </c>
      <c r="AF756" s="9" t="str">
        <f t="shared" si="43"/>
        <v/>
      </c>
      <c r="AG756" s="10" t="str">
        <f t="shared" si="44"/>
        <v/>
      </c>
      <c r="AH756" s="8" t="str" cm="1">
        <f t="array" ref="AH756">IF(OR(J756="",AE756="",AE756="NOT FOUND"),"",IF(Y756="RP",_xlfn.LET(_xlpm.desc,_xlfn.XLOOKUP(1,(--(Sheet1!$F$2:$F$754=AE756))*(--ISNUMBER(FIND("-",Sheet1!$W$2:$W$754,FIND("-",Sheet1!$W$2:$W$754)+1))),Sheet1!$W$2:$W$754,""),IF(_xlpm.desc="","NOT FOUND",LEFT(_xlpm.desc,FIND("-",_xlpm.desc,FIND("-",_xlpm.desc)+1))&amp;AE756)),LEFT(J756,FIND("-",J756,FIND("-",J756)+1))&amp;AE756))</f>
        <v/>
      </c>
    </row>
    <row r="757" spans="1:34" ht="16" x14ac:dyDescent="0.2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 s="6" t="e">
        <f t="shared" si="30"/>
        <v>#VALUE!</v>
      </c>
      <c r="Y757" s="7" t="str">
        <f t="shared" si="31"/>
        <v>DC</v>
      </c>
      <c r="Z757" s="7">
        <f t="shared" si="32"/>
        <v>0</v>
      </c>
      <c r="AA757" s="7">
        <f t="shared" si="33"/>
        <v>0</v>
      </c>
      <c r="AB757" s="7">
        <f t="shared" si="34"/>
        <v>0</v>
      </c>
      <c r="AC757" s="7">
        <f t="shared" si="35"/>
        <v>0</v>
      </c>
      <c r="AD757" s="7">
        <f t="shared" si="36"/>
        <v>0</v>
      </c>
      <c r="AE757" s="8" cm="1">
        <f t="array" ref="AE757">IFERROR(_xlfn.XLOOKUP(H757,Sheet1!$G:$G,Sheet1!$F:$F),IFERROR(_xlfn.XLOOKUP(1,(--($X$2:$X$1074=X757))*(--ISNUMBER(MATCH($H$2:$H$1074,Sheet1!$G:$G,0))),_xlfn.XLOOKUP($H$2:$H$1074,Sheet1!$G:$G,Sheet1!$F:$F,"")),"NOT FOUND"))</f>
        <v>0</v>
      </c>
      <c r="AF757" s="9" t="str">
        <f t="shared" si="43"/>
        <v/>
      </c>
      <c r="AG757" s="10" t="str">
        <f t="shared" si="44"/>
        <v/>
      </c>
      <c r="AH757" s="8" t="str" cm="1">
        <f t="array" ref="AH757">IF(OR(J757="",AE757="",AE757="NOT FOUND"),"",IF(Y757="RP",_xlfn.LET(_xlpm.desc,_xlfn.XLOOKUP(1,(--(Sheet1!$F$2:$F$754=AE757))*(--ISNUMBER(FIND("-",Sheet1!$W$2:$W$754,FIND("-",Sheet1!$W$2:$W$754)+1))),Sheet1!$W$2:$W$754,""),IF(_xlpm.desc="","NOT FOUND",LEFT(_xlpm.desc,FIND("-",_xlpm.desc,FIND("-",_xlpm.desc)+1))&amp;AE757)),LEFT(J757,FIND("-",J757,FIND("-",J757)+1))&amp;AE757))</f>
        <v/>
      </c>
    </row>
    <row r="758" spans="1:34" ht="16" x14ac:dyDescent="0.2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 s="6" t="e">
        <f t="shared" si="30"/>
        <v>#VALUE!</v>
      </c>
      <c r="Y758" s="7" t="str">
        <f t="shared" si="31"/>
        <v>DC</v>
      </c>
      <c r="Z758" s="7">
        <f t="shared" si="32"/>
        <v>0</v>
      </c>
      <c r="AA758" s="7">
        <f t="shared" si="33"/>
        <v>0</v>
      </c>
      <c r="AB758" s="7">
        <f t="shared" si="34"/>
        <v>0</v>
      </c>
      <c r="AC758" s="7">
        <f t="shared" si="35"/>
        <v>0</v>
      </c>
      <c r="AD758" s="7">
        <f t="shared" si="36"/>
        <v>0</v>
      </c>
      <c r="AE758" s="8" cm="1">
        <f t="array" ref="AE758">IFERROR(_xlfn.XLOOKUP(H758,Sheet1!$G:$G,Sheet1!$F:$F),IFERROR(_xlfn.XLOOKUP(1,(--($X$2:$X$1074=X758))*(--ISNUMBER(MATCH($H$2:$H$1074,Sheet1!$G:$G,0))),_xlfn.XLOOKUP($H$2:$H$1074,Sheet1!$G:$G,Sheet1!$F:$F,"")),"NOT FOUND"))</f>
        <v>0</v>
      </c>
      <c r="AF758" s="9" t="str">
        <f t="shared" si="43"/>
        <v/>
      </c>
      <c r="AG758" s="10" t="str">
        <f t="shared" si="44"/>
        <v/>
      </c>
      <c r="AH758" s="8" t="str" cm="1">
        <f t="array" ref="AH758">IF(OR(J758="",AE758="",AE758="NOT FOUND"),"",IF(Y758="RP",_xlfn.LET(_xlpm.desc,_xlfn.XLOOKUP(1,(--(Sheet1!$F$2:$F$754=AE758))*(--ISNUMBER(FIND("-",Sheet1!$W$2:$W$754,FIND("-",Sheet1!$W$2:$W$754)+1))),Sheet1!$W$2:$W$754,""),IF(_xlpm.desc="","NOT FOUND",LEFT(_xlpm.desc,FIND("-",_xlpm.desc,FIND("-",_xlpm.desc)+1))&amp;AE758)),LEFT(J758,FIND("-",J758,FIND("-",J758)+1))&amp;AE758))</f>
        <v/>
      </c>
    </row>
    <row r="759" spans="1:34" ht="16" x14ac:dyDescent="0.2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 s="6" t="e">
        <f t="shared" si="30"/>
        <v>#VALUE!</v>
      </c>
      <c r="Y759" s="7" t="str">
        <f t="shared" si="31"/>
        <v>DC</v>
      </c>
      <c r="Z759" s="7">
        <f t="shared" si="32"/>
        <v>0</v>
      </c>
      <c r="AA759" s="7">
        <f t="shared" si="33"/>
        <v>0</v>
      </c>
      <c r="AB759" s="7">
        <f t="shared" si="34"/>
        <v>0</v>
      </c>
      <c r="AC759" s="7">
        <f t="shared" si="35"/>
        <v>0</v>
      </c>
      <c r="AD759" s="7">
        <f t="shared" si="36"/>
        <v>0</v>
      </c>
      <c r="AE759" s="8" cm="1">
        <f t="array" ref="AE759">IFERROR(_xlfn.XLOOKUP(H759,Sheet1!$G:$G,Sheet1!$F:$F),IFERROR(_xlfn.XLOOKUP(1,(--($X$2:$X$1074=X759))*(--ISNUMBER(MATCH($H$2:$H$1074,Sheet1!$G:$G,0))),_xlfn.XLOOKUP($H$2:$H$1074,Sheet1!$G:$G,Sheet1!$F:$F,"")),"NOT FOUND"))</f>
        <v>0</v>
      </c>
      <c r="AF759" s="9" t="str">
        <f t="shared" si="43"/>
        <v/>
      </c>
      <c r="AG759" s="10" t="str">
        <f t="shared" si="44"/>
        <v/>
      </c>
      <c r="AH759" s="8" t="str" cm="1">
        <f t="array" ref="AH759">IF(OR(J759="",AE759="",AE759="NOT FOUND"),"",IF(Y759="RP",_xlfn.LET(_xlpm.desc,_xlfn.XLOOKUP(1,(--(Sheet1!$F$2:$F$754=AE759))*(--ISNUMBER(FIND("-",Sheet1!$W$2:$W$754,FIND("-",Sheet1!$W$2:$W$754)+1))),Sheet1!$W$2:$W$754,""),IF(_xlpm.desc="","NOT FOUND",LEFT(_xlpm.desc,FIND("-",_xlpm.desc,FIND("-",_xlpm.desc)+1))&amp;AE759)),LEFT(J759,FIND("-",J759,FIND("-",J759)+1))&amp;AE759))</f>
        <v/>
      </c>
    </row>
    <row r="760" spans="1:34" ht="15.75" customHeight="1" x14ac:dyDescent="0.2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 s="6" t="e">
        <f t="shared" si="30"/>
        <v>#VALUE!</v>
      </c>
      <c r="Y760" s="7" t="str">
        <f t="shared" si="31"/>
        <v>DC</v>
      </c>
      <c r="Z760" s="7">
        <f t="shared" si="32"/>
        <v>0</v>
      </c>
      <c r="AA760" s="7">
        <f t="shared" si="33"/>
        <v>0</v>
      </c>
      <c r="AB760" s="7">
        <f t="shared" si="34"/>
        <v>0</v>
      </c>
      <c r="AC760" s="7">
        <f t="shared" si="35"/>
        <v>0</v>
      </c>
      <c r="AD760" s="7">
        <f t="shared" si="36"/>
        <v>0</v>
      </c>
      <c r="AE760" s="8" cm="1">
        <f t="array" ref="AE760">IFERROR(_xlfn.XLOOKUP(H760,Sheet1!$G:$G,Sheet1!$F:$F),IFERROR(_xlfn.XLOOKUP(1,(--($X$2:$X$1074=X760))*(--ISNUMBER(MATCH($H$2:$H$1074,Sheet1!$G:$G,0))),_xlfn.XLOOKUP($H$2:$H$1074,Sheet1!$G:$G,Sheet1!$F:$F,"")),"NOT FOUND"))</f>
        <v>0</v>
      </c>
      <c r="AF760" s="9" t="str">
        <f t="shared" si="43"/>
        <v/>
      </c>
      <c r="AG760" s="10" t="str">
        <f t="shared" si="44"/>
        <v/>
      </c>
      <c r="AH760" s="8" t="str" cm="1">
        <f t="array" ref="AH760">IF(OR(J760="",AE760="",AE760="NOT FOUND"),"",IF(Y760="RP",_xlfn.LET(_xlpm.desc,_xlfn.XLOOKUP(1,(--(Sheet1!$F$2:$F$754=AE760))*(--ISNUMBER(FIND("-",Sheet1!$W$2:$W$754,FIND("-",Sheet1!$W$2:$W$754)+1))),Sheet1!$W$2:$W$754,""),IF(_xlpm.desc="","NOT FOUND",LEFT(_xlpm.desc,FIND("-",_xlpm.desc,FIND("-",_xlpm.desc)+1))&amp;AE760)),LEFT(J760,FIND("-",J760,FIND("-",J760)+1))&amp;AE760))</f>
        <v/>
      </c>
    </row>
    <row r="761" spans="1:34" ht="15.75" customHeight="1" x14ac:dyDescent="0.2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 s="6" t="e">
        <f t="shared" si="30"/>
        <v>#VALUE!</v>
      </c>
      <c r="Y761" s="7" t="str">
        <f t="shared" si="31"/>
        <v>DC</v>
      </c>
      <c r="Z761" s="7">
        <f t="shared" si="32"/>
        <v>0</v>
      </c>
      <c r="AA761" s="7">
        <f t="shared" si="33"/>
        <v>0</v>
      </c>
      <c r="AB761" s="7">
        <f t="shared" si="34"/>
        <v>0</v>
      </c>
      <c r="AC761" s="7">
        <f t="shared" si="35"/>
        <v>0</v>
      </c>
      <c r="AD761" s="7">
        <f t="shared" si="36"/>
        <v>0</v>
      </c>
      <c r="AE761" s="8" cm="1">
        <f t="array" ref="AE761">IFERROR(_xlfn.XLOOKUP(H761,Sheet1!$G:$G,Sheet1!$F:$F),IFERROR(_xlfn.XLOOKUP(1,(--($X$2:$X$1074=X761))*(--ISNUMBER(MATCH($H$2:$H$1074,Sheet1!$G:$G,0))),_xlfn.XLOOKUP($H$2:$H$1074,Sheet1!$G:$G,Sheet1!$F:$F,"")),"NOT FOUND"))</f>
        <v>0</v>
      </c>
      <c r="AF761" s="9" t="str">
        <f t="shared" si="43"/>
        <v/>
      </c>
      <c r="AG761" s="10" t="str">
        <f t="shared" si="44"/>
        <v/>
      </c>
      <c r="AH761" s="8" t="str" cm="1">
        <f t="array" ref="AH761">IF(OR(J761="",AE761="",AE761="NOT FOUND"),"",IF(Y761="RP",_xlfn.LET(_xlpm.desc,_xlfn.XLOOKUP(1,(--(Sheet1!$F$2:$F$754=AE761))*(--ISNUMBER(FIND("-",Sheet1!$W$2:$W$754,FIND("-",Sheet1!$W$2:$W$754)+1))),Sheet1!$W$2:$W$754,""),IF(_xlpm.desc="","NOT FOUND",LEFT(_xlpm.desc,FIND("-",_xlpm.desc,FIND("-",_xlpm.desc)+1))&amp;AE761)),LEFT(J761,FIND("-",J761,FIND("-",J761)+1))&amp;AE761))</f>
        <v/>
      </c>
    </row>
    <row r="762" spans="1:34" ht="15.75" customHeight="1" x14ac:dyDescent="0.2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 s="6" t="e">
        <f t="shared" si="30"/>
        <v>#VALUE!</v>
      </c>
      <c r="Y762" s="7" t="str">
        <f t="shared" si="31"/>
        <v>DC</v>
      </c>
      <c r="Z762" s="7">
        <f t="shared" si="32"/>
        <v>0</v>
      </c>
      <c r="AA762" s="7">
        <f t="shared" si="33"/>
        <v>0</v>
      </c>
      <c r="AB762" s="7">
        <f t="shared" si="34"/>
        <v>0</v>
      </c>
      <c r="AC762" s="7">
        <f t="shared" si="35"/>
        <v>0</v>
      </c>
      <c r="AD762" s="7">
        <f t="shared" si="36"/>
        <v>0</v>
      </c>
      <c r="AE762" s="8" cm="1">
        <f t="array" ref="AE762">IFERROR(_xlfn.XLOOKUP(H762,Sheet1!$G:$G,Sheet1!$F:$F),IFERROR(_xlfn.XLOOKUP(1,(--($X$2:$X$1074=X762))*(--ISNUMBER(MATCH($H$2:$H$1074,Sheet1!$G:$G,0))),_xlfn.XLOOKUP($H$2:$H$1074,Sheet1!$G:$G,Sheet1!$F:$F,"")),"NOT FOUND"))</f>
        <v>0</v>
      </c>
      <c r="AF762" s="9" t="str">
        <f t="shared" si="43"/>
        <v/>
      </c>
      <c r="AG762" s="10" t="str">
        <f t="shared" si="44"/>
        <v/>
      </c>
      <c r="AH762" s="8" t="str" cm="1">
        <f t="array" ref="AH762">IF(OR(J762="",AE762="",AE762="NOT FOUND"),"",IF(Y762="RP",_xlfn.LET(_xlpm.desc,_xlfn.XLOOKUP(1,(--(Sheet1!$F$2:$F$754=AE762))*(--ISNUMBER(FIND("-",Sheet1!$W$2:$W$754,FIND("-",Sheet1!$W$2:$W$754)+1))),Sheet1!$W$2:$W$754,""),IF(_xlpm.desc="","NOT FOUND",LEFT(_xlpm.desc,FIND("-",_xlpm.desc,FIND("-",_xlpm.desc)+1))&amp;AE762)),LEFT(J762,FIND("-",J762,FIND("-",J762)+1))&amp;AE762))</f>
        <v/>
      </c>
    </row>
    <row r="763" spans="1:34" ht="15.75" customHeight="1" x14ac:dyDescent="0.2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 s="6" t="e">
        <f t="shared" si="30"/>
        <v>#VALUE!</v>
      </c>
      <c r="Y763" s="7" t="str">
        <f t="shared" si="31"/>
        <v>DC</v>
      </c>
      <c r="Z763" s="7">
        <f t="shared" si="32"/>
        <v>0</v>
      </c>
      <c r="AA763" s="7">
        <f t="shared" si="33"/>
        <v>0</v>
      </c>
      <c r="AB763" s="7">
        <f t="shared" si="34"/>
        <v>0</v>
      </c>
      <c r="AC763" s="7">
        <f t="shared" si="35"/>
        <v>0</v>
      </c>
      <c r="AD763" s="7">
        <f t="shared" si="36"/>
        <v>0</v>
      </c>
      <c r="AE763" s="8" cm="1">
        <f t="array" ref="AE763">IFERROR(_xlfn.XLOOKUP(H763,Sheet1!$G:$G,Sheet1!$F:$F),IFERROR(_xlfn.XLOOKUP(1,(--($X$2:$X$1074=X763))*(--ISNUMBER(MATCH($H$2:$H$1074,Sheet1!$G:$G,0))),_xlfn.XLOOKUP($H$2:$H$1074,Sheet1!$G:$G,Sheet1!$F:$F,"")),"NOT FOUND"))</f>
        <v>0</v>
      </c>
      <c r="AF763" s="9" t="str">
        <f t="shared" si="43"/>
        <v/>
      </c>
      <c r="AG763" s="10" t="str">
        <f t="shared" si="44"/>
        <v/>
      </c>
      <c r="AH763" s="8" t="str" cm="1">
        <f t="array" ref="AH763">IF(OR(J763="",AE763="",AE763="NOT FOUND"),"",IF(Y763="RP",_xlfn.LET(_xlpm.desc,_xlfn.XLOOKUP(1,(--(Sheet1!$F$2:$F$754=AE763))*(--ISNUMBER(FIND("-",Sheet1!$W$2:$W$754,FIND("-",Sheet1!$W$2:$W$754)+1))),Sheet1!$W$2:$W$754,""),IF(_xlpm.desc="","NOT FOUND",LEFT(_xlpm.desc,FIND("-",_xlpm.desc,FIND("-",_xlpm.desc)+1))&amp;AE763)),LEFT(J763,FIND("-",J763,FIND("-",J763)+1))&amp;AE763))</f>
        <v/>
      </c>
    </row>
    <row r="764" spans="1:34" ht="15.75" customHeight="1" x14ac:dyDescent="0.2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 s="6" t="e">
        <f t="shared" si="30"/>
        <v>#VALUE!</v>
      </c>
      <c r="Y764" s="7" t="str">
        <f t="shared" si="31"/>
        <v>DC</v>
      </c>
      <c r="Z764" s="7">
        <f t="shared" si="32"/>
        <v>0</v>
      </c>
      <c r="AA764" s="7">
        <f t="shared" si="33"/>
        <v>0</v>
      </c>
      <c r="AB764" s="7">
        <f t="shared" si="34"/>
        <v>0</v>
      </c>
      <c r="AC764" s="7">
        <f t="shared" si="35"/>
        <v>0</v>
      </c>
      <c r="AD764" s="7">
        <f t="shared" si="36"/>
        <v>0</v>
      </c>
      <c r="AE764" s="8" cm="1">
        <f t="array" ref="AE764">IFERROR(_xlfn.XLOOKUP(H764,Sheet1!$G:$G,Sheet1!$F:$F),IFERROR(_xlfn.XLOOKUP(1,(--($X$2:$X$1074=X764))*(--ISNUMBER(MATCH($H$2:$H$1074,Sheet1!$G:$G,0))),_xlfn.XLOOKUP($H$2:$H$1074,Sheet1!$G:$G,Sheet1!$F:$F,"")),"NOT FOUND"))</f>
        <v>0</v>
      </c>
      <c r="AF764" s="9" t="str">
        <f t="shared" si="43"/>
        <v/>
      </c>
      <c r="AG764" s="10" t="str">
        <f t="shared" si="44"/>
        <v/>
      </c>
      <c r="AH764" s="8" t="str" cm="1">
        <f t="array" ref="AH764">IF(OR(J764="",AE764="",AE764="NOT FOUND"),"",IF(Y764="RP",_xlfn.LET(_xlpm.desc,_xlfn.XLOOKUP(1,(--(Sheet1!$F$2:$F$754=AE764))*(--ISNUMBER(FIND("-",Sheet1!$W$2:$W$754,FIND("-",Sheet1!$W$2:$W$754)+1))),Sheet1!$W$2:$W$754,""),IF(_xlpm.desc="","NOT FOUND",LEFT(_xlpm.desc,FIND("-",_xlpm.desc,FIND("-",_xlpm.desc)+1))&amp;AE764)),LEFT(J764,FIND("-",J764,FIND("-",J764)+1))&amp;AE764))</f>
        <v/>
      </c>
    </row>
    <row r="765" spans="1:34" ht="15.75" customHeight="1" x14ac:dyDescent="0.2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 s="6" t="e">
        <f t="shared" si="30"/>
        <v>#VALUE!</v>
      </c>
      <c r="Y765" s="7" t="str">
        <f t="shared" si="31"/>
        <v>DC</v>
      </c>
      <c r="Z765" s="7">
        <f t="shared" si="32"/>
        <v>0</v>
      </c>
      <c r="AA765" s="7">
        <f t="shared" si="33"/>
        <v>0</v>
      </c>
      <c r="AB765" s="7">
        <f t="shared" si="34"/>
        <v>0</v>
      </c>
      <c r="AC765" s="7">
        <f t="shared" si="35"/>
        <v>0</v>
      </c>
      <c r="AD765" s="7">
        <f t="shared" si="36"/>
        <v>0</v>
      </c>
      <c r="AE765" s="8" cm="1">
        <f t="array" ref="AE765">IFERROR(_xlfn.XLOOKUP(H765,Sheet1!$G:$G,Sheet1!$F:$F),IFERROR(_xlfn.XLOOKUP(1,(--($X$2:$X$1074=X765))*(--ISNUMBER(MATCH($H$2:$H$1074,Sheet1!$G:$G,0))),_xlfn.XLOOKUP($H$2:$H$1074,Sheet1!$G:$G,Sheet1!$F:$F,"")),"NOT FOUND"))</f>
        <v>0</v>
      </c>
      <c r="AF765" s="9" t="str">
        <f t="shared" si="43"/>
        <v/>
      </c>
      <c r="AG765" s="10" t="str">
        <f t="shared" si="44"/>
        <v/>
      </c>
      <c r="AH765" s="8" t="str" cm="1">
        <f t="array" ref="AH765">IF(OR(J765="",AE765="",AE765="NOT FOUND"),"",IF(Y765="RP",_xlfn.LET(_xlpm.desc,_xlfn.XLOOKUP(1,(--(Sheet1!$F$2:$F$754=AE765))*(--ISNUMBER(FIND("-",Sheet1!$W$2:$W$754,FIND("-",Sheet1!$W$2:$W$754)+1))),Sheet1!$W$2:$W$754,""),IF(_xlpm.desc="","NOT FOUND",LEFT(_xlpm.desc,FIND("-",_xlpm.desc,FIND("-",_xlpm.desc)+1))&amp;AE765)),LEFT(J765,FIND("-",J765,FIND("-",J765)+1))&amp;AE765))</f>
        <v/>
      </c>
    </row>
    <row r="766" spans="1:34" ht="15.75" customHeight="1" x14ac:dyDescent="0.2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 s="6" t="e">
        <f t="shared" si="30"/>
        <v>#VALUE!</v>
      </c>
      <c r="Y766" s="7" t="str">
        <f t="shared" si="31"/>
        <v>DC</v>
      </c>
      <c r="Z766" s="7">
        <f t="shared" si="32"/>
        <v>0</v>
      </c>
      <c r="AA766" s="7">
        <f t="shared" si="33"/>
        <v>0</v>
      </c>
      <c r="AB766" s="7">
        <f t="shared" si="34"/>
        <v>0</v>
      </c>
      <c r="AC766" s="7">
        <f t="shared" si="35"/>
        <v>0</v>
      </c>
      <c r="AD766" s="7">
        <f t="shared" si="36"/>
        <v>0</v>
      </c>
      <c r="AE766" s="8" cm="1">
        <f t="array" ref="AE766">IFERROR(_xlfn.XLOOKUP(H766,Sheet1!$G:$G,Sheet1!$F:$F),IFERROR(_xlfn.XLOOKUP(1,(--($X$2:$X$1074=X766))*(--ISNUMBER(MATCH($H$2:$H$1074,Sheet1!$G:$G,0))),_xlfn.XLOOKUP($H$2:$H$1074,Sheet1!$G:$G,Sheet1!$F:$F,"")),"NOT FOUND"))</f>
        <v>0</v>
      </c>
      <c r="AF766" s="9" t="str">
        <f t="shared" si="43"/>
        <v/>
      </c>
      <c r="AG766" s="10" t="str">
        <f t="shared" si="44"/>
        <v/>
      </c>
      <c r="AH766" s="8" t="str" cm="1">
        <f t="array" ref="AH766">IF(OR(J766="",AE766="",AE766="NOT FOUND"),"",IF(Y766="RP",_xlfn.LET(_xlpm.desc,_xlfn.XLOOKUP(1,(--(Sheet1!$F$2:$F$754=AE766))*(--ISNUMBER(FIND("-",Sheet1!$W$2:$W$754,FIND("-",Sheet1!$W$2:$W$754)+1))),Sheet1!$W$2:$W$754,""),IF(_xlpm.desc="","NOT FOUND",LEFT(_xlpm.desc,FIND("-",_xlpm.desc,FIND("-",_xlpm.desc)+1))&amp;AE766)),LEFT(J766,FIND("-",J766,FIND("-",J766)+1))&amp;AE766))</f>
        <v/>
      </c>
    </row>
    <row r="767" spans="1:34" ht="15.75" customHeight="1" x14ac:dyDescent="0.2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 s="6" t="e">
        <f t="shared" ref="X767:X1021" si="45">IF(ISNUMBER(VALUE(LEFT(J767,1))),LEFT(J767,MIN(IFERROR(FIND("A",UPPER(J767)),LEN(J767)+1),IFERROR(FIND("B",UPPER(J767)),LEN(J767)+1),IFERROR(FIND("C",UPPER(J767)),LEN(J767)+1),IFERROR(FIND("D",UPPER(J767)),LEN(J767)+1),IFERROR(FIND("E",UPPER(J767)),LEN(J767)+1),IFERROR(FIND("F",UPPER(J767)),LEN(J767)+1),IFERROR(FIND("G",UPPER(J767)),LEN(J767)+1),IFERROR(FIND("H",UPPER(J767)),LEN(J767)+1),IFERROR(FIND("I",UPPER(J767)),LEN(J767)+1),IFERROR(FIND("J",UPPER(J767)),LEN(J767)+1),IFERROR(FIND("K",UPPER(J767)),LEN(J767)+1),IFERROR(FIND("L",UPPER(J767)),LEN(J767)+1),IFERROR(FIND("M",UPPER(J767)),LEN(J767)+1),IFERROR(FIND("N",UPPER(J767)),LEN(J767)+1),IFERROR(FIND("O",UPPER(J767)),LEN(J767)+1),IFERROR(FIND("P",UPPER(J767)),LEN(J767)+1),IFERROR(FIND("Q",UPPER(J767)),LEN(J767)+1),IFERROR(FIND("R",UPPER(J767)),LEN(J767)+1),IFERROR(FIND("S",UPPER(J767)),LEN(J767)+1),IFERROR(FIND("T",UPPER(J767)),LEN(J767)+1),IFERROR(FIND("U",UPPER(J767)),LEN(J767)+1),IFERROR(FIND("V",UPPER(J767)),LEN(J767)+1),IFERROR(FIND("W",UPPER(J767)),LEN(J767)+1),IFERROR(FIND("X",UPPER(J767)),LEN(J767)+1),IFERROR(FIND("Y",UPPER(J767)),LEN(J767)+1),IFERROR(FIND("Z",UPPER(J767)),LEN(J767)+1))-1),LEFT(TEXT(I767,"0"),LEN(TEXT(I767,"0"))-3))</f>
        <v>#VALUE!</v>
      </c>
      <c r="Y767" s="7" t="str">
        <f t="shared" ref="Y767:Y1021" si="46">IF(ISNUMBER(SEARCH("(RP)",J767)),"RP","DC")</f>
        <v>DC</v>
      </c>
      <c r="Z767" s="7">
        <f t="shared" ref="Z767:Z1021" si="47">IF(ISNUMBER(SEARCH("(RP)",J767)),O767,IF(RIGHT(TRIM(J767),3)=", S",O767,0))</f>
        <v>0</v>
      </c>
      <c r="AA767" s="7">
        <f t="shared" ref="AA767:AA1021" si="48">IF(ISNUMBER(SEARCH("(RP)",J767)),O767,IF(RIGHT(TRIM(J767),3)=", M",O767,0))</f>
        <v>0</v>
      </c>
      <c r="AB767" s="7">
        <f t="shared" ref="AB767:AB1021" si="49">IF(ISNUMBER(SEARCH("(RP)",J767)),O767,IF(RIGHT(TRIM(J767),3)=", L",O767,0))</f>
        <v>0</v>
      </c>
      <c r="AC767" s="7">
        <f t="shared" ref="AC767:AC1021" si="50">IF(ISNUMBER(SEARCH("(RP)",J767)),O767,IF(RIGHT(TRIM(J767),4)=", XL",O767,0))</f>
        <v>0</v>
      </c>
      <c r="AD767" s="7">
        <f t="shared" ref="AD767:AD1021" si="51">IF(ISNUMBER(SEARCH("(RP)",J767)),O767,IF(OR(RIGHT(TRIM(J767),5)=", XXL",RIGHT(TRIM(J767),5)=", 2XL"),O767,0))</f>
        <v>0</v>
      </c>
      <c r="AE767" s="8" cm="1">
        <f t="array" ref="AE767">IFERROR(_xlfn.XLOOKUP(H767,Sheet1!$G:$G,Sheet1!$F:$F),IFERROR(_xlfn.XLOOKUP(1,(--($X$2:$X$1074=X767))*(--ISNUMBER(MATCH($H$2:$H$1074,Sheet1!$G:$G,0))),_xlfn.XLOOKUP($H$2:$H$1074,Sheet1!$G:$G,Sheet1!$F:$F,"")),"NOT FOUND"))</f>
        <v>0</v>
      </c>
      <c r="AF767" s="9" t="str">
        <f t="shared" si="43"/>
        <v/>
      </c>
      <c r="AG767" s="10" t="str">
        <f t="shared" si="44"/>
        <v/>
      </c>
      <c r="AH767" s="8" t="str" cm="1">
        <f t="array" ref="AH767">IF(OR(J767="",AE767="",AE767="NOT FOUND"),"",IF(Y767="RP",_xlfn.LET(_xlpm.desc,_xlfn.XLOOKUP(1,(--(Sheet1!$F$2:$F$754=AE767))*(--ISNUMBER(FIND("-",Sheet1!$W$2:$W$754,FIND("-",Sheet1!$W$2:$W$754)+1))),Sheet1!$W$2:$W$754,""),IF(_xlpm.desc="","NOT FOUND",LEFT(_xlpm.desc,FIND("-",_xlpm.desc,FIND("-",_xlpm.desc)+1))&amp;AE767)),LEFT(J767,FIND("-",J767,FIND("-",J767)+1))&amp;AE767))</f>
        <v/>
      </c>
    </row>
    <row r="768" spans="1:34" ht="15.75" customHeight="1" x14ac:dyDescent="0.2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 s="6" t="e">
        <f t="shared" si="45"/>
        <v>#VALUE!</v>
      </c>
      <c r="Y768" s="7" t="str">
        <f t="shared" si="46"/>
        <v>DC</v>
      </c>
      <c r="Z768" s="7">
        <f t="shared" si="47"/>
        <v>0</v>
      </c>
      <c r="AA768" s="7">
        <f t="shared" si="48"/>
        <v>0</v>
      </c>
      <c r="AB768" s="7">
        <f t="shared" si="49"/>
        <v>0</v>
      </c>
      <c r="AC768" s="7">
        <f t="shared" si="50"/>
        <v>0</v>
      </c>
      <c r="AD768" s="7">
        <f t="shared" si="51"/>
        <v>0</v>
      </c>
      <c r="AE768" s="8" cm="1">
        <f t="array" ref="AE768">IFERROR(_xlfn.XLOOKUP(H768,Sheet1!$G:$G,Sheet1!$F:$F),IFERROR(_xlfn.XLOOKUP(1,(--($X$2:$X$1074=X768))*(--ISNUMBER(MATCH($H$2:$H$1074,Sheet1!$G:$G,0))),_xlfn.XLOOKUP($H$2:$H$1074,Sheet1!$G:$G,Sheet1!$F:$F,"")),"NOT FOUND"))</f>
        <v>0</v>
      </c>
      <c r="AF768" s="9" t="str">
        <f t="shared" si="43"/>
        <v/>
      </c>
      <c r="AG768" s="10" t="str">
        <f t="shared" si="44"/>
        <v/>
      </c>
      <c r="AH768" s="8" t="str" cm="1">
        <f t="array" ref="AH768">IF(OR(J768="",AE768="",AE768="NOT FOUND"),"",IF(Y768="RP",_xlfn.LET(_xlpm.desc,_xlfn.XLOOKUP(1,(--(Sheet1!$F$2:$F$754=AE768))*(--ISNUMBER(FIND("-",Sheet1!$W$2:$W$754,FIND("-",Sheet1!$W$2:$W$754)+1))),Sheet1!$W$2:$W$754,""),IF(_xlpm.desc="","NOT FOUND",LEFT(_xlpm.desc,FIND("-",_xlpm.desc,FIND("-",_xlpm.desc)+1))&amp;AE768)),LEFT(J768,FIND("-",J768,FIND("-",J768)+1))&amp;AE768))</f>
        <v/>
      </c>
    </row>
    <row r="769" spans="1:34" ht="15.75" customHeight="1" x14ac:dyDescent="0.2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 s="6" t="e">
        <f t="shared" si="45"/>
        <v>#VALUE!</v>
      </c>
      <c r="Y769" s="7" t="str">
        <f t="shared" si="46"/>
        <v>DC</v>
      </c>
      <c r="Z769" s="7">
        <f t="shared" si="47"/>
        <v>0</v>
      </c>
      <c r="AA769" s="7">
        <f t="shared" si="48"/>
        <v>0</v>
      </c>
      <c r="AB769" s="7">
        <f t="shared" si="49"/>
        <v>0</v>
      </c>
      <c r="AC769" s="7">
        <f t="shared" si="50"/>
        <v>0</v>
      </c>
      <c r="AD769" s="7">
        <f t="shared" si="51"/>
        <v>0</v>
      </c>
      <c r="AE769" s="8" cm="1">
        <f t="array" ref="AE769">IFERROR(_xlfn.XLOOKUP(H769,Sheet1!$G:$G,Sheet1!$F:$F),IFERROR(_xlfn.XLOOKUP(1,(--($X$2:$X$1074=X769))*(--ISNUMBER(MATCH($H$2:$H$1074,Sheet1!$G:$G,0))),_xlfn.XLOOKUP($H$2:$H$1074,Sheet1!$G:$G,Sheet1!$F:$F,"")),"NOT FOUND"))</f>
        <v>0</v>
      </c>
      <c r="AF769" s="9" t="str">
        <f t="shared" si="43"/>
        <v/>
      </c>
      <c r="AG769" s="10" t="str">
        <f t="shared" si="44"/>
        <v/>
      </c>
      <c r="AH769" s="8" t="str" cm="1">
        <f t="array" ref="AH769">IF(OR(J769="",AE769="",AE769="NOT FOUND"),"",IF(Y769="RP",_xlfn.LET(_xlpm.desc,_xlfn.XLOOKUP(1,(--(Sheet1!$F$2:$F$754=AE769))*(--ISNUMBER(FIND("-",Sheet1!$W$2:$W$754,FIND("-",Sheet1!$W$2:$W$754)+1))),Sheet1!$W$2:$W$754,""),IF(_xlpm.desc="","NOT FOUND",LEFT(_xlpm.desc,FIND("-",_xlpm.desc,FIND("-",_xlpm.desc)+1))&amp;AE769)),LEFT(J769,FIND("-",J769,FIND("-",J769)+1))&amp;AE769))</f>
        <v/>
      </c>
    </row>
    <row r="770" spans="1:34" ht="15.75" customHeight="1" x14ac:dyDescent="0.2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 s="6" t="e">
        <f t="shared" si="45"/>
        <v>#VALUE!</v>
      </c>
      <c r="Y770" s="7" t="str">
        <f t="shared" si="46"/>
        <v>DC</v>
      </c>
      <c r="Z770" s="7">
        <f t="shared" si="47"/>
        <v>0</v>
      </c>
      <c r="AA770" s="7">
        <f t="shared" si="48"/>
        <v>0</v>
      </c>
      <c r="AB770" s="7">
        <f t="shared" si="49"/>
        <v>0</v>
      </c>
      <c r="AC770" s="7">
        <f t="shared" si="50"/>
        <v>0</v>
      </c>
      <c r="AD770" s="7">
        <f t="shared" si="51"/>
        <v>0</v>
      </c>
      <c r="AE770" s="8" cm="1">
        <f t="array" ref="AE770">IFERROR(_xlfn.XLOOKUP(H770,Sheet1!$G:$G,Sheet1!$F:$F),IFERROR(_xlfn.XLOOKUP(1,(--($X$2:$X$1074=X770))*(--ISNUMBER(MATCH($H$2:$H$1074,Sheet1!$G:$G,0))),_xlfn.XLOOKUP($H$2:$H$1074,Sheet1!$G:$G,Sheet1!$F:$F,"")),"NOT FOUND"))</f>
        <v>0</v>
      </c>
      <c r="AF770" s="9" t="str">
        <f t="shared" si="43"/>
        <v/>
      </c>
      <c r="AG770" s="10" t="str">
        <f t="shared" si="44"/>
        <v/>
      </c>
      <c r="AH770" s="8" t="str" cm="1">
        <f t="array" ref="AH770">IF(OR(J770="",AE770="",AE770="NOT FOUND"),"",IF(Y770="RP",_xlfn.LET(_xlpm.desc,_xlfn.XLOOKUP(1,(--(Sheet1!$F$2:$F$754=AE770))*(--ISNUMBER(FIND("-",Sheet1!$W$2:$W$754,FIND("-",Sheet1!$W$2:$W$754)+1))),Sheet1!$W$2:$W$754,""),IF(_xlpm.desc="","NOT FOUND",LEFT(_xlpm.desc,FIND("-",_xlpm.desc,FIND("-",_xlpm.desc)+1))&amp;AE770)),LEFT(J770,FIND("-",J770,FIND("-",J770)+1))&amp;AE770))</f>
        <v/>
      </c>
    </row>
    <row r="771" spans="1:34" ht="15.75" customHeight="1" x14ac:dyDescent="0.2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 s="6" t="e">
        <f t="shared" si="45"/>
        <v>#VALUE!</v>
      </c>
      <c r="Y771" s="7" t="str">
        <f t="shared" si="46"/>
        <v>DC</v>
      </c>
      <c r="Z771" s="7">
        <f t="shared" si="47"/>
        <v>0</v>
      </c>
      <c r="AA771" s="7">
        <f t="shared" si="48"/>
        <v>0</v>
      </c>
      <c r="AB771" s="7">
        <f t="shared" si="49"/>
        <v>0</v>
      </c>
      <c r="AC771" s="7">
        <f t="shared" si="50"/>
        <v>0</v>
      </c>
      <c r="AD771" s="7">
        <f t="shared" si="51"/>
        <v>0</v>
      </c>
      <c r="AE771" s="8" cm="1">
        <f t="array" ref="AE771">IFERROR(_xlfn.XLOOKUP(H771,Sheet1!$G:$G,Sheet1!$F:$F),IFERROR(_xlfn.XLOOKUP(1,(--($X$2:$X$1074=X771))*(--ISNUMBER(MATCH($H$2:$H$1074,Sheet1!$G:$G,0))),_xlfn.XLOOKUP($H$2:$H$1074,Sheet1!$G:$G,Sheet1!$F:$F,"")),"NOT FOUND"))</f>
        <v>0</v>
      </c>
      <c r="AF771" s="9" t="str">
        <f t="shared" ref="AF771:AF834" si="52">IFERROR(IF(ISNUMBER(SEARCH("(RP)",J771)),TRIM(SUBSTITUTE(MID(J771,10,LEN(J771)),"(RP)","")),TRIM(MID(J771,FIND(",",J771)+1,FIND(",",J771,FIND(",",J771)+1)-FIND(",",J771)-1))),"")</f>
        <v/>
      </c>
      <c r="AG771" s="10" t="str">
        <f t="shared" ref="AG771:AG834" si="53">IF(A771="SZAF","Bangalore",IF(A771="SAEX","JHAJJAR",IF(A771="S0EU","HARIPAL","")))</f>
        <v/>
      </c>
      <c r="AH771" s="8" t="str" cm="1">
        <f t="array" ref="AH771">IF(OR(J771="",AE771="",AE771="NOT FOUND"),"",IF(Y771="RP",_xlfn.LET(_xlpm.desc,_xlfn.XLOOKUP(1,(--(Sheet1!$F$2:$F$754=AE771))*(--ISNUMBER(FIND("-",Sheet1!$W$2:$W$754,FIND("-",Sheet1!$W$2:$W$754)+1))),Sheet1!$W$2:$W$754,""),IF(_xlpm.desc="","NOT FOUND",LEFT(_xlpm.desc,FIND("-",_xlpm.desc,FIND("-",_xlpm.desc)+1))&amp;AE771)),LEFT(J771,FIND("-",J771,FIND("-",J771)+1))&amp;AE771))</f>
        <v/>
      </c>
    </row>
    <row r="772" spans="1:34" ht="15.75" customHeight="1" x14ac:dyDescent="0.2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 s="6" t="e">
        <f t="shared" si="45"/>
        <v>#VALUE!</v>
      </c>
      <c r="Y772" s="7" t="str">
        <f t="shared" si="46"/>
        <v>DC</v>
      </c>
      <c r="Z772" s="7">
        <f t="shared" si="47"/>
        <v>0</v>
      </c>
      <c r="AA772" s="7">
        <f t="shared" si="48"/>
        <v>0</v>
      </c>
      <c r="AB772" s="7">
        <f t="shared" si="49"/>
        <v>0</v>
      </c>
      <c r="AC772" s="7">
        <f t="shared" si="50"/>
        <v>0</v>
      </c>
      <c r="AD772" s="7">
        <f t="shared" si="51"/>
        <v>0</v>
      </c>
      <c r="AE772" s="8" cm="1">
        <f t="array" ref="AE772">IFERROR(_xlfn.XLOOKUP(H772,Sheet1!$G:$G,Sheet1!$F:$F),IFERROR(_xlfn.XLOOKUP(1,(--($X$2:$X$1074=X772))*(--ISNUMBER(MATCH($H$2:$H$1074,Sheet1!$G:$G,0))),_xlfn.XLOOKUP($H$2:$H$1074,Sheet1!$G:$G,Sheet1!$F:$F,"")),"NOT FOUND"))</f>
        <v>0</v>
      </c>
      <c r="AF772" s="9" t="str">
        <f t="shared" si="52"/>
        <v/>
      </c>
      <c r="AG772" s="10" t="str">
        <f t="shared" si="53"/>
        <v/>
      </c>
      <c r="AH772" s="8" t="str" cm="1">
        <f t="array" ref="AH772">IF(OR(J772="",AE772="",AE772="NOT FOUND"),"",IF(Y772="RP",_xlfn.LET(_xlpm.desc,_xlfn.XLOOKUP(1,(--(Sheet1!$F$2:$F$754=AE772))*(--ISNUMBER(FIND("-",Sheet1!$W$2:$W$754,FIND("-",Sheet1!$W$2:$W$754)+1))),Sheet1!$W$2:$W$754,""),IF(_xlpm.desc="","NOT FOUND",LEFT(_xlpm.desc,FIND("-",_xlpm.desc,FIND("-",_xlpm.desc)+1))&amp;AE772)),LEFT(J772,FIND("-",J772,FIND("-",J772)+1))&amp;AE772))</f>
        <v/>
      </c>
    </row>
    <row r="773" spans="1:34" ht="15.75" customHeight="1" x14ac:dyDescent="0.2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 s="6" t="e">
        <f t="shared" si="45"/>
        <v>#VALUE!</v>
      </c>
      <c r="Y773" s="7" t="str">
        <f t="shared" si="46"/>
        <v>DC</v>
      </c>
      <c r="Z773" s="7">
        <f t="shared" si="47"/>
        <v>0</v>
      </c>
      <c r="AA773" s="7">
        <f t="shared" si="48"/>
        <v>0</v>
      </c>
      <c r="AB773" s="7">
        <f t="shared" si="49"/>
        <v>0</v>
      </c>
      <c r="AC773" s="7">
        <f t="shared" si="50"/>
        <v>0</v>
      </c>
      <c r="AD773" s="7">
        <f t="shared" si="51"/>
        <v>0</v>
      </c>
      <c r="AE773" s="8" cm="1">
        <f t="array" ref="AE773">IFERROR(_xlfn.XLOOKUP(H773,Sheet1!$G:$G,Sheet1!$F:$F),IFERROR(_xlfn.XLOOKUP(1,(--($X$2:$X$1074=X773))*(--ISNUMBER(MATCH($H$2:$H$1074,Sheet1!$G:$G,0))),_xlfn.XLOOKUP($H$2:$H$1074,Sheet1!$G:$G,Sheet1!$F:$F,"")),"NOT FOUND"))</f>
        <v>0</v>
      </c>
      <c r="AF773" s="9" t="str">
        <f t="shared" si="52"/>
        <v/>
      </c>
      <c r="AG773" s="10" t="str">
        <f t="shared" si="53"/>
        <v/>
      </c>
      <c r="AH773" s="8" t="str" cm="1">
        <f t="array" ref="AH773">IF(OR(J773="",AE773="",AE773="NOT FOUND"),"",IF(Y773="RP",_xlfn.LET(_xlpm.desc,_xlfn.XLOOKUP(1,(--(Sheet1!$F$2:$F$754=AE773))*(--ISNUMBER(FIND("-",Sheet1!$W$2:$W$754,FIND("-",Sheet1!$W$2:$W$754)+1))),Sheet1!$W$2:$W$754,""),IF(_xlpm.desc="","NOT FOUND",LEFT(_xlpm.desc,FIND("-",_xlpm.desc,FIND("-",_xlpm.desc)+1))&amp;AE773)),LEFT(J773,FIND("-",J773,FIND("-",J773)+1))&amp;AE773))</f>
        <v/>
      </c>
    </row>
    <row r="774" spans="1:34" ht="15.75" customHeight="1" x14ac:dyDescent="0.2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 s="6" t="e">
        <f t="shared" si="45"/>
        <v>#VALUE!</v>
      </c>
      <c r="Y774" s="7" t="str">
        <f t="shared" si="46"/>
        <v>DC</v>
      </c>
      <c r="Z774" s="7">
        <f t="shared" si="47"/>
        <v>0</v>
      </c>
      <c r="AA774" s="7">
        <f t="shared" si="48"/>
        <v>0</v>
      </c>
      <c r="AB774" s="7">
        <f t="shared" si="49"/>
        <v>0</v>
      </c>
      <c r="AC774" s="7">
        <f t="shared" si="50"/>
        <v>0</v>
      </c>
      <c r="AD774" s="7">
        <f t="shared" si="51"/>
        <v>0</v>
      </c>
      <c r="AE774" s="8" cm="1">
        <f t="array" ref="AE774">IFERROR(_xlfn.XLOOKUP(H774,Sheet1!$G:$G,Sheet1!$F:$F),IFERROR(_xlfn.XLOOKUP(1,(--($X$2:$X$1074=X774))*(--ISNUMBER(MATCH($H$2:$H$1074,Sheet1!$G:$G,0))),_xlfn.XLOOKUP($H$2:$H$1074,Sheet1!$G:$G,Sheet1!$F:$F,"")),"NOT FOUND"))</f>
        <v>0</v>
      </c>
      <c r="AF774" s="9" t="str">
        <f t="shared" si="52"/>
        <v/>
      </c>
      <c r="AG774" s="10" t="str">
        <f t="shared" si="53"/>
        <v/>
      </c>
      <c r="AH774" s="8" t="str" cm="1">
        <f t="array" ref="AH774">IF(OR(J774="",AE774="",AE774="NOT FOUND"),"",IF(Y774="RP",_xlfn.LET(_xlpm.desc,_xlfn.XLOOKUP(1,(--(Sheet1!$F$2:$F$754=AE774))*(--ISNUMBER(FIND("-",Sheet1!$W$2:$W$754,FIND("-",Sheet1!$W$2:$W$754)+1))),Sheet1!$W$2:$W$754,""),IF(_xlpm.desc="","NOT FOUND",LEFT(_xlpm.desc,FIND("-",_xlpm.desc,FIND("-",_xlpm.desc)+1))&amp;AE774)),LEFT(J774,FIND("-",J774,FIND("-",J774)+1))&amp;AE774))</f>
        <v/>
      </c>
    </row>
    <row r="775" spans="1:34" ht="15.75" customHeight="1" x14ac:dyDescent="0.2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 s="6" t="e">
        <f t="shared" si="45"/>
        <v>#VALUE!</v>
      </c>
      <c r="Y775" s="7" t="str">
        <f t="shared" si="46"/>
        <v>DC</v>
      </c>
      <c r="Z775" s="7">
        <f t="shared" si="47"/>
        <v>0</v>
      </c>
      <c r="AA775" s="7">
        <f t="shared" si="48"/>
        <v>0</v>
      </c>
      <c r="AB775" s="7">
        <f t="shared" si="49"/>
        <v>0</v>
      </c>
      <c r="AC775" s="7">
        <f t="shared" si="50"/>
        <v>0</v>
      </c>
      <c r="AD775" s="7">
        <f t="shared" si="51"/>
        <v>0</v>
      </c>
      <c r="AE775" s="8" cm="1">
        <f t="array" ref="AE775">IFERROR(_xlfn.XLOOKUP(H775,Sheet1!$G:$G,Sheet1!$F:$F),IFERROR(_xlfn.XLOOKUP(1,(--($X$2:$X$1074=X775))*(--ISNUMBER(MATCH($H$2:$H$1074,Sheet1!$G:$G,0))),_xlfn.XLOOKUP($H$2:$H$1074,Sheet1!$G:$G,Sheet1!$F:$F,"")),"NOT FOUND"))</f>
        <v>0</v>
      </c>
      <c r="AF775" s="9" t="str">
        <f t="shared" si="52"/>
        <v/>
      </c>
      <c r="AG775" s="10" t="str">
        <f t="shared" si="53"/>
        <v/>
      </c>
      <c r="AH775" s="8" t="str" cm="1">
        <f t="array" ref="AH775">IF(OR(J775="",AE775="",AE775="NOT FOUND"),"",IF(Y775="RP",_xlfn.LET(_xlpm.desc,_xlfn.XLOOKUP(1,(--(Sheet1!$F$2:$F$754=AE775))*(--ISNUMBER(FIND("-",Sheet1!$W$2:$W$754,FIND("-",Sheet1!$W$2:$W$754)+1))),Sheet1!$W$2:$W$754,""),IF(_xlpm.desc="","NOT FOUND",LEFT(_xlpm.desc,FIND("-",_xlpm.desc,FIND("-",_xlpm.desc)+1))&amp;AE775)),LEFT(J775,FIND("-",J775,FIND("-",J775)+1))&amp;AE775))</f>
        <v/>
      </c>
    </row>
    <row r="776" spans="1:34" ht="15.75" customHeight="1" x14ac:dyDescent="0.2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 s="6" t="e">
        <f t="shared" si="45"/>
        <v>#VALUE!</v>
      </c>
      <c r="Y776" s="7" t="str">
        <f t="shared" si="46"/>
        <v>DC</v>
      </c>
      <c r="Z776" s="7">
        <f t="shared" si="47"/>
        <v>0</v>
      </c>
      <c r="AA776" s="7">
        <f t="shared" si="48"/>
        <v>0</v>
      </c>
      <c r="AB776" s="7">
        <f t="shared" si="49"/>
        <v>0</v>
      </c>
      <c r="AC776" s="7">
        <f t="shared" si="50"/>
        <v>0</v>
      </c>
      <c r="AD776" s="7">
        <f t="shared" si="51"/>
        <v>0</v>
      </c>
      <c r="AE776" s="8" cm="1">
        <f t="array" ref="AE776">IFERROR(_xlfn.XLOOKUP(H776,Sheet1!$G:$G,Sheet1!$F:$F),IFERROR(_xlfn.XLOOKUP(1,(--($X$2:$X$1074=X776))*(--ISNUMBER(MATCH($H$2:$H$1074,Sheet1!$G:$G,0))),_xlfn.XLOOKUP($H$2:$H$1074,Sheet1!$G:$G,Sheet1!$F:$F,"")),"NOT FOUND"))</f>
        <v>0</v>
      </c>
      <c r="AF776" s="9" t="str">
        <f t="shared" si="52"/>
        <v/>
      </c>
      <c r="AG776" s="10" t="str">
        <f t="shared" si="53"/>
        <v/>
      </c>
      <c r="AH776" s="8" t="str" cm="1">
        <f t="array" ref="AH776">IF(OR(J776="",AE776="",AE776="NOT FOUND"),"",IF(Y776="RP",_xlfn.LET(_xlpm.desc,_xlfn.XLOOKUP(1,(--(Sheet1!$F$2:$F$754=AE776))*(--ISNUMBER(FIND("-",Sheet1!$W$2:$W$754,FIND("-",Sheet1!$W$2:$W$754)+1))),Sheet1!$W$2:$W$754,""),IF(_xlpm.desc="","NOT FOUND",LEFT(_xlpm.desc,FIND("-",_xlpm.desc,FIND("-",_xlpm.desc)+1))&amp;AE776)),LEFT(J776,FIND("-",J776,FIND("-",J776)+1))&amp;AE776))</f>
        <v/>
      </c>
    </row>
    <row r="777" spans="1:34" ht="15.75" customHeight="1" x14ac:dyDescent="0.2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 s="6" t="e">
        <f t="shared" si="45"/>
        <v>#VALUE!</v>
      </c>
      <c r="Y777" s="7" t="str">
        <f t="shared" si="46"/>
        <v>DC</v>
      </c>
      <c r="Z777" s="7">
        <f t="shared" si="47"/>
        <v>0</v>
      </c>
      <c r="AA777" s="7">
        <f t="shared" si="48"/>
        <v>0</v>
      </c>
      <c r="AB777" s="7">
        <f t="shared" si="49"/>
        <v>0</v>
      </c>
      <c r="AC777" s="7">
        <f t="shared" si="50"/>
        <v>0</v>
      </c>
      <c r="AD777" s="7">
        <f t="shared" si="51"/>
        <v>0</v>
      </c>
      <c r="AE777" s="8" cm="1">
        <f t="array" ref="AE777">IFERROR(_xlfn.XLOOKUP(H777,Sheet1!$G:$G,Sheet1!$F:$F),IFERROR(_xlfn.XLOOKUP(1,(--($X$2:$X$1074=X777))*(--ISNUMBER(MATCH($H$2:$H$1074,Sheet1!$G:$G,0))),_xlfn.XLOOKUP($H$2:$H$1074,Sheet1!$G:$G,Sheet1!$F:$F,"")),"NOT FOUND"))</f>
        <v>0</v>
      </c>
      <c r="AF777" s="9" t="str">
        <f t="shared" si="52"/>
        <v/>
      </c>
      <c r="AG777" s="10" t="str">
        <f t="shared" si="53"/>
        <v/>
      </c>
      <c r="AH777" s="8" t="str" cm="1">
        <f t="array" ref="AH777">IF(OR(J777="",AE777="",AE777="NOT FOUND"),"",IF(Y777="RP",_xlfn.LET(_xlpm.desc,_xlfn.XLOOKUP(1,(--(Sheet1!$F$2:$F$754=AE777))*(--ISNUMBER(FIND("-",Sheet1!$W$2:$W$754,FIND("-",Sheet1!$W$2:$W$754)+1))),Sheet1!$W$2:$W$754,""),IF(_xlpm.desc="","NOT FOUND",LEFT(_xlpm.desc,FIND("-",_xlpm.desc,FIND("-",_xlpm.desc)+1))&amp;AE777)),LEFT(J777,FIND("-",J777,FIND("-",J777)+1))&amp;AE777))</f>
        <v/>
      </c>
    </row>
    <row r="778" spans="1:34" ht="15.75" customHeight="1" x14ac:dyDescent="0.2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 s="6" t="e">
        <f t="shared" si="45"/>
        <v>#VALUE!</v>
      </c>
      <c r="Y778" s="7" t="str">
        <f t="shared" si="46"/>
        <v>DC</v>
      </c>
      <c r="Z778" s="7">
        <f t="shared" si="47"/>
        <v>0</v>
      </c>
      <c r="AA778" s="7">
        <f t="shared" si="48"/>
        <v>0</v>
      </c>
      <c r="AB778" s="7">
        <f t="shared" si="49"/>
        <v>0</v>
      </c>
      <c r="AC778" s="7">
        <f t="shared" si="50"/>
        <v>0</v>
      </c>
      <c r="AD778" s="7">
        <f t="shared" si="51"/>
        <v>0</v>
      </c>
      <c r="AE778" s="8" cm="1">
        <f t="array" ref="AE778">IFERROR(_xlfn.XLOOKUP(H778,Sheet1!$G:$G,Sheet1!$F:$F),IFERROR(_xlfn.XLOOKUP(1,(--($X$2:$X$1074=X778))*(--ISNUMBER(MATCH($H$2:$H$1074,Sheet1!$G:$G,0))),_xlfn.XLOOKUP($H$2:$H$1074,Sheet1!$G:$G,Sheet1!$F:$F,"")),"NOT FOUND"))</f>
        <v>0</v>
      </c>
      <c r="AF778" s="9" t="str">
        <f t="shared" si="52"/>
        <v/>
      </c>
      <c r="AG778" s="10" t="str">
        <f t="shared" si="53"/>
        <v/>
      </c>
      <c r="AH778" s="8" t="str" cm="1">
        <f t="array" ref="AH778">IF(OR(J778="",AE778="",AE778="NOT FOUND"),"",IF(Y778="RP",_xlfn.LET(_xlpm.desc,_xlfn.XLOOKUP(1,(--(Sheet1!$F$2:$F$754=AE778))*(--ISNUMBER(FIND("-",Sheet1!$W$2:$W$754,FIND("-",Sheet1!$W$2:$W$754)+1))),Sheet1!$W$2:$W$754,""),IF(_xlpm.desc="","NOT FOUND",LEFT(_xlpm.desc,FIND("-",_xlpm.desc,FIND("-",_xlpm.desc)+1))&amp;AE778)),LEFT(J778,FIND("-",J778,FIND("-",J778)+1))&amp;AE778))</f>
        <v/>
      </c>
    </row>
    <row r="779" spans="1:34" ht="15.75" customHeight="1" x14ac:dyDescent="0.2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 s="6" t="e">
        <f t="shared" si="45"/>
        <v>#VALUE!</v>
      </c>
      <c r="Y779" s="7" t="str">
        <f t="shared" si="46"/>
        <v>DC</v>
      </c>
      <c r="Z779" s="7">
        <f t="shared" si="47"/>
        <v>0</v>
      </c>
      <c r="AA779" s="7">
        <f t="shared" si="48"/>
        <v>0</v>
      </c>
      <c r="AB779" s="7">
        <f t="shared" si="49"/>
        <v>0</v>
      </c>
      <c r="AC779" s="7">
        <f t="shared" si="50"/>
        <v>0</v>
      </c>
      <c r="AD779" s="7">
        <f t="shared" si="51"/>
        <v>0</v>
      </c>
      <c r="AE779" s="8" cm="1">
        <f t="array" ref="AE779">IFERROR(_xlfn.XLOOKUP(H779,Sheet1!$G:$G,Sheet1!$F:$F),IFERROR(_xlfn.XLOOKUP(1,(--($X$2:$X$1074=X779))*(--ISNUMBER(MATCH($H$2:$H$1074,Sheet1!$G:$G,0))),_xlfn.XLOOKUP($H$2:$H$1074,Sheet1!$G:$G,Sheet1!$F:$F,"")),"NOT FOUND"))</f>
        <v>0</v>
      </c>
      <c r="AF779" s="9" t="str">
        <f t="shared" si="52"/>
        <v/>
      </c>
      <c r="AG779" s="10" t="str">
        <f t="shared" si="53"/>
        <v/>
      </c>
      <c r="AH779" s="8" t="str" cm="1">
        <f t="array" ref="AH779">IF(OR(J779="",AE779="",AE779="NOT FOUND"),"",IF(Y779="RP",_xlfn.LET(_xlpm.desc,_xlfn.XLOOKUP(1,(--(Sheet1!$F$2:$F$754=AE779))*(--ISNUMBER(FIND("-",Sheet1!$W$2:$W$754,FIND("-",Sheet1!$W$2:$W$754)+1))),Sheet1!$W$2:$W$754,""),IF(_xlpm.desc="","NOT FOUND",LEFT(_xlpm.desc,FIND("-",_xlpm.desc,FIND("-",_xlpm.desc)+1))&amp;AE779)),LEFT(J779,FIND("-",J779,FIND("-",J779)+1))&amp;AE779))</f>
        <v/>
      </c>
    </row>
    <row r="780" spans="1:34" ht="15.75" customHeight="1" x14ac:dyDescent="0.2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 s="6" t="e">
        <f t="shared" si="45"/>
        <v>#VALUE!</v>
      </c>
      <c r="Y780" s="7" t="str">
        <f t="shared" si="46"/>
        <v>DC</v>
      </c>
      <c r="Z780" s="7">
        <f t="shared" si="47"/>
        <v>0</v>
      </c>
      <c r="AA780" s="7">
        <f t="shared" si="48"/>
        <v>0</v>
      </c>
      <c r="AB780" s="7">
        <f t="shared" si="49"/>
        <v>0</v>
      </c>
      <c r="AC780" s="7">
        <f t="shared" si="50"/>
        <v>0</v>
      </c>
      <c r="AD780" s="7">
        <f t="shared" si="51"/>
        <v>0</v>
      </c>
      <c r="AE780" s="8" cm="1">
        <f t="array" ref="AE780">IFERROR(_xlfn.XLOOKUP(H780,Sheet1!$G:$G,Sheet1!$F:$F),IFERROR(_xlfn.XLOOKUP(1,(--($X$2:$X$1074=X780))*(--ISNUMBER(MATCH($H$2:$H$1074,Sheet1!$G:$G,0))),_xlfn.XLOOKUP($H$2:$H$1074,Sheet1!$G:$G,Sheet1!$F:$F,"")),"NOT FOUND"))</f>
        <v>0</v>
      </c>
      <c r="AF780" s="9" t="str">
        <f t="shared" si="52"/>
        <v/>
      </c>
      <c r="AG780" s="10" t="str">
        <f t="shared" si="53"/>
        <v/>
      </c>
      <c r="AH780" s="8" t="str" cm="1">
        <f t="array" ref="AH780">IF(OR(J780="",AE780="",AE780="NOT FOUND"),"",IF(Y780="RP",_xlfn.LET(_xlpm.desc,_xlfn.XLOOKUP(1,(--(Sheet1!$F$2:$F$754=AE780))*(--ISNUMBER(FIND("-",Sheet1!$W$2:$W$754,FIND("-",Sheet1!$W$2:$W$754)+1))),Sheet1!$W$2:$W$754,""),IF(_xlpm.desc="","NOT FOUND",LEFT(_xlpm.desc,FIND("-",_xlpm.desc,FIND("-",_xlpm.desc)+1))&amp;AE780)),LEFT(J780,FIND("-",J780,FIND("-",J780)+1))&amp;AE780))</f>
        <v/>
      </c>
    </row>
    <row r="781" spans="1:34" ht="15.75" customHeight="1" x14ac:dyDescent="0.2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 s="6" t="e">
        <f t="shared" si="45"/>
        <v>#VALUE!</v>
      </c>
      <c r="Y781" s="7" t="str">
        <f t="shared" si="46"/>
        <v>DC</v>
      </c>
      <c r="Z781" s="7">
        <f t="shared" si="47"/>
        <v>0</v>
      </c>
      <c r="AA781" s="7">
        <f t="shared" si="48"/>
        <v>0</v>
      </c>
      <c r="AB781" s="7">
        <f t="shared" si="49"/>
        <v>0</v>
      </c>
      <c r="AC781" s="7">
        <f t="shared" si="50"/>
        <v>0</v>
      </c>
      <c r="AD781" s="7">
        <f t="shared" si="51"/>
        <v>0</v>
      </c>
      <c r="AE781" s="8" cm="1">
        <f t="array" ref="AE781">IFERROR(_xlfn.XLOOKUP(H781,Sheet1!$G:$G,Sheet1!$F:$F),IFERROR(_xlfn.XLOOKUP(1,(--($X$2:$X$1074=X781))*(--ISNUMBER(MATCH($H$2:$H$1074,Sheet1!$G:$G,0))),_xlfn.XLOOKUP($H$2:$H$1074,Sheet1!$G:$G,Sheet1!$F:$F,"")),"NOT FOUND"))</f>
        <v>0</v>
      </c>
      <c r="AF781" s="9" t="str">
        <f t="shared" si="52"/>
        <v/>
      </c>
      <c r="AG781" s="10" t="str">
        <f t="shared" si="53"/>
        <v/>
      </c>
      <c r="AH781" s="8" t="str" cm="1">
        <f t="array" ref="AH781">IF(OR(J781="",AE781="",AE781="NOT FOUND"),"",IF(Y781="RP",_xlfn.LET(_xlpm.desc,_xlfn.XLOOKUP(1,(--(Sheet1!$F$2:$F$754=AE781))*(--ISNUMBER(FIND("-",Sheet1!$W$2:$W$754,FIND("-",Sheet1!$W$2:$W$754)+1))),Sheet1!$W$2:$W$754,""),IF(_xlpm.desc="","NOT FOUND",LEFT(_xlpm.desc,FIND("-",_xlpm.desc,FIND("-",_xlpm.desc)+1))&amp;AE781)),LEFT(J781,FIND("-",J781,FIND("-",J781)+1))&amp;AE781))</f>
        <v/>
      </c>
    </row>
    <row r="782" spans="1:34" ht="15.75" customHeight="1" x14ac:dyDescent="0.2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 s="6" t="e">
        <f t="shared" si="45"/>
        <v>#VALUE!</v>
      </c>
      <c r="Y782" s="7" t="str">
        <f t="shared" si="46"/>
        <v>DC</v>
      </c>
      <c r="Z782" s="7">
        <f t="shared" si="47"/>
        <v>0</v>
      </c>
      <c r="AA782" s="7">
        <f t="shared" si="48"/>
        <v>0</v>
      </c>
      <c r="AB782" s="7">
        <f t="shared" si="49"/>
        <v>0</v>
      </c>
      <c r="AC782" s="7">
        <f t="shared" si="50"/>
        <v>0</v>
      </c>
      <c r="AD782" s="7">
        <f t="shared" si="51"/>
        <v>0</v>
      </c>
      <c r="AE782" s="8" cm="1">
        <f t="array" ref="AE782">IFERROR(_xlfn.XLOOKUP(H782,Sheet1!$G:$G,Sheet1!$F:$F),IFERROR(_xlfn.XLOOKUP(1,(--($X$2:$X$1074=X782))*(--ISNUMBER(MATCH($H$2:$H$1074,Sheet1!$G:$G,0))),_xlfn.XLOOKUP($H$2:$H$1074,Sheet1!$G:$G,Sheet1!$F:$F,"")),"NOT FOUND"))</f>
        <v>0</v>
      </c>
      <c r="AF782" s="9" t="str">
        <f t="shared" si="52"/>
        <v/>
      </c>
      <c r="AG782" s="10" t="str">
        <f t="shared" si="53"/>
        <v/>
      </c>
      <c r="AH782" s="8" t="str" cm="1">
        <f t="array" ref="AH782">IF(OR(J782="",AE782="",AE782="NOT FOUND"),"",IF(Y782="RP",_xlfn.LET(_xlpm.desc,_xlfn.XLOOKUP(1,(--(Sheet1!$F$2:$F$754=AE782))*(--ISNUMBER(FIND("-",Sheet1!$W$2:$W$754,FIND("-",Sheet1!$W$2:$W$754)+1))),Sheet1!$W$2:$W$754,""),IF(_xlpm.desc="","NOT FOUND",LEFT(_xlpm.desc,FIND("-",_xlpm.desc,FIND("-",_xlpm.desc)+1))&amp;AE782)),LEFT(J782,FIND("-",J782,FIND("-",J782)+1))&amp;AE782))</f>
        <v/>
      </c>
    </row>
    <row r="783" spans="1:34" ht="15.75" customHeight="1" x14ac:dyDescent="0.2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 s="6" t="e">
        <f t="shared" si="45"/>
        <v>#VALUE!</v>
      </c>
      <c r="Y783" s="7" t="str">
        <f t="shared" si="46"/>
        <v>DC</v>
      </c>
      <c r="Z783" s="7">
        <f t="shared" si="47"/>
        <v>0</v>
      </c>
      <c r="AA783" s="7">
        <f t="shared" si="48"/>
        <v>0</v>
      </c>
      <c r="AB783" s="7">
        <f t="shared" si="49"/>
        <v>0</v>
      </c>
      <c r="AC783" s="7">
        <f t="shared" si="50"/>
        <v>0</v>
      </c>
      <c r="AD783" s="7">
        <f t="shared" si="51"/>
        <v>0</v>
      </c>
      <c r="AE783" s="8" cm="1">
        <f t="array" ref="AE783">IFERROR(_xlfn.XLOOKUP(H783,Sheet1!$G:$G,Sheet1!$F:$F),IFERROR(_xlfn.XLOOKUP(1,(--($X$2:$X$1074=X783))*(--ISNUMBER(MATCH($H$2:$H$1074,Sheet1!$G:$G,0))),_xlfn.XLOOKUP($H$2:$H$1074,Sheet1!$G:$G,Sheet1!$F:$F,"")),"NOT FOUND"))</f>
        <v>0</v>
      </c>
      <c r="AF783" s="9" t="str">
        <f t="shared" si="52"/>
        <v/>
      </c>
      <c r="AG783" s="10" t="str">
        <f t="shared" si="53"/>
        <v/>
      </c>
      <c r="AH783" s="8" t="str" cm="1">
        <f t="array" ref="AH783">IF(OR(J783="",AE783="",AE783="NOT FOUND"),"",IF(Y783="RP",_xlfn.LET(_xlpm.desc,_xlfn.XLOOKUP(1,(--(Sheet1!$F$2:$F$754=AE783))*(--ISNUMBER(FIND("-",Sheet1!$W$2:$W$754,FIND("-",Sheet1!$W$2:$W$754)+1))),Sheet1!$W$2:$W$754,""),IF(_xlpm.desc="","NOT FOUND",LEFT(_xlpm.desc,FIND("-",_xlpm.desc,FIND("-",_xlpm.desc)+1))&amp;AE783)),LEFT(J783,FIND("-",J783,FIND("-",J783)+1))&amp;AE783))</f>
        <v/>
      </c>
    </row>
    <row r="784" spans="1:34" ht="15.75" customHeight="1" x14ac:dyDescent="0.2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 s="6" t="e">
        <f t="shared" si="45"/>
        <v>#VALUE!</v>
      </c>
      <c r="Y784" s="7" t="str">
        <f t="shared" si="46"/>
        <v>DC</v>
      </c>
      <c r="Z784" s="7">
        <f t="shared" si="47"/>
        <v>0</v>
      </c>
      <c r="AA784" s="7">
        <f t="shared" si="48"/>
        <v>0</v>
      </c>
      <c r="AB784" s="7">
        <f t="shared" si="49"/>
        <v>0</v>
      </c>
      <c r="AC784" s="7">
        <f t="shared" si="50"/>
        <v>0</v>
      </c>
      <c r="AD784" s="7">
        <f t="shared" si="51"/>
        <v>0</v>
      </c>
      <c r="AE784" s="8" cm="1">
        <f t="array" ref="AE784">IFERROR(_xlfn.XLOOKUP(H784,Sheet1!$G:$G,Sheet1!$F:$F),IFERROR(_xlfn.XLOOKUP(1,(--($X$2:$X$1074=X784))*(--ISNUMBER(MATCH($H$2:$H$1074,Sheet1!$G:$G,0))),_xlfn.XLOOKUP($H$2:$H$1074,Sheet1!$G:$G,Sheet1!$F:$F,"")),"NOT FOUND"))</f>
        <v>0</v>
      </c>
      <c r="AF784" s="9" t="str">
        <f t="shared" si="52"/>
        <v/>
      </c>
      <c r="AG784" s="10" t="str">
        <f t="shared" si="53"/>
        <v/>
      </c>
      <c r="AH784" s="8" t="str" cm="1">
        <f t="array" ref="AH784">IF(OR(J784="",AE784="",AE784="NOT FOUND"),"",IF(Y784="RP",_xlfn.LET(_xlpm.desc,_xlfn.XLOOKUP(1,(--(Sheet1!$F$2:$F$754=AE784))*(--ISNUMBER(FIND("-",Sheet1!$W$2:$W$754,FIND("-",Sheet1!$W$2:$W$754)+1))),Sheet1!$W$2:$W$754,""),IF(_xlpm.desc="","NOT FOUND",LEFT(_xlpm.desc,FIND("-",_xlpm.desc,FIND("-",_xlpm.desc)+1))&amp;AE784)),LEFT(J784,FIND("-",J784,FIND("-",J784)+1))&amp;AE784))</f>
        <v/>
      </c>
    </row>
    <row r="785" spans="1:34" ht="15.75" customHeight="1" x14ac:dyDescent="0.2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 s="6" t="e">
        <f t="shared" si="45"/>
        <v>#VALUE!</v>
      </c>
      <c r="Y785" s="7" t="str">
        <f t="shared" si="46"/>
        <v>DC</v>
      </c>
      <c r="Z785" s="7">
        <f t="shared" si="47"/>
        <v>0</v>
      </c>
      <c r="AA785" s="7">
        <f t="shared" si="48"/>
        <v>0</v>
      </c>
      <c r="AB785" s="7">
        <f t="shared" si="49"/>
        <v>0</v>
      </c>
      <c r="AC785" s="7">
        <f t="shared" si="50"/>
        <v>0</v>
      </c>
      <c r="AD785" s="7">
        <f t="shared" si="51"/>
        <v>0</v>
      </c>
      <c r="AE785" s="8" cm="1">
        <f t="array" ref="AE785">IFERROR(_xlfn.XLOOKUP(H785,Sheet1!$G:$G,Sheet1!$F:$F),IFERROR(_xlfn.XLOOKUP(1,(--($X$2:$X$1074=X785))*(--ISNUMBER(MATCH($H$2:$H$1074,Sheet1!$G:$G,0))),_xlfn.XLOOKUP($H$2:$H$1074,Sheet1!$G:$G,Sheet1!$F:$F,"")),"NOT FOUND"))</f>
        <v>0</v>
      </c>
      <c r="AF785" s="9" t="str">
        <f t="shared" si="52"/>
        <v/>
      </c>
      <c r="AG785" s="10" t="str">
        <f t="shared" si="53"/>
        <v/>
      </c>
      <c r="AH785" s="8" t="str" cm="1">
        <f t="array" ref="AH785">IF(OR(J785="",AE785="",AE785="NOT FOUND"),"",IF(Y785="RP",_xlfn.LET(_xlpm.desc,_xlfn.XLOOKUP(1,(--(Sheet1!$F$2:$F$754=AE785))*(--ISNUMBER(FIND("-",Sheet1!$W$2:$W$754,FIND("-",Sheet1!$W$2:$W$754)+1))),Sheet1!$W$2:$W$754,""),IF(_xlpm.desc="","NOT FOUND",LEFT(_xlpm.desc,FIND("-",_xlpm.desc,FIND("-",_xlpm.desc)+1))&amp;AE785)),LEFT(J785,FIND("-",J785,FIND("-",J785)+1))&amp;AE785))</f>
        <v/>
      </c>
    </row>
    <row r="786" spans="1:34" ht="15.75" customHeight="1" x14ac:dyDescent="0.2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 s="6" t="e">
        <f t="shared" si="45"/>
        <v>#VALUE!</v>
      </c>
      <c r="Y786" s="7" t="str">
        <f t="shared" si="46"/>
        <v>DC</v>
      </c>
      <c r="Z786" s="7">
        <f t="shared" si="47"/>
        <v>0</v>
      </c>
      <c r="AA786" s="7">
        <f t="shared" si="48"/>
        <v>0</v>
      </c>
      <c r="AB786" s="7">
        <f t="shared" si="49"/>
        <v>0</v>
      </c>
      <c r="AC786" s="7">
        <f t="shared" si="50"/>
        <v>0</v>
      </c>
      <c r="AD786" s="7">
        <f t="shared" si="51"/>
        <v>0</v>
      </c>
      <c r="AE786" s="8" cm="1">
        <f t="array" ref="AE786">IFERROR(_xlfn.XLOOKUP(H786,Sheet1!$G:$G,Sheet1!$F:$F),IFERROR(_xlfn.XLOOKUP(1,(--($X$2:$X$1074=X786))*(--ISNUMBER(MATCH($H$2:$H$1074,Sheet1!$G:$G,0))),_xlfn.XLOOKUP($H$2:$H$1074,Sheet1!$G:$G,Sheet1!$F:$F,"")),"NOT FOUND"))</f>
        <v>0</v>
      </c>
      <c r="AF786" s="9" t="str">
        <f t="shared" si="52"/>
        <v/>
      </c>
      <c r="AG786" s="10" t="str">
        <f t="shared" si="53"/>
        <v/>
      </c>
      <c r="AH786" s="8" t="str" cm="1">
        <f t="array" ref="AH786">IF(OR(J786="",AE786="",AE786="NOT FOUND"),"",IF(Y786="RP",_xlfn.LET(_xlpm.desc,_xlfn.XLOOKUP(1,(--(Sheet1!$F$2:$F$754=AE786))*(--ISNUMBER(FIND("-",Sheet1!$W$2:$W$754,FIND("-",Sheet1!$W$2:$W$754)+1))),Sheet1!$W$2:$W$754,""),IF(_xlpm.desc="","NOT FOUND",LEFT(_xlpm.desc,FIND("-",_xlpm.desc,FIND("-",_xlpm.desc)+1))&amp;AE786)),LEFT(J786,FIND("-",J786,FIND("-",J786)+1))&amp;AE786))</f>
        <v/>
      </c>
    </row>
    <row r="787" spans="1:34" ht="15.75" customHeight="1" x14ac:dyDescent="0.2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 s="6" t="e">
        <f t="shared" si="45"/>
        <v>#VALUE!</v>
      </c>
      <c r="Y787" s="7" t="str">
        <f t="shared" si="46"/>
        <v>DC</v>
      </c>
      <c r="Z787" s="7">
        <f t="shared" si="47"/>
        <v>0</v>
      </c>
      <c r="AA787" s="7">
        <f t="shared" si="48"/>
        <v>0</v>
      </c>
      <c r="AB787" s="7">
        <f t="shared" si="49"/>
        <v>0</v>
      </c>
      <c r="AC787" s="7">
        <f t="shared" si="50"/>
        <v>0</v>
      </c>
      <c r="AD787" s="7">
        <f t="shared" si="51"/>
        <v>0</v>
      </c>
      <c r="AE787" s="8" cm="1">
        <f t="array" ref="AE787">IFERROR(_xlfn.XLOOKUP(H787,Sheet1!$G:$G,Sheet1!$F:$F),IFERROR(_xlfn.XLOOKUP(1,(--($X$2:$X$1074=X787))*(--ISNUMBER(MATCH($H$2:$H$1074,Sheet1!$G:$G,0))),_xlfn.XLOOKUP($H$2:$H$1074,Sheet1!$G:$G,Sheet1!$F:$F,"")),"NOT FOUND"))</f>
        <v>0</v>
      </c>
      <c r="AF787" s="9" t="str">
        <f t="shared" si="52"/>
        <v/>
      </c>
      <c r="AG787" s="10" t="str">
        <f t="shared" si="53"/>
        <v/>
      </c>
      <c r="AH787" s="8" t="str" cm="1">
        <f t="array" ref="AH787">IF(OR(J787="",AE787="",AE787="NOT FOUND"),"",IF(Y787="RP",_xlfn.LET(_xlpm.desc,_xlfn.XLOOKUP(1,(--(Sheet1!$F$2:$F$754=AE787))*(--ISNUMBER(FIND("-",Sheet1!$W$2:$W$754,FIND("-",Sheet1!$W$2:$W$754)+1))),Sheet1!$W$2:$W$754,""),IF(_xlpm.desc="","NOT FOUND",LEFT(_xlpm.desc,FIND("-",_xlpm.desc,FIND("-",_xlpm.desc)+1))&amp;AE787)),LEFT(J787,FIND("-",J787,FIND("-",J787)+1))&amp;AE787))</f>
        <v/>
      </c>
    </row>
    <row r="788" spans="1:34" ht="15.75" customHeight="1" x14ac:dyDescent="0.2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 s="6" t="e">
        <f t="shared" si="45"/>
        <v>#VALUE!</v>
      </c>
      <c r="Y788" s="7" t="str">
        <f t="shared" si="46"/>
        <v>DC</v>
      </c>
      <c r="Z788" s="7">
        <f t="shared" si="47"/>
        <v>0</v>
      </c>
      <c r="AA788" s="7">
        <f t="shared" si="48"/>
        <v>0</v>
      </c>
      <c r="AB788" s="7">
        <f t="shared" si="49"/>
        <v>0</v>
      </c>
      <c r="AC788" s="7">
        <f t="shared" si="50"/>
        <v>0</v>
      </c>
      <c r="AD788" s="7">
        <f t="shared" si="51"/>
        <v>0</v>
      </c>
      <c r="AE788" s="8" cm="1">
        <f t="array" ref="AE788">IFERROR(_xlfn.XLOOKUP(H788,Sheet1!$G:$G,Sheet1!$F:$F),IFERROR(_xlfn.XLOOKUP(1,(--($X$2:$X$1074=X788))*(--ISNUMBER(MATCH($H$2:$H$1074,Sheet1!$G:$G,0))),_xlfn.XLOOKUP($H$2:$H$1074,Sheet1!$G:$G,Sheet1!$F:$F,"")),"NOT FOUND"))</f>
        <v>0</v>
      </c>
      <c r="AF788" s="9" t="str">
        <f t="shared" si="52"/>
        <v/>
      </c>
      <c r="AG788" s="10" t="str">
        <f t="shared" si="53"/>
        <v/>
      </c>
      <c r="AH788" s="8" t="str" cm="1">
        <f t="array" ref="AH788">IF(OR(J788="",AE788="",AE788="NOT FOUND"),"",IF(Y788="RP",_xlfn.LET(_xlpm.desc,_xlfn.XLOOKUP(1,(--(Sheet1!$F$2:$F$754=AE788))*(--ISNUMBER(FIND("-",Sheet1!$W$2:$W$754,FIND("-",Sheet1!$W$2:$W$754)+1))),Sheet1!$W$2:$W$754,""),IF(_xlpm.desc="","NOT FOUND",LEFT(_xlpm.desc,FIND("-",_xlpm.desc,FIND("-",_xlpm.desc)+1))&amp;AE788)),LEFT(J788,FIND("-",J788,FIND("-",J788)+1))&amp;AE788))</f>
        <v/>
      </c>
    </row>
    <row r="789" spans="1:34" ht="15.75" customHeight="1" x14ac:dyDescent="0.2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 s="6" t="e">
        <f t="shared" si="45"/>
        <v>#VALUE!</v>
      </c>
      <c r="Y789" s="7" t="str">
        <f t="shared" si="46"/>
        <v>DC</v>
      </c>
      <c r="Z789" s="7">
        <f t="shared" si="47"/>
        <v>0</v>
      </c>
      <c r="AA789" s="7">
        <f t="shared" si="48"/>
        <v>0</v>
      </c>
      <c r="AB789" s="7">
        <f t="shared" si="49"/>
        <v>0</v>
      </c>
      <c r="AC789" s="7">
        <f t="shared" si="50"/>
        <v>0</v>
      </c>
      <c r="AD789" s="7">
        <f t="shared" si="51"/>
        <v>0</v>
      </c>
      <c r="AE789" s="8" cm="1">
        <f t="array" ref="AE789">IFERROR(_xlfn.XLOOKUP(H789,Sheet1!$G:$G,Sheet1!$F:$F),IFERROR(_xlfn.XLOOKUP(1,(--($X$2:$X$1074=X789))*(--ISNUMBER(MATCH($H$2:$H$1074,Sheet1!$G:$G,0))),_xlfn.XLOOKUP($H$2:$H$1074,Sheet1!$G:$G,Sheet1!$F:$F,"")),"NOT FOUND"))</f>
        <v>0</v>
      </c>
      <c r="AF789" s="9" t="str">
        <f t="shared" si="52"/>
        <v/>
      </c>
      <c r="AG789" s="10" t="str">
        <f t="shared" si="53"/>
        <v/>
      </c>
      <c r="AH789" s="8" t="str" cm="1">
        <f t="array" ref="AH789">IF(OR(J789="",AE789="",AE789="NOT FOUND"),"",IF(Y789="RP",_xlfn.LET(_xlpm.desc,_xlfn.XLOOKUP(1,(--(Sheet1!$F$2:$F$754=AE789))*(--ISNUMBER(FIND("-",Sheet1!$W$2:$W$754,FIND("-",Sheet1!$W$2:$W$754)+1))),Sheet1!$W$2:$W$754,""),IF(_xlpm.desc="","NOT FOUND",LEFT(_xlpm.desc,FIND("-",_xlpm.desc,FIND("-",_xlpm.desc)+1))&amp;AE789)),LEFT(J789,FIND("-",J789,FIND("-",J789)+1))&amp;AE789))</f>
        <v/>
      </c>
    </row>
    <row r="790" spans="1:34" ht="15.75" customHeight="1" x14ac:dyDescent="0.2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 s="6" t="e">
        <f t="shared" si="45"/>
        <v>#VALUE!</v>
      </c>
      <c r="Y790" s="7" t="str">
        <f t="shared" si="46"/>
        <v>DC</v>
      </c>
      <c r="Z790" s="7">
        <f t="shared" si="47"/>
        <v>0</v>
      </c>
      <c r="AA790" s="7">
        <f t="shared" si="48"/>
        <v>0</v>
      </c>
      <c r="AB790" s="7">
        <f t="shared" si="49"/>
        <v>0</v>
      </c>
      <c r="AC790" s="7">
        <f t="shared" si="50"/>
        <v>0</v>
      </c>
      <c r="AD790" s="7">
        <f t="shared" si="51"/>
        <v>0</v>
      </c>
      <c r="AE790" s="8" cm="1">
        <f t="array" ref="AE790">IFERROR(_xlfn.XLOOKUP(H790,Sheet1!$G:$G,Sheet1!$F:$F),IFERROR(_xlfn.XLOOKUP(1,(--($X$2:$X$1074=X790))*(--ISNUMBER(MATCH($H$2:$H$1074,Sheet1!$G:$G,0))),_xlfn.XLOOKUP($H$2:$H$1074,Sheet1!$G:$G,Sheet1!$F:$F,"")),"NOT FOUND"))</f>
        <v>0</v>
      </c>
      <c r="AF790" s="9" t="str">
        <f t="shared" si="52"/>
        <v/>
      </c>
      <c r="AG790" s="10" t="str">
        <f t="shared" si="53"/>
        <v/>
      </c>
      <c r="AH790" s="8" t="str" cm="1">
        <f t="array" ref="AH790">IF(OR(J790="",AE790="",AE790="NOT FOUND"),"",IF(Y790="RP",_xlfn.LET(_xlpm.desc,_xlfn.XLOOKUP(1,(--(Sheet1!$F$2:$F$754=AE790))*(--ISNUMBER(FIND("-",Sheet1!$W$2:$W$754,FIND("-",Sheet1!$W$2:$W$754)+1))),Sheet1!$W$2:$W$754,""),IF(_xlpm.desc="","NOT FOUND",LEFT(_xlpm.desc,FIND("-",_xlpm.desc,FIND("-",_xlpm.desc)+1))&amp;AE790)),LEFT(J790,FIND("-",J790,FIND("-",J790)+1))&amp;AE790))</f>
        <v/>
      </c>
    </row>
    <row r="791" spans="1:34" ht="15.75" customHeight="1" x14ac:dyDescent="0.2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 s="6" t="e">
        <f t="shared" si="45"/>
        <v>#VALUE!</v>
      </c>
      <c r="Y791" s="7" t="str">
        <f t="shared" si="46"/>
        <v>DC</v>
      </c>
      <c r="Z791" s="7">
        <f t="shared" si="47"/>
        <v>0</v>
      </c>
      <c r="AA791" s="7">
        <f t="shared" si="48"/>
        <v>0</v>
      </c>
      <c r="AB791" s="7">
        <f t="shared" si="49"/>
        <v>0</v>
      </c>
      <c r="AC791" s="7">
        <f t="shared" si="50"/>
        <v>0</v>
      </c>
      <c r="AD791" s="7">
        <f t="shared" si="51"/>
        <v>0</v>
      </c>
      <c r="AE791" s="8" cm="1">
        <f t="array" ref="AE791">IFERROR(_xlfn.XLOOKUP(H791,Sheet1!$G:$G,Sheet1!$F:$F),IFERROR(_xlfn.XLOOKUP(1,(--($X$2:$X$1074=X791))*(--ISNUMBER(MATCH($H$2:$H$1074,Sheet1!$G:$G,0))),_xlfn.XLOOKUP($H$2:$H$1074,Sheet1!$G:$G,Sheet1!$F:$F,"")),"NOT FOUND"))</f>
        <v>0</v>
      </c>
      <c r="AF791" s="9" t="str">
        <f t="shared" si="52"/>
        <v/>
      </c>
      <c r="AG791" s="10" t="str">
        <f t="shared" si="53"/>
        <v/>
      </c>
      <c r="AH791" s="8" t="str" cm="1">
        <f t="array" ref="AH791">IF(OR(J791="",AE791="",AE791="NOT FOUND"),"",IF(Y791="RP",_xlfn.LET(_xlpm.desc,_xlfn.XLOOKUP(1,(--(Sheet1!$F$2:$F$754=AE791))*(--ISNUMBER(FIND("-",Sheet1!$W$2:$W$754,FIND("-",Sheet1!$W$2:$W$754)+1))),Sheet1!$W$2:$W$754,""),IF(_xlpm.desc="","NOT FOUND",LEFT(_xlpm.desc,FIND("-",_xlpm.desc,FIND("-",_xlpm.desc)+1))&amp;AE791)),LEFT(J791,FIND("-",J791,FIND("-",J791)+1))&amp;AE791))</f>
        <v/>
      </c>
    </row>
    <row r="792" spans="1:34" ht="15.75" customHeight="1" x14ac:dyDescent="0.2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 s="6" t="e">
        <f t="shared" si="45"/>
        <v>#VALUE!</v>
      </c>
      <c r="Y792" s="7" t="str">
        <f t="shared" si="46"/>
        <v>DC</v>
      </c>
      <c r="Z792" s="7">
        <f t="shared" si="47"/>
        <v>0</v>
      </c>
      <c r="AA792" s="7">
        <f t="shared" si="48"/>
        <v>0</v>
      </c>
      <c r="AB792" s="7">
        <f t="shared" si="49"/>
        <v>0</v>
      </c>
      <c r="AC792" s="7">
        <f t="shared" si="50"/>
        <v>0</v>
      </c>
      <c r="AD792" s="7">
        <f t="shared" si="51"/>
        <v>0</v>
      </c>
      <c r="AE792" s="8" cm="1">
        <f t="array" ref="AE792">IFERROR(_xlfn.XLOOKUP(H792,Sheet1!$G:$G,Sheet1!$F:$F),IFERROR(_xlfn.XLOOKUP(1,(--($X$2:$X$1074=X792))*(--ISNUMBER(MATCH($H$2:$H$1074,Sheet1!$G:$G,0))),_xlfn.XLOOKUP($H$2:$H$1074,Sheet1!$G:$G,Sheet1!$F:$F,"")),"NOT FOUND"))</f>
        <v>0</v>
      </c>
      <c r="AF792" s="9" t="str">
        <f t="shared" si="52"/>
        <v/>
      </c>
      <c r="AG792" s="10" t="str">
        <f t="shared" si="53"/>
        <v/>
      </c>
      <c r="AH792" s="8" t="str" cm="1">
        <f t="array" ref="AH792">IF(OR(J792="",AE792="",AE792="NOT FOUND"),"",IF(Y792="RP",_xlfn.LET(_xlpm.desc,_xlfn.XLOOKUP(1,(--(Sheet1!$F$2:$F$754=AE792))*(--ISNUMBER(FIND("-",Sheet1!$W$2:$W$754,FIND("-",Sheet1!$W$2:$W$754)+1))),Sheet1!$W$2:$W$754,""),IF(_xlpm.desc="","NOT FOUND",LEFT(_xlpm.desc,FIND("-",_xlpm.desc,FIND("-",_xlpm.desc)+1))&amp;AE792)),LEFT(J792,FIND("-",J792,FIND("-",J792)+1))&amp;AE792))</f>
        <v/>
      </c>
    </row>
    <row r="793" spans="1:34" ht="15.75" customHeight="1" x14ac:dyDescent="0.2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 s="6" t="e">
        <f t="shared" si="45"/>
        <v>#VALUE!</v>
      </c>
      <c r="Y793" s="7" t="str">
        <f t="shared" si="46"/>
        <v>DC</v>
      </c>
      <c r="Z793" s="7">
        <f t="shared" si="47"/>
        <v>0</v>
      </c>
      <c r="AA793" s="7">
        <f t="shared" si="48"/>
        <v>0</v>
      </c>
      <c r="AB793" s="7">
        <f t="shared" si="49"/>
        <v>0</v>
      </c>
      <c r="AC793" s="7">
        <f t="shared" si="50"/>
        <v>0</v>
      </c>
      <c r="AD793" s="7">
        <f t="shared" si="51"/>
        <v>0</v>
      </c>
      <c r="AE793" s="8" cm="1">
        <f t="array" ref="AE793">IFERROR(_xlfn.XLOOKUP(H793,Sheet1!$G:$G,Sheet1!$F:$F),IFERROR(_xlfn.XLOOKUP(1,(--($X$2:$X$1074=X793))*(--ISNUMBER(MATCH($H$2:$H$1074,Sheet1!$G:$G,0))),_xlfn.XLOOKUP($H$2:$H$1074,Sheet1!$G:$G,Sheet1!$F:$F,"")),"NOT FOUND"))</f>
        <v>0</v>
      </c>
      <c r="AF793" s="9" t="str">
        <f t="shared" si="52"/>
        <v/>
      </c>
      <c r="AG793" s="10" t="str">
        <f t="shared" si="53"/>
        <v/>
      </c>
      <c r="AH793" s="8" t="str" cm="1">
        <f t="array" ref="AH793">IF(OR(J793="",AE793="",AE793="NOT FOUND"),"",IF(Y793="RP",_xlfn.LET(_xlpm.desc,_xlfn.XLOOKUP(1,(--(Sheet1!$F$2:$F$754=AE793))*(--ISNUMBER(FIND("-",Sheet1!$W$2:$W$754,FIND("-",Sheet1!$W$2:$W$754)+1))),Sheet1!$W$2:$W$754,""),IF(_xlpm.desc="","NOT FOUND",LEFT(_xlpm.desc,FIND("-",_xlpm.desc,FIND("-",_xlpm.desc)+1))&amp;AE793)),LEFT(J793,FIND("-",J793,FIND("-",J793)+1))&amp;AE793))</f>
        <v/>
      </c>
    </row>
    <row r="794" spans="1:34" ht="15.75" customHeight="1" x14ac:dyDescent="0.2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 s="6" t="e">
        <f t="shared" si="45"/>
        <v>#VALUE!</v>
      </c>
      <c r="Y794" s="7" t="str">
        <f t="shared" si="46"/>
        <v>DC</v>
      </c>
      <c r="Z794" s="7">
        <f t="shared" si="47"/>
        <v>0</v>
      </c>
      <c r="AA794" s="7">
        <f t="shared" si="48"/>
        <v>0</v>
      </c>
      <c r="AB794" s="7">
        <f t="shared" si="49"/>
        <v>0</v>
      </c>
      <c r="AC794" s="7">
        <f t="shared" si="50"/>
        <v>0</v>
      </c>
      <c r="AD794" s="7">
        <f t="shared" si="51"/>
        <v>0</v>
      </c>
      <c r="AE794" s="8" cm="1">
        <f t="array" ref="AE794">IFERROR(_xlfn.XLOOKUP(H794,Sheet1!$G:$G,Sheet1!$F:$F),IFERROR(_xlfn.XLOOKUP(1,(--($X$2:$X$1074=X794))*(--ISNUMBER(MATCH($H$2:$H$1074,Sheet1!$G:$G,0))),_xlfn.XLOOKUP($H$2:$H$1074,Sheet1!$G:$G,Sheet1!$F:$F,"")),"NOT FOUND"))</f>
        <v>0</v>
      </c>
      <c r="AF794" s="9" t="str">
        <f t="shared" si="52"/>
        <v/>
      </c>
      <c r="AG794" s="10" t="str">
        <f t="shared" si="53"/>
        <v/>
      </c>
      <c r="AH794" s="8" t="str" cm="1">
        <f t="array" ref="AH794">IF(OR(J794="",AE794="",AE794="NOT FOUND"),"",IF(Y794="RP",_xlfn.LET(_xlpm.desc,_xlfn.XLOOKUP(1,(--(Sheet1!$F$2:$F$754=AE794))*(--ISNUMBER(FIND("-",Sheet1!$W$2:$W$754,FIND("-",Sheet1!$W$2:$W$754)+1))),Sheet1!$W$2:$W$754,""),IF(_xlpm.desc="","NOT FOUND",LEFT(_xlpm.desc,FIND("-",_xlpm.desc,FIND("-",_xlpm.desc)+1))&amp;AE794)),LEFT(J794,FIND("-",J794,FIND("-",J794)+1))&amp;AE794))</f>
        <v/>
      </c>
    </row>
    <row r="795" spans="1:34" ht="15.75" customHeight="1" x14ac:dyDescent="0.2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 s="6" t="e">
        <f t="shared" si="45"/>
        <v>#VALUE!</v>
      </c>
      <c r="Y795" s="7" t="str">
        <f t="shared" si="46"/>
        <v>DC</v>
      </c>
      <c r="Z795" s="7">
        <f t="shared" si="47"/>
        <v>0</v>
      </c>
      <c r="AA795" s="7">
        <f t="shared" si="48"/>
        <v>0</v>
      </c>
      <c r="AB795" s="7">
        <f t="shared" si="49"/>
        <v>0</v>
      </c>
      <c r="AC795" s="7">
        <f t="shared" si="50"/>
        <v>0</v>
      </c>
      <c r="AD795" s="7">
        <f t="shared" si="51"/>
        <v>0</v>
      </c>
      <c r="AE795" s="8" cm="1">
        <f t="array" ref="AE795">IFERROR(_xlfn.XLOOKUP(H795,Sheet1!$G:$G,Sheet1!$F:$F),IFERROR(_xlfn.XLOOKUP(1,(--($X$2:$X$1074=X795))*(--ISNUMBER(MATCH($H$2:$H$1074,Sheet1!$G:$G,0))),_xlfn.XLOOKUP($H$2:$H$1074,Sheet1!$G:$G,Sheet1!$F:$F,"")),"NOT FOUND"))</f>
        <v>0</v>
      </c>
      <c r="AF795" s="9" t="str">
        <f t="shared" si="52"/>
        <v/>
      </c>
      <c r="AG795" s="10" t="str">
        <f t="shared" si="53"/>
        <v/>
      </c>
      <c r="AH795" s="8" t="str" cm="1">
        <f t="array" ref="AH795">IF(OR(J795="",AE795="",AE795="NOT FOUND"),"",IF(Y795="RP",_xlfn.LET(_xlpm.desc,_xlfn.XLOOKUP(1,(--(Sheet1!$F$2:$F$754=AE795))*(--ISNUMBER(FIND("-",Sheet1!$W$2:$W$754,FIND("-",Sheet1!$W$2:$W$754)+1))),Sheet1!$W$2:$W$754,""),IF(_xlpm.desc="","NOT FOUND",LEFT(_xlpm.desc,FIND("-",_xlpm.desc,FIND("-",_xlpm.desc)+1))&amp;AE795)),LEFT(J795,FIND("-",J795,FIND("-",J795)+1))&amp;AE795))</f>
        <v/>
      </c>
    </row>
    <row r="796" spans="1:34" ht="15.75" customHeight="1" x14ac:dyDescent="0.2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 s="6" t="e">
        <f t="shared" si="45"/>
        <v>#VALUE!</v>
      </c>
      <c r="Y796" s="7" t="str">
        <f t="shared" si="46"/>
        <v>DC</v>
      </c>
      <c r="Z796" s="7">
        <f t="shared" si="47"/>
        <v>0</v>
      </c>
      <c r="AA796" s="7">
        <f t="shared" si="48"/>
        <v>0</v>
      </c>
      <c r="AB796" s="7">
        <f t="shared" si="49"/>
        <v>0</v>
      </c>
      <c r="AC796" s="7">
        <f t="shared" si="50"/>
        <v>0</v>
      </c>
      <c r="AD796" s="7">
        <f t="shared" si="51"/>
        <v>0</v>
      </c>
      <c r="AE796" s="8" cm="1">
        <f t="array" ref="AE796">IFERROR(_xlfn.XLOOKUP(H796,Sheet1!$G:$G,Sheet1!$F:$F),IFERROR(_xlfn.XLOOKUP(1,(--($X$2:$X$1074=X796))*(--ISNUMBER(MATCH($H$2:$H$1074,Sheet1!$G:$G,0))),_xlfn.XLOOKUP($H$2:$H$1074,Sheet1!$G:$G,Sheet1!$F:$F,"")),"NOT FOUND"))</f>
        <v>0</v>
      </c>
      <c r="AF796" s="9" t="str">
        <f t="shared" si="52"/>
        <v/>
      </c>
      <c r="AG796" s="10" t="str">
        <f t="shared" si="53"/>
        <v/>
      </c>
      <c r="AH796" s="8" t="str" cm="1">
        <f t="array" ref="AH796">IF(OR(J796="",AE796="",AE796="NOT FOUND"),"",IF(Y796="RP",_xlfn.LET(_xlpm.desc,_xlfn.XLOOKUP(1,(--(Sheet1!$F$2:$F$754=AE796))*(--ISNUMBER(FIND("-",Sheet1!$W$2:$W$754,FIND("-",Sheet1!$W$2:$W$754)+1))),Sheet1!$W$2:$W$754,""),IF(_xlpm.desc="","NOT FOUND",LEFT(_xlpm.desc,FIND("-",_xlpm.desc,FIND("-",_xlpm.desc)+1))&amp;AE796)),LEFT(J796,FIND("-",J796,FIND("-",J796)+1))&amp;AE796))</f>
        <v/>
      </c>
    </row>
    <row r="797" spans="1:34" ht="15.75" customHeight="1" x14ac:dyDescent="0.2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 s="6" t="e">
        <f t="shared" si="45"/>
        <v>#VALUE!</v>
      </c>
      <c r="Y797" s="7" t="str">
        <f t="shared" si="46"/>
        <v>DC</v>
      </c>
      <c r="Z797" s="7">
        <f t="shared" si="47"/>
        <v>0</v>
      </c>
      <c r="AA797" s="7">
        <f t="shared" si="48"/>
        <v>0</v>
      </c>
      <c r="AB797" s="7">
        <f t="shared" si="49"/>
        <v>0</v>
      </c>
      <c r="AC797" s="7">
        <f t="shared" si="50"/>
        <v>0</v>
      </c>
      <c r="AD797" s="7">
        <f t="shared" si="51"/>
        <v>0</v>
      </c>
      <c r="AE797" s="8" cm="1">
        <f t="array" ref="AE797">IFERROR(_xlfn.XLOOKUP(H797,Sheet1!$G:$G,Sheet1!$F:$F),IFERROR(_xlfn.XLOOKUP(1,(--($X$2:$X$1074=X797))*(--ISNUMBER(MATCH($H$2:$H$1074,Sheet1!$G:$G,0))),_xlfn.XLOOKUP($H$2:$H$1074,Sheet1!$G:$G,Sheet1!$F:$F,"")),"NOT FOUND"))</f>
        <v>0</v>
      </c>
      <c r="AF797" s="9" t="str">
        <f t="shared" si="52"/>
        <v/>
      </c>
      <c r="AG797" s="10" t="str">
        <f t="shared" si="53"/>
        <v/>
      </c>
      <c r="AH797" s="8" t="str" cm="1">
        <f t="array" ref="AH797">IF(OR(J797="",AE797="",AE797="NOT FOUND"),"",IF(Y797="RP",_xlfn.LET(_xlpm.desc,_xlfn.XLOOKUP(1,(--(Sheet1!$F$2:$F$754=AE797))*(--ISNUMBER(FIND("-",Sheet1!$W$2:$W$754,FIND("-",Sheet1!$W$2:$W$754)+1))),Sheet1!$W$2:$W$754,""),IF(_xlpm.desc="","NOT FOUND",LEFT(_xlpm.desc,FIND("-",_xlpm.desc,FIND("-",_xlpm.desc)+1))&amp;AE797)),LEFT(J797,FIND("-",J797,FIND("-",J797)+1))&amp;AE797))</f>
        <v/>
      </c>
    </row>
    <row r="798" spans="1:34" ht="15.75" customHeight="1" x14ac:dyDescent="0.2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 s="6" t="e">
        <f t="shared" si="45"/>
        <v>#VALUE!</v>
      </c>
      <c r="Y798" s="7" t="str">
        <f t="shared" si="46"/>
        <v>DC</v>
      </c>
      <c r="Z798" s="7">
        <f t="shared" si="47"/>
        <v>0</v>
      </c>
      <c r="AA798" s="7">
        <f t="shared" si="48"/>
        <v>0</v>
      </c>
      <c r="AB798" s="7">
        <f t="shared" si="49"/>
        <v>0</v>
      </c>
      <c r="AC798" s="7">
        <f t="shared" si="50"/>
        <v>0</v>
      </c>
      <c r="AD798" s="7">
        <f t="shared" si="51"/>
        <v>0</v>
      </c>
      <c r="AE798" s="8" cm="1">
        <f t="array" ref="AE798">IFERROR(_xlfn.XLOOKUP(H798,Sheet1!$G:$G,Sheet1!$F:$F),IFERROR(_xlfn.XLOOKUP(1,(--($X$2:$X$1074=X798))*(--ISNUMBER(MATCH($H$2:$H$1074,Sheet1!$G:$G,0))),_xlfn.XLOOKUP($H$2:$H$1074,Sheet1!$G:$G,Sheet1!$F:$F,"")),"NOT FOUND"))</f>
        <v>0</v>
      </c>
      <c r="AF798" s="9" t="str">
        <f t="shared" si="52"/>
        <v/>
      </c>
      <c r="AG798" s="10" t="str">
        <f t="shared" si="53"/>
        <v/>
      </c>
      <c r="AH798" s="8" t="str" cm="1">
        <f t="array" ref="AH798">IF(OR(J798="",AE798="",AE798="NOT FOUND"),"",IF(Y798="RP",_xlfn.LET(_xlpm.desc,_xlfn.XLOOKUP(1,(--(Sheet1!$F$2:$F$754=AE798))*(--ISNUMBER(FIND("-",Sheet1!$W$2:$W$754,FIND("-",Sheet1!$W$2:$W$754)+1))),Sheet1!$W$2:$W$754,""),IF(_xlpm.desc="","NOT FOUND",LEFT(_xlpm.desc,FIND("-",_xlpm.desc,FIND("-",_xlpm.desc)+1))&amp;AE798)),LEFT(J798,FIND("-",J798,FIND("-",J798)+1))&amp;AE798))</f>
        <v/>
      </c>
    </row>
    <row r="799" spans="1:34" ht="15.75" customHeight="1" x14ac:dyDescent="0.2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 s="6" t="e">
        <f t="shared" si="45"/>
        <v>#VALUE!</v>
      </c>
      <c r="Y799" s="7" t="str">
        <f t="shared" si="46"/>
        <v>DC</v>
      </c>
      <c r="Z799" s="7">
        <f t="shared" si="47"/>
        <v>0</v>
      </c>
      <c r="AA799" s="7">
        <f t="shared" si="48"/>
        <v>0</v>
      </c>
      <c r="AB799" s="7">
        <f t="shared" si="49"/>
        <v>0</v>
      </c>
      <c r="AC799" s="7">
        <f t="shared" si="50"/>
        <v>0</v>
      </c>
      <c r="AD799" s="7">
        <f t="shared" si="51"/>
        <v>0</v>
      </c>
      <c r="AE799" s="8" cm="1">
        <f t="array" ref="AE799">IFERROR(_xlfn.XLOOKUP(H799,Sheet1!$G:$G,Sheet1!$F:$F),IFERROR(_xlfn.XLOOKUP(1,(--($X$2:$X$1074=X799))*(--ISNUMBER(MATCH($H$2:$H$1074,Sheet1!$G:$G,0))),_xlfn.XLOOKUP($H$2:$H$1074,Sheet1!$G:$G,Sheet1!$F:$F,"")),"NOT FOUND"))</f>
        <v>0</v>
      </c>
      <c r="AF799" s="9" t="str">
        <f t="shared" si="52"/>
        <v/>
      </c>
      <c r="AG799" s="10" t="str">
        <f t="shared" si="53"/>
        <v/>
      </c>
      <c r="AH799" s="8" t="str" cm="1">
        <f t="array" ref="AH799">IF(OR(J799="",AE799="",AE799="NOT FOUND"),"",IF(Y799="RP",_xlfn.LET(_xlpm.desc,_xlfn.XLOOKUP(1,(--(Sheet1!$F$2:$F$754=AE799))*(--ISNUMBER(FIND("-",Sheet1!$W$2:$W$754,FIND("-",Sheet1!$W$2:$W$754)+1))),Sheet1!$W$2:$W$754,""),IF(_xlpm.desc="","NOT FOUND",LEFT(_xlpm.desc,FIND("-",_xlpm.desc,FIND("-",_xlpm.desc)+1))&amp;AE799)),LEFT(J799,FIND("-",J799,FIND("-",J799)+1))&amp;AE799))</f>
        <v/>
      </c>
    </row>
    <row r="800" spans="1:34" ht="15.75" customHeight="1" x14ac:dyDescent="0.2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 s="6" t="e">
        <f t="shared" si="45"/>
        <v>#VALUE!</v>
      </c>
      <c r="Y800" s="7" t="str">
        <f t="shared" si="46"/>
        <v>DC</v>
      </c>
      <c r="Z800" s="7">
        <f t="shared" si="47"/>
        <v>0</v>
      </c>
      <c r="AA800" s="7">
        <f t="shared" si="48"/>
        <v>0</v>
      </c>
      <c r="AB800" s="7">
        <f t="shared" si="49"/>
        <v>0</v>
      </c>
      <c r="AC800" s="7">
        <f t="shared" si="50"/>
        <v>0</v>
      </c>
      <c r="AD800" s="7">
        <f t="shared" si="51"/>
        <v>0</v>
      </c>
      <c r="AE800" s="8" cm="1">
        <f t="array" ref="AE800">IFERROR(_xlfn.XLOOKUP(H800,Sheet1!$G:$G,Sheet1!$F:$F),IFERROR(_xlfn.XLOOKUP(1,(--($X$2:$X$1074=X800))*(--ISNUMBER(MATCH($H$2:$H$1074,Sheet1!$G:$G,0))),_xlfn.XLOOKUP($H$2:$H$1074,Sheet1!$G:$G,Sheet1!$F:$F,"")),"NOT FOUND"))</f>
        <v>0</v>
      </c>
      <c r="AF800" s="9" t="str">
        <f t="shared" si="52"/>
        <v/>
      </c>
      <c r="AG800" s="10" t="str">
        <f t="shared" si="53"/>
        <v/>
      </c>
      <c r="AH800" s="8" t="str" cm="1">
        <f t="array" ref="AH800">IF(OR(J800="",AE800="",AE800="NOT FOUND"),"",IF(Y800="RP",_xlfn.LET(_xlpm.desc,_xlfn.XLOOKUP(1,(--(Sheet1!$F$2:$F$754=AE800))*(--ISNUMBER(FIND("-",Sheet1!$W$2:$W$754,FIND("-",Sheet1!$W$2:$W$754)+1))),Sheet1!$W$2:$W$754,""),IF(_xlpm.desc="","NOT FOUND",LEFT(_xlpm.desc,FIND("-",_xlpm.desc,FIND("-",_xlpm.desc)+1))&amp;AE800)),LEFT(J800,FIND("-",J800,FIND("-",J800)+1))&amp;AE800))</f>
        <v/>
      </c>
    </row>
    <row r="801" spans="1:34" ht="15.75" customHeight="1" x14ac:dyDescent="0.2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 s="6" t="e">
        <f t="shared" si="45"/>
        <v>#VALUE!</v>
      </c>
      <c r="Y801" s="7" t="str">
        <f t="shared" si="46"/>
        <v>DC</v>
      </c>
      <c r="Z801" s="7">
        <f t="shared" si="47"/>
        <v>0</v>
      </c>
      <c r="AA801" s="7">
        <f t="shared" si="48"/>
        <v>0</v>
      </c>
      <c r="AB801" s="7">
        <f t="shared" si="49"/>
        <v>0</v>
      </c>
      <c r="AC801" s="7">
        <f t="shared" si="50"/>
        <v>0</v>
      </c>
      <c r="AD801" s="7">
        <f t="shared" si="51"/>
        <v>0</v>
      </c>
      <c r="AE801" s="8" cm="1">
        <f t="array" ref="AE801">IFERROR(_xlfn.XLOOKUP(H801,Sheet1!$G:$G,Sheet1!$F:$F),IFERROR(_xlfn.XLOOKUP(1,(--($X$2:$X$1074=X801))*(--ISNUMBER(MATCH($H$2:$H$1074,Sheet1!$G:$G,0))),_xlfn.XLOOKUP($H$2:$H$1074,Sheet1!$G:$G,Sheet1!$F:$F,"")),"NOT FOUND"))</f>
        <v>0</v>
      </c>
      <c r="AF801" s="9" t="str">
        <f t="shared" si="52"/>
        <v/>
      </c>
      <c r="AG801" s="10" t="str">
        <f t="shared" si="53"/>
        <v/>
      </c>
      <c r="AH801" s="8" t="str" cm="1">
        <f t="array" ref="AH801">IF(OR(J801="",AE801="",AE801="NOT FOUND"),"",IF(Y801="RP",_xlfn.LET(_xlpm.desc,_xlfn.XLOOKUP(1,(--(Sheet1!$F$2:$F$754=AE801))*(--ISNUMBER(FIND("-",Sheet1!$W$2:$W$754,FIND("-",Sheet1!$W$2:$W$754)+1))),Sheet1!$W$2:$W$754,""),IF(_xlpm.desc="","NOT FOUND",LEFT(_xlpm.desc,FIND("-",_xlpm.desc,FIND("-",_xlpm.desc)+1))&amp;AE801)),LEFT(J801,FIND("-",J801,FIND("-",J801)+1))&amp;AE801))</f>
        <v/>
      </c>
    </row>
    <row r="802" spans="1:34" ht="15.75" customHeight="1" x14ac:dyDescent="0.2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 s="6" t="e">
        <f t="shared" si="45"/>
        <v>#VALUE!</v>
      </c>
      <c r="Y802" s="7" t="str">
        <f t="shared" si="46"/>
        <v>DC</v>
      </c>
      <c r="Z802" s="7">
        <f t="shared" si="47"/>
        <v>0</v>
      </c>
      <c r="AA802" s="7">
        <f t="shared" si="48"/>
        <v>0</v>
      </c>
      <c r="AB802" s="7">
        <f t="shared" si="49"/>
        <v>0</v>
      </c>
      <c r="AC802" s="7">
        <f t="shared" si="50"/>
        <v>0</v>
      </c>
      <c r="AD802" s="7">
        <f t="shared" si="51"/>
        <v>0</v>
      </c>
      <c r="AE802" s="8" cm="1">
        <f t="array" ref="AE802">IFERROR(_xlfn.XLOOKUP(H802,Sheet1!$G:$G,Sheet1!$F:$F),IFERROR(_xlfn.XLOOKUP(1,(--($X$2:$X$1074=X802))*(--ISNUMBER(MATCH($H$2:$H$1074,Sheet1!$G:$G,0))),_xlfn.XLOOKUP($H$2:$H$1074,Sheet1!$G:$G,Sheet1!$F:$F,"")),"NOT FOUND"))</f>
        <v>0</v>
      </c>
      <c r="AF802" s="9" t="str">
        <f t="shared" si="52"/>
        <v/>
      </c>
      <c r="AG802" s="10" t="str">
        <f t="shared" si="53"/>
        <v/>
      </c>
      <c r="AH802" s="8" t="str" cm="1">
        <f t="array" ref="AH802">IF(OR(J802="",AE802="",AE802="NOT FOUND"),"",IF(Y802="RP",_xlfn.LET(_xlpm.desc,_xlfn.XLOOKUP(1,(--(Sheet1!$F$2:$F$754=AE802))*(--ISNUMBER(FIND("-",Sheet1!$W$2:$W$754,FIND("-",Sheet1!$W$2:$W$754)+1))),Sheet1!$W$2:$W$754,""),IF(_xlpm.desc="","NOT FOUND",LEFT(_xlpm.desc,FIND("-",_xlpm.desc,FIND("-",_xlpm.desc)+1))&amp;AE802)),LEFT(J802,FIND("-",J802,FIND("-",J802)+1))&amp;AE802))</f>
        <v/>
      </c>
    </row>
    <row r="803" spans="1:34" ht="15.75" customHeight="1" x14ac:dyDescent="0.2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 s="6" t="e">
        <f t="shared" si="45"/>
        <v>#VALUE!</v>
      </c>
      <c r="Y803" s="7" t="str">
        <f t="shared" si="46"/>
        <v>DC</v>
      </c>
      <c r="Z803" s="7">
        <f t="shared" si="47"/>
        <v>0</v>
      </c>
      <c r="AA803" s="7">
        <f t="shared" si="48"/>
        <v>0</v>
      </c>
      <c r="AB803" s="7">
        <f t="shared" si="49"/>
        <v>0</v>
      </c>
      <c r="AC803" s="7">
        <f t="shared" si="50"/>
        <v>0</v>
      </c>
      <c r="AD803" s="7">
        <f t="shared" si="51"/>
        <v>0</v>
      </c>
      <c r="AE803" s="8" cm="1">
        <f t="array" ref="AE803">IFERROR(_xlfn.XLOOKUP(H803,Sheet1!$G:$G,Sheet1!$F:$F),IFERROR(_xlfn.XLOOKUP(1,(--($X$2:$X$1074=X803))*(--ISNUMBER(MATCH($H$2:$H$1074,Sheet1!$G:$G,0))),_xlfn.XLOOKUP($H$2:$H$1074,Sheet1!$G:$G,Sheet1!$F:$F,"")),"NOT FOUND"))</f>
        <v>0</v>
      </c>
      <c r="AF803" s="9" t="str">
        <f t="shared" si="52"/>
        <v/>
      </c>
      <c r="AG803" s="10" t="str">
        <f t="shared" si="53"/>
        <v/>
      </c>
      <c r="AH803" s="8" t="str" cm="1">
        <f t="array" ref="AH803">IF(OR(J803="",AE803="",AE803="NOT FOUND"),"",IF(Y803="RP",_xlfn.LET(_xlpm.desc,_xlfn.XLOOKUP(1,(--(Sheet1!$F$2:$F$754=AE803))*(--ISNUMBER(FIND("-",Sheet1!$W$2:$W$754,FIND("-",Sheet1!$W$2:$W$754)+1))),Sheet1!$W$2:$W$754,""),IF(_xlpm.desc="","NOT FOUND",LEFT(_xlpm.desc,FIND("-",_xlpm.desc,FIND("-",_xlpm.desc)+1))&amp;AE803)),LEFT(J803,FIND("-",J803,FIND("-",J803)+1))&amp;AE803))</f>
        <v/>
      </c>
    </row>
    <row r="804" spans="1:34" ht="15.75" customHeight="1" x14ac:dyDescent="0.2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 s="6" t="e">
        <f t="shared" si="45"/>
        <v>#VALUE!</v>
      </c>
      <c r="Y804" s="7" t="str">
        <f t="shared" si="46"/>
        <v>DC</v>
      </c>
      <c r="Z804" s="7">
        <f t="shared" si="47"/>
        <v>0</v>
      </c>
      <c r="AA804" s="7">
        <f t="shared" si="48"/>
        <v>0</v>
      </c>
      <c r="AB804" s="7">
        <f t="shared" si="49"/>
        <v>0</v>
      </c>
      <c r="AC804" s="7">
        <f t="shared" si="50"/>
        <v>0</v>
      </c>
      <c r="AD804" s="7">
        <f t="shared" si="51"/>
        <v>0</v>
      </c>
      <c r="AE804" s="8" cm="1">
        <f t="array" ref="AE804">IFERROR(_xlfn.XLOOKUP(H804,Sheet1!$G:$G,Sheet1!$F:$F),IFERROR(_xlfn.XLOOKUP(1,(--($X$2:$X$1074=X804))*(--ISNUMBER(MATCH($H$2:$H$1074,Sheet1!$G:$G,0))),_xlfn.XLOOKUP($H$2:$H$1074,Sheet1!$G:$G,Sheet1!$F:$F,"")),"NOT FOUND"))</f>
        <v>0</v>
      </c>
      <c r="AF804" s="9" t="str">
        <f t="shared" si="52"/>
        <v/>
      </c>
      <c r="AG804" s="10" t="str">
        <f t="shared" si="53"/>
        <v/>
      </c>
      <c r="AH804" s="8" t="str" cm="1">
        <f t="array" ref="AH804">IF(OR(J804="",AE804="",AE804="NOT FOUND"),"",IF(Y804="RP",_xlfn.LET(_xlpm.desc,_xlfn.XLOOKUP(1,(--(Sheet1!$F$2:$F$754=AE804))*(--ISNUMBER(FIND("-",Sheet1!$W$2:$W$754,FIND("-",Sheet1!$W$2:$W$754)+1))),Sheet1!$W$2:$W$754,""),IF(_xlpm.desc="","NOT FOUND",LEFT(_xlpm.desc,FIND("-",_xlpm.desc,FIND("-",_xlpm.desc)+1))&amp;AE804)),LEFT(J804,FIND("-",J804,FIND("-",J804)+1))&amp;AE804))</f>
        <v/>
      </c>
    </row>
    <row r="805" spans="1:34" ht="15.75" customHeight="1" x14ac:dyDescent="0.2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 s="6" t="e">
        <f t="shared" si="45"/>
        <v>#VALUE!</v>
      </c>
      <c r="Y805" s="7" t="str">
        <f t="shared" si="46"/>
        <v>DC</v>
      </c>
      <c r="Z805" s="7">
        <f t="shared" si="47"/>
        <v>0</v>
      </c>
      <c r="AA805" s="7">
        <f t="shared" si="48"/>
        <v>0</v>
      </c>
      <c r="AB805" s="7">
        <f t="shared" si="49"/>
        <v>0</v>
      </c>
      <c r="AC805" s="7">
        <f t="shared" si="50"/>
        <v>0</v>
      </c>
      <c r="AD805" s="7">
        <f t="shared" si="51"/>
        <v>0</v>
      </c>
      <c r="AE805" s="8" cm="1">
        <f t="array" ref="AE805">IFERROR(_xlfn.XLOOKUP(H805,Sheet1!$G:$G,Sheet1!$F:$F),IFERROR(_xlfn.XLOOKUP(1,(--($X$2:$X$1074=X805))*(--ISNUMBER(MATCH($H$2:$H$1074,Sheet1!$G:$G,0))),_xlfn.XLOOKUP($H$2:$H$1074,Sheet1!$G:$G,Sheet1!$F:$F,"")),"NOT FOUND"))</f>
        <v>0</v>
      </c>
      <c r="AF805" s="9" t="str">
        <f t="shared" si="52"/>
        <v/>
      </c>
      <c r="AG805" s="10" t="str">
        <f t="shared" si="53"/>
        <v/>
      </c>
      <c r="AH805" s="8" t="str" cm="1">
        <f t="array" ref="AH805">IF(OR(J805="",AE805="",AE805="NOT FOUND"),"",IF(Y805="RP",_xlfn.LET(_xlpm.desc,_xlfn.XLOOKUP(1,(--(Sheet1!$F$2:$F$754=AE805))*(--ISNUMBER(FIND("-",Sheet1!$W$2:$W$754,FIND("-",Sheet1!$W$2:$W$754)+1))),Sheet1!$W$2:$W$754,""),IF(_xlpm.desc="","NOT FOUND",LEFT(_xlpm.desc,FIND("-",_xlpm.desc,FIND("-",_xlpm.desc)+1))&amp;AE805)),LEFT(J805,FIND("-",J805,FIND("-",J805)+1))&amp;AE805))</f>
        <v/>
      </c>
    </row>
    <row r="806" spans="1:34" ht="15.75" customHeight="1" x14ac:dyDescent="0.2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 s="6" t="e">
        <f t="shared" si="45"/>
        <v>#VALUE!</v>
      </c>
      <c r="Y806" s="7" t="str">
        <f t="shared" si="46"/>
        <v>DC</v>
      </c>
      <c r="Z806" s="7">
        <f t="shared" si="47"/>
        <v>0</v>
      </c>
      <c r="AA806" s="7">
        <f t="shared" si="48"/>
        <v>0</v>
      </c>
      <c r="AB806" s="7">
        <f t="shared" si="49"/>
        <v>0</v>
      </c>
      <c r="AC806" s="7">
        <f t="shared" si="50"/>
        <v>0</v>
      </c>
      <c r="AD806" s="7">
        <f t="shared" si="51"/>
        <v>0</v>
      </c>
      <c r="AE806" s="8" cm="1">
        <f t="array" ref="AE806">IFERROR(_xlfn.XLOOKUP(H806,Sheet1!$G:$G,Sheet1!$F:$F),IFERROR(_xlfn.XLOOKUP(1,(--($X$2:$X$1074=X806))*(--ISNUMBER(MATCH($H$2:$H$1074,Sheet1!$G:$G,0))),_xlfn.XLOOKUP($H$2:$H$1074,Sheet1!$G:$G,Sheet1!$F:$F,"")),"NOT FOUND"))</f>
        <v>0</v>
      </c>
      <c r="AF806" s="9" t="str">
        <f t="shared" si="52"/>
        <v/>
      </c>
      <c r="AG806" s="10" t="str">
        <f t="shared" si="53"/>
        <v/>
      </c>
      <c r="AH806" s="8" t="str" cm="1">
        <f t="array" ref="AH806">IF(OR(J806="",AE806="",AE806="NOT FOUND"),"",IF(Y806="RP",_xlfn.LET(_xlpm.desc,_xlfn.XLOOKUP(1,(--(Sheet1!$F$2:$F$754=AE806))*(--ISNUMBER(FIND("-",Sheet1!$W$2:$W$754,FIND("-",Sheet1!$W$2:$W$754)+1))),Sheet1!$W$2:$W$754,""),IF(_xlpm.desc="","NOT FOUND",LEFT(_xlpm.desc,FIND("-",_xlpm.desc,FIND("-",_xlpm.desc)+1))&amp;AE806)),LEFT(J806,FIND("-",J806,FIND("-",J806)+1))&amp;AE806))</f>
        <v/>
      </c>
    </row>
    <row r="807" spans="1:34" ht="15.75" customHeight="1" x14ac:dyDescent="0.2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 s="6" t="e">
        <f t="shared" si="45"/>
        <v>#VALUE!</v>
      </c>
      <c r="Y807" s="7" t="str">
        <f t="shared" si="46"/>
        <v>DC</v>
      </c>
      <c r="Z807" s="7">
        <f t="shared" si="47"/>
        <v>0</v>
      </c>
      <c r="AA807" s="7">
        <f t="shared" si="48"/>
        <v>0</v>
      </c>
      <c r="AB807" s="7">
        <f t="shared" si="49"/>
        <v>0</v>
      </c>
      <c r="AC807" s="7">
        <f t="shared" si="50"/>
        <v>0</v>
      </c>
      <c r="AD807" s="7">
        <f t="shared" si="51"/>
        <v>0</v>
      </c>
      <c r="AE807" s="8" cm="1">
        <f t="array" ref="AE807">IFERROR(_xlfn.XLOOKUP(H807,Sheet1!$G:$G,Sheet1!$F:$F),IFERROR(_xlfn.XLOOKUP(1,(--($X$2:$X$1074=X807))*(--ISNUMBER(MATCH($H$2:$H$1074,Sheet1!$G:$G,0))),_xlfn.XLOOKUP($H$2:$H$1074,Sheet1!$G:$G,Sheet1!$F:$F,"")),"NOT FOUND"))</f>
        <v>0</v>
      </c>
      <c r="AF807" s="9" t="str">
        <f t="shared" si="52"/>
        <v/>
      </c>
      <c r="AG807" s="10" t="str">
        <f t="shared" si="53"/>
        <v/>
      </c>
      <c r="AH807" s="8" t="str" cm="1">
        <f t="array" ref="AH807">IF(OR(J807="",AE807="",AE807="NOT FOUND"),"",IF(Y807="RP",_xlfn.LET(_xlpm.desc,_xlfn.XLOOKUP(1,(--(Sheet1!$F$2:$F$754=AE807))*(--ISNUMBER(FIND("-",Sheet1!$W$2:$W$754,FIND("-",Sheet1!$W$2:$W$754)+1))),Sheet1!$W$2:$W$754,""),IF(_xlpm.desc="","NOT FOUND",LEFT(_xlpm.desc,FIND("-",_xlpm.desc,FIND("-",_xlpm.desc)+1))&amp;AE807)),LEFT(J807,FIND("-",J807,FIND("-",J807)+1))&amp;AE807))</f>
        <v/>
      </c>
    </row>
    <row r="808" spans="1:34" ht="15.75" customHeight="1" x14ac:dyDescent="0.2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 s="6" t="e">
        <f t="shared" si="45"/>
        <v>#VALUE!</v>
      </c>
      <c r="Y808" s="7" t="str">
        <f t="shared" si="46"/>
        <v>DC</v>
      </c>
      <c r="Z808" s="7">
        <f t="shared" si="47"/>
        <v>0</v>
      </c>
      <c r="AA808" s="7">
        <f t="shared" si="48"/>
        <v>0</v>
      </c>
      <c r="AB808" s="7">
        <f t="shared" si="49"/>
        <v>0</v>
      </c>
      <c r="AC808" s="7">
        <f t="shared" si="50"/>
        <v>0</v>
      </c>
      <c r="AD808" s="7">
        <f t="shared" si="51"/>
        <v>0</v>
      </c>
      <c r="AE808" s="8" cm="1">
        <f t="array" ref="AE808">IFERROR(_xlfn.XLOOKUP(H808,Sheet1!$G:$G,Sheet1!$F:$F),IFERROR(_xlfn.XLOOKUP(1,(--($X$2:$X$1074=X808))*(--ISNUMBER(MATCH($H$2:$H$1074,Sheet1!$G:$G,0))),_xlfn.XLOOKUP($H$2:$H$1074,Sheet1!$G:$G,Sheet1!$F:$F,"")),"NOT FOUND"))</f>
        <v>0</v>
      </c>
      <c r="AF808" s="9" t="str">
        <f t="shared" si="52"/>
        <v/>
      </c>
      <c r="AG808" s="10" t="str">
        <f t="shared" si="53"/>
        <v/>
      </c>
      <c r="AH808" s="8" t="str" cm="1">
        <f t="array" ref="AH808">IF(OR(J808="",AE808="",AE808="NOT FOUND"),"",IF(Y808="RP",_xlfn.LET(_xlpm.desc,_xlfn.XLOOKUP(1,(--(Sheet1!$F$2:$F$754=AE808))*(--ISNUMBER(FIND("-",Sheet1!$W$2:$W$754,FIND("-",Sheet1!$W$2:$W$754)+1))),Sheet1!$W$2:$W$754,""),IF(_xlpm.desc="","NOT FOUND",LEFT(_xlpm.desc,FIND("-",_xlpm.desc,FIND("-",_xlpm.desc)+1))&amp;AE808)),LEFT(J808,FIND("-",J808,FIND("-",J808)+1))&amp;AE808))</f>
        <v/>
      </c>
    </row>
    <row r="809" spans="1:34" ht="15.75" customHeight="1" x14ac:dyDescent="0.2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 s="6" t="e">
        <f t="shared" si="45"/>
        <v>#VALUE!</v>
      </c>
      <c r="Y809" s="7" t="str">
        <f t="shared" si="46"/>
        <v>DC</v>
      </c>
      <c r="Z809" s="7">
        <f t="shared" si="47"/>
        <v>0</v>
      </c>
      <c r="AA809" s="7">
        <f t="shared" si="48"/>
        <v>0</v>
      </c>
      <c r="AB809" s="7">
        <f t="shared" si="49"/>
        <v>0</v>
      </c>
      <c r="AC809" s="7">
        <f t="shared" si="50"/>
        <v>0</v>
      </c>
      <c r="AD809" s="7">
        <f t="shared" si="51"/>
        <v>0</v>
      </c>
      <c r="AE809" s="8" cm="1">
        <f t="array" ref="AE809">IFERROR(_xlfn.XLOOKUP(H809,Sheet1!$G:$G,Sheet1!$F:$F),IFERROR(_xlfn.XLOOKUP(1,(--($X$2:$X$1074=X809))*(--ISNUMBER(MATCH($H$2:$H$1074,Sheet1!$G:$G,0))),_xlfn.XLOOKUP($H$2:$H$1074,Sheet1!$G:$G,Sheet1!$F:$F,"")),"NOT FOUND"))</f>
        <v>0</v>
      </c>
      <c r="AF809" s="9" t="str">
        <f t="shared" si="52"/>
        <v/>
      </c>
      <c r="AG809" s="10" t="str">
        <f t="shared" si="53"/>
        <v/>
      </c>
      <c r="AH809" s="8" t="str" cm="1">
        <f t="array" ref="AH809">IF(OR(J809="",AE809="",AE809="NOT FOUND"),"",IF(Y809="RP",_xlfn.LET(_xlpm.desc,_xlfn.XLOOKUP(1,(--(Sheet1!$F$2:$F$754=AE809))*(--ISNUMBER(FIND("-",Sheet1!$W$2:$W$754,FIND("-",Sheet1!$W$2:$W$754)+1))),Sheet1!$W$2:$W$754,""),IF(_xlpm.desc="","NOT FOUND",LEFT(_xlpm.desc,FIND("-",_xlpm.desc,FIND("-",_xlpm.desc)+1))&amp;AE809)),LEFT(J809,FIND("-",J809,FIND("-",J809)+1))&amp;AE809))</f>
        <v/>
      </c>
    </row>
    <row r="810" spans="1:34" ht="15.75" customHeight="1" x14ac:dyDescent="0.2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 s="6" t="e">
        <f t="shared" si="45"/>
        <v>#VALUE!</v>
      </c>
      <c r="Y810" s="7" t="str">
        <f t="shared" si="46"/>
        <v>DC</v>
      </c>
      <c r="Z810" s="7">
        <f t="shared" si="47"/>
        <v>0</v>
      </c>
      <c r="AA810" s="7">
        <f t="shared" si="48"/>
        <v>0</v>
      </c>
      <c r="AB810" s="7">
        <f t="shared" si="49"/>
        <v>0</v>
      </c>
      <c r="AC810" s="7">
        <f t="shared" si="50"/>
        <v>0</v>
      </c>
      <c r="AD810" s="7">
        <f t="shared" si="51"/>
        <v>0</v>
      </c>
      <c r="AE810" s="8" cm="1">
        <f t="array" ref="AE810">IFERROR(_xlfn.XLOOKUP(H810,Sheet1!$G:$G,Sheet1!$F:$F),IFERROR(_xlfn.XLOOKUP(1,(--($X$2:$X$1074=X810))*(--ISNUMBER(MATCH($H$2:$H$1074,Sheet1!$G:$G,0))),_xlfn.XLOOKUP($H$2:$H$1074,Sheet1!$G:$G,Sheet1!$F:$F,"")),"NOT FOUND"))</f>
        <v>0</v>
      </c>
      <c r="AF810" s="9" t="str">
        <f t="shared" si="52"/>
        <v/>
      </c>
      <c r="AG810" s="10" t="str">
        <f t="shared" si="53"/>
        <v/>
      </c>
      <c r="AH810" s="8" t="str" cm="1">
        <f t="array" ref="AH810">IF(OR(J810="",AE810="",AE810="NOT FOUND"),"",IF(Y810="RP",_xlfn.LET(_xlpm.desc,_xlfn.XLOOKUP(1,(--(Sheet1!$F$2:$F$754=AE810))*(--ISNUMBER(FIND("-",Sheet1!$W$2:$W$754,FIND("-",Sheet1!$W$2:$W$754)+1))),Sheet1!$W$2:$W$754,""),IF(_xlpm.desc="","NOT FOUND",LEFT(_xlpm.desc,FIND("-",_xlpm.desc,FIND("-",_xlpm.desc)+1))&amp;AE810)),LEFT(J810,FIND("-",J810,FIND("-",J810)+1))&amp;AE810))</f>
        <v/>
      </c>
    </row>
    <row r="811" spans="1:34" ht="15.75" customHeight="1" x14ac:dyDescent="0.2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 s="6" t="e">
        <f t="shared" si="45"/>
        <v>#VALUE!</v>
      </c>
      <c r="Y811" s="7" t="str">
        <f t="shared" si="46"/>
        <v>DC</v>
      </c>
      <c r="Z811" s="7">
        <f t="shared" si="47"/>
        <v>0</v>
      </c>
      <c r="AA811" s="7">
        <f t="shared" si="48"/>
        <v>0</v>
      </c>
      <c r="AB811" s="7">
        <f t="shared" si="49"/>
        <v>0</v>
      </c>
      <c r="AC811" s="7">
        <f t="shared" si="50"/>
        <v>0</v>
      </c>
      <c r="AD811" s="7">
        <f t="shared" si="51"/>
        <v>0</v>
      </c>
      <c r="AE811" s="8" cm="1">
        <f t="array" ref="AE811">IFERROR(_xlfn.XLOOKUP(H811,Sheet1!$G:$G,Sheet1!$F:$F),IFERROR(_xlfn.XLOOKUP(1,(--($X$2:$X$1074=X811))*(--ISNUMBER(MATCH($H$2:$H$1074,Sheet1!$G:$G,0))),_xlfn.XLOOKUP($H$2:$H$1074,Sheet1!$G:$G,Sheet1!$F:$F,"")),"NOT FOUND"))</f>
        <v>0</v>
      </c>
      <c r="AF811" s="9" t="str">
        <f t="shared" si="52"/>
        <v/>
      </c>
      <c r="AG811" s="10" t="str">
        <f t="shared" si="53"/>
        <v/>
      </c>
      <c r="AH811" s="8" t="str" cm="1">
        <f t="array" ref="AH811">IF(OR(J811="",AE811="",AE811="NOT FOUND"),"",IF(Y811="RP",_xlfn.LET(_xlpm.desc,_xlfn.XLOOKUP(1,(--(Sheet1!$F$2:$F$754=AE811))*(--ISNUMBER(FIND("-",Sheet1!$W$2:$W$754,FIND("-",Sheet1!$W$2:$W$754)+1))),Sheet1!$W$2:$W$754,""),IF(_xlpm.desc="","NOT FOUND",LEFT(_xlpm.desc,FIND("-",_xlpm.desc,FIND("-",_xlpm.desc)+1))&amp;AE811)),LEFT(J811,FIND("-",J811,FIND("-",J811)+1))&amp;AE811))</f>
        <v/>
      </c>
    </row>
    <row r="812" spans="1:34" ht="15.75" customHeight="1" x14ac:dyDescent="0.2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 s="6" t="e">
        <f t="shared" si="45"/>
        <v>#VALUE!</v>
      </c>
      <c r="Y812" s="7" t="str">
        <f t="shared" si="46"/>
        <v>DC</v>
      </c>
      <c r="Z812" s="7">
        <f t="shared" si="47"/>
        <v>0</v>
      </c>
      <c r="AA812" s="7">
        <f t="shared" si="48"/>
        <v>0</v>
      </c>
      <c r="AB812" s="7">
        <f t="shared" si="49"/>
        <v>0</v>
      </c>
      <c r="AC812" s="7">
        <f t="shared" si="50"/>
        <v>0</v>
      </c>
      <c r="AD812" s="7">
        <f t="shared" si="51"/>
        <v>0</v>
      </c>
      <c r="AE812" s="8" cm="1">
        <f t="array" ref="AE812">IFERROR(_xlfn.XLOOKUP(H812,Sheet1!$G:$G,Sheet1!$F:$F),IFERROR(_xlfn.XLOOKUP(1,(--($X$2:$X$1074=X812))*(--ISNUMBER(MATCH($H$2:$H$1074,Sheet1!$G:$G,0))),_xlfn.XLOOKUP($H$2:$H$1074,Sheet1!$G:$G,Sheet1!$F:$F,"")),"NOT FOUND"))</f>
        <v>0</v>
      </c>
      <c r="AF812" s="9" t="str">
        <f t="shared" si="52"/>
        <v/>
      </c>
      <c r="AG812" s="10" t="str">
        <f t="shared" si="53"/>
        <v/>
      </c>
      <c r="AH812" s="8" t="str" cm="1">
        <f t="array" ref="AH812">IF(OR(J812="",AE812="",AE812="NOT FOUND"),"",IF(Y812="RP",_xlfn.LET(_xlpm.desc,_xlfn.XLOOKUP(1,(--(Sheet1!$F$2:$F$754=AE812))*(--ISNUMBER(FIND("-",Sheet1!$W$2:$W$754,FIND("-",Sheet1!$W$2:$W$754)+1))),Sheet1!$W$2:$W$754,""),IF(_xlpm.desc="","NOT FOUND",LEFT(_xlpm.desc,FIND("-",_xlpm.desc,FIND("-",_xlpm.desc)+1))&amp;AE812)),LEFT(J812,FIND("-",J812,FIND("-",J812)+1))&amp;AE812))</f>
        <v/>
      </c>
    </row>
    <row r="813" spans="1:34" ht="15.75" customHeight="1" x14ac:dyDescent="0.2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 s="6" t="e">
        <f t="shared" si="45"/>
        <v>#VALUE!</v>
      </c>
      <c r="Y813" s="7" t="str">
        <f t="shared" si="46"/>
        <v>DC</v>
      </c>
      <c r="Z813" s="7">
        <f t="shared" si="47"/>
        <v>0</v>
      </c>
      <c r="AA813" s="7">
        <f t="shared" si="48"/>
        <v>0</v>
      </c>
      <c r="AB813" s="7">
        <f t="shared" si="49"/>
        <v>0</v>
      </c>
      <c r="AC813" s="7">
        <f t="shared" si="50"/>
        <v>0</v>
      </c>
      <c r="AD813" s="7">
        <f t="shared" si="51"/>
        <v>0</v>
      </c>
      <c r="AE813" s="8" cm="1">
        <f t="array" ref="AE813">IFERROR(_xlfn.XLOOKUP(H813,Sheet1!$G:$G,Sheet1!$F:$F),IFERROR(_xlfn.XLOOKUP(1,(--($X$2:$X$1074=X813))*(--ISNUMBER(MATCH($H$2:$H$1074,Sheet1!$G:$G,0))),_xlfn.XLOOKUP($H$2:$H$1074,Sheet1!$G:$G,Sheet1!$F:$F,"")),"NOT FOUND"))</f>
        <v>0</v>
      </c>
      <c r="AF813" s="9" t="str">
        <f t="shared" si="52"/>
        <v/>
      </c>
      <c r="AG813" s="10" t="str">
        <f t="shared" si="53"/>
        <v/>
      </c>
      <c r="AH813" s="8" t="str" cm="1">
        <f t="array" ref="AH813">IF(OR(J813="",AE813="",AE813="NOT FOUND"),"",IF(Y813="RP",_xlfn.LET(_xlpm.desc,_xlfn.XLOOKUP(1,(--(Sheet1!$F$2:$F$754=AE813))*(--ISNUMBER(FIND("-",Sheet1!$W$2:$W$754,FIND("-",Sheet1!$W$2:$W$754)+1))),Sheet1!$W$2:$W$754,""),IF(_xlpm.desc="","NOT FOUND",LEFT(_xlpm.desc,FIND("-",_xlpm.desc,FIND("-",_xlpm.desc)+1))&amp;AE813)),LEFT(J813,FIND("-",J813,FIND("-",J813)+1))&amp;AE813))</f>
        <v/>
      </c>
    </row>
    <row r="814" spans="1:34" ht="15.75" customHeight="1" x14ac:dyDescent="0.2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 s="6" t="e">
        <f t="shared" si="45"/>
        <v>#VALUE!</v>
      </c>
      <c r="Y814" s="7" t="str">
        <f t="shared" si="46"/>
        <v>DC</v>
      </c>
      <c r="Z814" s="7">
        <f t="shared" si="47"/>
        <v>0</v>
      </c>
      <c r="AA814" s="7">
        <f t="shared" si="48"/>
        <v>0</v>
      </c>
      <c r="AB814" s="7">
        <f t="shared" si="49"/>
        <v>0</v>
      </c>
      <c r="AC814" s="7">
        <f t="shared" si="50"/>
        <v>0</v>
      </c>
      <c r="AD814" s="7">
        <f t="shared" si="51"/>
        <v>0</v>
      </c>
      <c r="AE814" s="8" cm="1">
        <f t="array" ref="AE814">IFERROR(_xlfn.XLOOKUP(H814,Sheet1!$G:$G,Sheet1!$F:$F),IFERROR(_xlfn.XLOOKUP(1,(--($X$2:$X$1074=X814))*(--ISNUMBER(MATCH($H$2:$H$1074,Sheet1!$G:$G,0))),_xlfn.XLOOKUP($H$2:$H$1074,Sheet1!$G:$G,Sheet1!$F:$F,"")),"NOT FOUND"))</f>
        <v>0</v>
      </c>
      <c r="AF814" s="9" t="str">
        <f t="shared" si="52"/>
        <v/>
      </c>
      <c r="AG814" s="10" t="str">
        <f t="shared" si="53"/>
        <v/>
      </c>
      <c r="AH814" s="8" t="str" cm="1">
        <f t="array" ref="AH814">IF(OR(J814="",AE814="",AE814="NOT FOUND"),"",IF(Y814="RP",_xlfn.LET(_xlpm.desc,_xlfn.XLOOKUP(1,(--(Sheet1!$F$2:$F$754=AE814))*(--ISNUMBER(FIND("-",Sheet1!$W$2:$W$754,FIND("-",Sheet1!$W$2:$W$754)+1))),Sheet1!$W$2:$W$754,""),IF(_xlpm.desc="","NOT FOUND",LEFT(_xlpm.desc,FIND("-",_xlpm.desc,FIND("-",_xlpm.desc)+1))&amp;AE814)),LEFT(J814,FIND("-",J814,FIND("-",J814)+1))&amp;AE814))</f>
        <v/>
      </c>
    </row>
    <row r="815" spans="1:34" ht="15.75" customHeight="1" x14ac:dyDescent="0.2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 s="6" t="e">
        <f t="shared" si="45"/>
        <v>#VALUE!</v>
      </c>
      <c r="Y815" s="7" t="str">
        <f t="shared" si="46"/>
        <v>DC</v>
      </c>
      <c r="Z815" s="7">
        <f t="shared" si="47"/>
        <v>0</v>
      </c>
      <c r="AA815" s="7">
        <f t="shared" si="48"/>
        <v>0</v>
      </c>
      <c r="AB815" s="7">
        <f t="shared" si="49"/>
        <v>0</v>
      </c>
      <c r="AC815" s="7">
        <f t="shared" si="50"/>
        <v>0</v>
      </c>
      <c r="AD815" s="7">
        <f t="shared" si="51"/>
        <v>0</v>
      </c>
      <c r="AE815" s="8" cm="1">
        <f t="array" ref="AE815">IFERROR(_xlfn.XLOOKUP(H815,Sheet1!$G:$G,Sheet1!$F:$F),IFERROR(_xlfn.XLOOKUP(1,(--($X$2:$X$1074=X815))*(--ISNUMBER(MATCH($H$2:$H$1074,Sheet1!$G:$G,0))),_xlfn.XLOOKUP($H$2:$H$1074,Sheet1!$G:$G,Sheet1!$F:$F,"")),"NOT FOUND"))</f>
        <v>0</v>
      </c>
      <c r="AF815" s="9" t="str">
        <f t="shared" si="52"/>
        <v/>
      </c>
      <c r="AG815" s="10" t="str">
        <f t="shared" si="53"/>
        <v/>
      </c>
      <c r="AH815" s="8" t="str" cm="1">
        <f t="array" ref="AH815">IF(OR(J815="",AE815="",AE815="NOT FOUND"),"",IF(Y815="RP",_xlfn.LET(_xlpm.desc,_xlfn.XLOOKUP(1,(--(Sheet1!$F$2:$F$754=AE815))*(--ISNUMBER(FIND("-",Sheet1!$W$2:$W$754,FIND("-",Sheet1!$W$2:$W$754)+1))),Sheet1!$W$2:$W$754,""),IF(_xlpm.desc="","NOT FOUND",LEFT(_xlpm.desc,FIND("-",_xlpm.desc,FIND("-",_xlpm.desc)+1))&amp;AE815)),LEFT(J815,FIND("-",J815,FIND("-",J815)+1))&amp;AE815))</f>
        <v/>
      </c>
    </row>
    <row r="816" spans="1:34" ht="15.75" customHeight="1" x14ac:dyDescent="0.2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 s="6" t="e">
        <f t="shared" si="45"/>
        <v>#VALUE!</v>
      </c>
      <c r="Y816" s="7" t="str">
        <f t="shared" si="46"/>
        <v>DC</v>
      </c>
      <c r="Z816" s="7">
        <f t="shared" si="47"/>
        <v>0</v>
      </c>
      <c r="AA816" s="7">
        <f t="shared" si="48"/>
        <v>0</v>
      </c>
      <c r="AB816" s="7">
        <f t="shared" si="49"/>
        <v>0</v>
      </c>
      <c r="AC816" s="7">
        <f t="shared" si="50"/>
        <v>0</v>
      </c>
      <c r="AD816" s="7">
        <f t="shared" si="51"/>
        <v>0</v>
      </c>
      <c r="AE816" s="8" cm="1">
        <f t="array" ref="AE816">IFERROR(_xlfn.XLOOKUP(H816,Sheet1!$G:$G,Sheet1!$F:$F),IFERROR(_xlfn.XLOOKUP(1,(--($X$2:$X$1074=X816))*(--ISNUMBER(MATCH($H$2:$H$1074,Sheet1!$G:$G,0))),_xlfn.XLOOKUP($H$2:$H$1074,Sheet1!$G:$G,Sheet1!$F:$F,"")),"NOT FOUND"))</f>
        <v>0</v>
      </c>
      <c r="AF816" s="9" t="str">
        <f t="shared" si="52"/>
        <v/>
      </c>
      <c r="AG816" s="10" t="str">
        <f t="shared" si="53"/>
        <v/>
      </c>
      <c r="AH816" s="8" t="str" cm="1">
        <f t="array" ref="AH816">IF(OR(J816="",AE816="",AE816="NOT FOUND"),"",IF(Y816="RP",_xlfn.LET(_xlpm.desc,_xlfn.XLOOKUP(1,(--(Sheet1!$F$2:$F$754=AE816))*(--ISNUMBER(FIND("-",Sheet1!$W$2:$W$754,FIND("-",Sheet1!$W$2:$W$754)+1))),Sheet1!$W$2:$W$754,""),IF(_xlpm.desc="","NOT FOUND",LEFT(_xlpm.desc,FIND("-",_xlpm.desc,FIND("-",_xlpm.desc)+1))&amp;AE816)),LEFT(J816,FIND("-",J816,FIND("-",J816)+1))&amp;AE816))</f>
        <v/>
      </c>
    </row>
    <row r="817" spans="1:34" ht="15.75" customHeight="1" x14ac:dyDescent="0.2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 s="6" t="e">
        <f t="shared" si="45"/>
        <v>#VALUE!</v>
      </c>
      <c r="Y817" s="7" t="str">
        <f t="shared" si="46"/>
        <v>DC</v>
      </c>
      <c r="Z817" s="7">
        <f t="shared" si="47"/>
        <v>0</v>
      </c>
      <c r="AA817" s="7">
        <f t="shared" si="48"/>
        <v>0</v>
      </c>
      <c r="AB817" s="7">
        <f t="shared" si="49"/>
        <v>0</v>
      </c>
      <c r="AC817" s="7">
        <f t="shared" si="50"/>
        <v>0</v>
      </c>
      <c r="AD817" s="7">
        <f t="shared" si="51"/>
        <v>0</v>
      </c>
      <c r="AE817" s="8" cm="1">
        <f t="array" ref="AE817">IFERROR(_xlfn.XLOOKUP(H817,Sheet1!$G:$G,Sheet1!$F:$F),IFERROR(_xlfn.XLOOKUP(1,(--($X$2:$X$1074=X817))*(--ISNUMBER(MATCH($H$2:$H$1074,Sheet1!$G:$G,0))),_xlfn.XLOOKUP($H$2:$H$1074,Sheet1!$G:$G,Sheet1!$F:$F,"")),"NOT FOUND"))</f>
        <v>0</v>
      </c>
      <c r="AF817" s="9" t="str">
        <f t="shared" si="52"/>
        <v/>
      </c>
      <c r="AG817" s="10" t="str">
        <f t="shared" si="53"/>
        <v/>
      </c>
      <c r="AH817" s="8" t="str" cm="1">
        <f t="array" ref="AH817">IF(OR(J817="",AE817="",AE817="NOT FOUND"),"",IF(Y817="RP",_xlfn.LET(_xlpm.desc,_xlfn.XLOOKUP(1,(--(Sheet1!$F$2:$F$754=AE817))*(--ISNUMBER(FIND("-",Sheet1!$W$2:$W$754,FIND("-",Sheet1!$W$2:$W$754)+1))),Sheet1!$W$2:$W$754,""),IF(_xlpm.desc="","NOT FOUND",LEFT(_xlpm.desc,FIND("-",_xlpm.desc,FIND("-",_xlpm.desc)+1))&amp;AE817)),LEFT(J817,FIND("-",J817,FIND("-",J817)+1))&amp;AE817))</f>
        <v/>
      </c>
    </row>
    <row r="818" spans="1:34" ht="15.75" customHeight="1" x14ac:dyDescent="0.2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 s="6" t="e">
        <f t="shared" si="45"/>
        <v>#VALUE!</v>
      </c>
      <c r="Y818" s="7" t="str">
        <f t="shared" si="46"/>
        <v>DC</v>
      </c>
      <c r="Z818" s="7">
        <f t="shared" si="47"/>
        <v>0</v>
      </c>
      <c r="AA818" s="7">
        <f t="shared" si="48"/>
        <v>0</v>
      </c>
      <c r="AB818" s="7">
        <f t="shared" si="49"/>
        <v>0</v>
      </c>
      <c r="AC818" s="7">
        <f t="shared" si="50"/>
        <v>0</v>
      </c>
      <c r="AD818" s="7">
        <f t="shared" si="51"/>
        <v>0</v>
      </c>
      <c r="AE818" s="8" cm="1">
        <f t="array" ref="AE818">IFERROR(_xlfn.XLOOKUP(H818,Sheet1!$G:$G,Sheet1!$F:$F),IFERROR(_xlfn.XLOOKUP(1,(--($X$2:$X$1074=X818))*(--ISNUMBER(MATCH($H$2:$H$1074,Sheet1!$G:$G,0))),_xlfn.XLOOKUP($H$2:$H$1074,Sheet1!$G:$G,Sheet1!$F:$F,"")),"NOT FOUND"))</f>
        <v>0</v>
      </c>
      <c r="AF818" s="9" t="str">
        <f t="shared" si="52"/>
        <v/>
      </c>
      <c r="AG818" s="10" t="str">
        <f t="shared" si="53"/>
        <v/>
      </c>
      <c r="AH818" s="8" t="str" cm="1">
        <f t="array" ref="AH818">IF(OR(J818="",AE818="",AE818="NOT FOUND"),"",IF(Y818="RP",_xlfn.LET(_xlpm.desc,_xlfn.XLOOKUP(1,(--(Sheet1!$F$2:$F$754=AE818))*(--ISNUMBER(FIND("-",Sheet1!$W$2:$W$754,FIND("-",Sheet1!$W$2:$W$754)+1))),Sheet1!$W$2:$W$754,""),IF(_xlpm.desc="","NOT FOUND",LEFT(_xlpm.desc,FIND("-",_xlpm.desc,FIND("-",_xlpm.desc)+1))&amp;AE818)),LEFT(J818,FIND("-",J818,FIND("-",J818)+1))&amp;AE818))</f>
        <v/>
      </c>
    </row>
    <row r="819" spans="1:34" ht="15.75" customHeight="1" x14ac:dyDescent="0.2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 s="6" t="e">
        <f t="shared" si="45"/>
        <v>#VALUE!</v>
      </c>
      <c r="Y819" s="7" t="str">
        <f t="shared" si="46"/>
        <v>DC</v>
      </c>
      <c r="Z819" s="7">
        <f t="shared" si="47"/>
        <v>0</v>
      </c>
      <c r="AA819" s="7">
        <f t="shared" si="48"/>
        <v>0</v>
      </c>
      <c r="AB819" s="7">
        <f t="shared" si="49"/>
        <v>0</v>
      </c>
      <c r="AC819" s="7">
        <f t="shared" si="50"/>
        <v>0</v>
      </c>
      <c r="AD819" s="7">
        <f t="shared" si="51"/>
        <v>0</v>
      </c>
      <c r="AE819" s="8" cm="1">
        <f t="array" ref="AE819">IFERROR(_xlfn.XLOOKUP(H819,Sheet1!$G:$G,Sheet1!$F:$F),IFERROR(_xlfn.XLOOKUP(1,(--($X$2:$X$1074=X819))*(--ISNUMBER(MATCH($H$2:$H$1074,Sheet1!$G:$G,0))),_xlfn.XLOOKUP($H$2:$H$1074,Sheet1!$G:$G,Sheet1!$F:$F,"")),"NOT FOUND"))</f>
        <v>0</v>
      </c>
      <c r="AF819" s="9" t="str">
        <f t="shared" si="52"/>
        <v/>
      </c>
      <c r="AG819" s="10" t="str">
        <f t="shared" si="53"/>
        <v/>
      </c>
      <c r="AH819" s="8" t="str" cm="1">
        <f t="array" ref="AH819">IF(OR(J819="",AE819="",AE819="NOT FOUND"),"",IF(Y819="RP",_xlfn.LET(_xlpm.desc,_xlfn.XLOOKUP(1,(--(Sheet1!$F$2:$F$754=AE819))*(--ISNUMBER(FIND("-",Sheet1!$W$2:$W$754,FIND("-",Sheet1!$W$2:$W$754)+1))),Sheet1!$W$2:$W$754,""),IF(_xlpm.desc="","NOT FOUND",LEFT(_xlpm.desc,FIND("-",_xlpm.desc,FIND("-",_xlpm.desc)+1))&amp;AE819)),LEFT(J819,FIND("-",J819,FIND("-",J819)+1))&amp;AE819))</f>
        <v/>
      </c>
    </row>
    <row r="820" spans="1:34" ht="15.75" customHeight="1" x14ac:dyDescent="0.2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 s="6" t="e">
        <f t="shared" si="45"/>
        <v>#VALUE!</v>
      </c>
      <c r="Y820" s="7" t="str">
        <f t="shared" si="46"/>
        <v>DC</v>
      </c>
      <c r="Z820" s="7">
        <f t="shared" si="47"/>
        <v>0</v>
      </c>
      <c r="AA820" s="7">
        <f t="shared" si="48"/>
        <v>0</v>
      </c>
      <c r="AB820" s="7">
        <f t="shared" si="49"/>
        <v>0</v>
      </c>
      <c r="AC820" s="7">
        <f t="shared" si="50"/>
        <v>0</v>
      </c>
      <c r="AD820" s="7">
        <f t="shared" si="51"/>
        <v>0</v>
      </c>
      <c r="AE820" s="8" cm="1">
        <f t="array" ref="AE820">IFERROR(_xlfn.XLOOKUP(H820,Sheet1!$G:$G,Sheet1!$F:$F),IFERROR(_xlfn.XLOOKUP(1,(--($X$2:$X$1074=X820))*(--ISNUMBER(MATCH($H$2:$H$1074,Sheet1!$G:$G,0))),_xlfn.XLOOKUP($H$2:$H$1074,Sheet1!$G:$G,Sheet1!$F:$F,"")),"NOT FOUND"))</f>
        <v>0</v>
      </c>
      <c r="AF820" s="9" t="str">
        <f t="shared" si="52"/>
        <v/>
      </c>
      <c r="AG820" s="10" t="str">
        <f t="shared" si="53"/>
        <v/>
      </c>
      <c r="AH820" s="8" t="str" cm="1">
        <f t="array" ref="AH820">IF(OR(J820="",AE820="",AE820="NOT FOUND"),"",IF(Y820="RP",_xlfn.LET(_xlpm.desc,_xlfn.XLOOKUP(1,(--(Sheet1!$F$2:$F$754=AE820))*(--ISNUMBER(FIND("-",Sheet1!$W$2:$W$754,FIND("-",Sheet1!$W$2:$W$754)+1))),Sheet1!$W$2:$W$754,""),IF(_xlpm.desc="","NOT FOUND",LEFT(_xlpm.desc,FIND("-",_xlpm.desc,FIND("-",_xlpm.desc)+1))&amp;AE820)),LEFT(J820,FIND("-",J820,FIND("-",J820)+1))&amp;AE820))</f>
        <v/>
      </c>
    </row>
    <row r="821" spans="1:34" ht="15.75" customHeight="1" x14ac:dyDescent="0.2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 s="6" t="e">
        <f t="shared" si="45"/>
        <v>#VALUE!</v>
      </c>
      <c r="Y821" s="7" t="str">
        <f t="shared" si="46"/>
        <v>DC</v>
      </c>
      <c r="Z821" s="7">
        <f t="shared" si="47"/>
        <v>0</v>
      </c>
      <c r="AA821" s="7">
        <f t="shared" si="48"/>
        <v>0</v>
      </c>
      <c r="AB821" s="7">
        <f t="shared" si="49"/>
        <v>0</v>
      </c>
      <c r="AC821" s="7">
        <f t="shared" si="50"/>
        <v>0</v>
      </c>
      <c r="AD821" s="7">
        <f t="shared" si="51"/>
        <v>0</v>
      </c>
      <c r="AE821" s="8" cm="1">
        <f t="array" ref="AE821">IFERROR(_xlfn.XLOOKUP(H821,Sheet1!$G:$G,Sheet1!$F:$F),IFERROR(_xlfn.XLOOKUP(1,(--($X$2:$X$1074=X821))*(--ISNUMBER(MATCH($H$2:$H$1074,Sheet1!$G:$G,0))),_xlfn.XLOOKUP($H$2:$H$1074,Sheet1!$G:$G,Sheet1!$F:$F,"")),"NOT FOUND"))</f>
        <v>0</v>
      </c>
      <c r="AF821" s="9" t="str">
        <f t="shared" si="52"/>
        <v/>
      </c>
      <c r="AG821" s="10" t="str">
        <f t="shared" si="53"/>
        <v/>
      </c>
      <c r="AH821" s="8" t="str" cm="1">
        <f t="array" ref="AH821">IF(OR(J821="",AE821="",AE821="NOT FOUND"),"",IF(Y821="RP",_xlfn.LET(_xlpm.desc,_xlfn.XLOOKUP(1,(--(Sheet1!$F$2:$F$754=AE821))*(--ISNUMBER(FIND("-",Sheet1!$W$2:$W$754,FIND("-",Sheet1!$W$2:$W$754)+1))),Sheet1!$W$2:$W$754,""),IF(_xlpm.desc="","NOT FOUND",LEFT(_xlpm.desc,FIND("-",_xlpm.desc,FIND("-",_xlpm.desc)+1))&amp;AE821)),LEFT(J821,FIND("-",J821,FIND("-",J821)+1))&amp;AE821))</f>
        <v/>
      </c>
    </row>
    <row r="822" spans="1:34" ht="15.75" customHeight="1" x14ac:dyDescent="0.2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 s="6" t="e">
        <f t="shared" si="45"/>
        <v>#VALUE!</v>
      </c>
      <c r="Y822" s="7" t="str">
        <f t="shared" si="46"/>
        <v>DC</v>
      </c>
      <c r="Z822" s="7">
        <f t="shared" si="47"/>
        <v>0</v>
      </c>
      <c r="AA822" s="7">
        <f t="shared" si="48"/>
        <v>0</v>
      </c>
      <c r="AB822" s="7">
        <f t="shared" si="49"/>
        <v>0</v>
      </c>
      <c r="AC822" s="7">
        <f t="shared" si="50"/>
        <v>0</v>
      </c>
      <c r="AD822" s="7">
        <f t="shared" si="51"/>
        <v>0</v>
      </c>
      <c r="AE822" s="8" cm="1">
        <f t="array" ref="AE822">IFERROR(_xlfn.XLOOKUP(H822,Sheet1!$G:$G,Sheet1!$F:$F),IFERROR(_xlfn.XLOOKUP(1,(--($X$2:$X$1074=X822))*(--ISNUMBER(MATCH($H$2:$H$1074,Sheet1!$G:$G,0))),_xlfn.XLOOKUP($H$2:$H$1074,Sheet1!$G:$G,Sheet1!$F:$F,"")),"NOT FOUND"))</f>
        <v>0</v>
      </c>
      <c r="AF822" s="9" t="str">
        <f t="shared" si="52"/>
        <v/>
      </c>
      <c r="AG822" s="10" t="str">
        <f t="shared" si="53"/>
        <v/>
      </c>
      <c r="AH822" s="8" t="str" cm="1">
        <f t="array" ref="AH822">IF(OR(J822="",AE822="",AE822="NOT FOUND"),"",IF(Y822="RP",_xlfn.LET(_xlpm.desc,_xlfn.XLOOKUP(1,(--(Sheet1!$F$2:$F$754=AE822))*(--ISNUMBER(FIND("-",Sheet1!$W$2:$W$754,FIND("-",Sheet1!$W$2:$W$754)+1))),Sheet1!$W$2:$W$754,""),IF(_xlpm.desc="","NOT FOUND",LEFT(_xlpm.desc,FIND("-",_xlpm.desc,FIND("-",_xlpm.desc)+1))&amp;AE822)),LEFT(J822,FIND("-",J822,FIND("-",J822)+1))&amp;AE822))</f>
        <v/>
      </c>
    </row>
    <row r="823" spans="1:34" ht="15.75" customHeight="1" x14ac:dyDescent="0.2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 s="6" t="e">
        <f t="shared" si="45"/>
        <v>#VALUE!</v>
      </c>
      <c r="Y823" s="7" t="str">
        <f t="shared" si="46"/>
        <v>DC</v>
      </c>
      <c r="Z823" s="7">
        <f t="shared" si="47"/>
        <v>0</v>
      </c>
      <c r="AA823" s="7">
        <f t="shared" si="48"/>
        <v>0</v>
      </c>
      <c r="AB823" s="7">
        <f t="shared" si="49"/>
        <v>0</v>
      </c>
      <c r="AC823" s="7">
        <f t="shared" si="50"/>
        <v>0</v>
      </c>
      <c r="AD823" s="7">
        <f t="shared" si="51"/>
        <v>0</v>
      </c>
      <c r="AE823" s="8" cm="1">
        <f t="array" ref="AE823">IFERROR(_xlfn.XLOOKUP(H823,Sheet1!$G:$G,Sheet1!$F:$F),IFERROR(_xlfn.XLOOKUP(1,(--($X$2:$X$1074=X823))*(--ISNUMBER(MATCH($H$2:$H$1074,Sheet1!$G:$G,0))),_xlfn.XLOOKUP($H$2:$H$1074,Sheet1!$G:$G,Sheet1!$F:$F,"")),"NOT FOUND"))</f>
        <v>0</v>
      </c>
      <c r="AF823" s="9" t="str">
        <f t="shared" si="52"/>
        <v/>
      </c>
      <c r="AG823" s="10" t="str">
        <f t="shared" si="53"/>
        <v/>
      </c>
      <c r="AH823" s="8" t="str" cm="1">
        <f t="array" ref="AH823">IF(OR(J823="",AE823="",AE823="NOT FOUND"),"",IF(Y823="RP",_xlfn.LET(_xlpm.desc,_xlfn.XLOOKUP(1,(--(Sheet1!$F$2:$F$754=AE823))*(--ISNUMBER(FIND("-",Sheet1!$W$2:$W$754,FIND("-",Sheet1!$W$2:$W$754)+1))),Sheet1!$W$2:$W$754,""),IF(_xlpm.desc="","NOT FOUND",LEFT(_xlpm.desc,FIND("-",_xlpm.desc,FIND("-",_xlpm.desc)+1))&amp;AE823)),LEFT(J823,FIND("-",J823,FIND("-",J823)+1))&amp;AE823))</f>
        <v/>
      </c>
    </row>
    <row r="824" spans="1:34" ht="15.75" customHeight="1" x14ac:dyDescent="0.2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 s="6" t="e">
        <f t="shared" si="45"/>
        <v>#VALUE!</v>
      </c>
      <c r="Y824" s="7" t="str">
        <f t="shared" si="46"/>
        <v>DC</v>
      </c>
      <c r="Z824" s="7">
        <f t="shared" si="47"/>
        <v>0</v>
      </c>
      <c r="AA824" s="7">
        <f t="shared" si="48"/>
        <v>0</v>
      </c>
      <c r="AB824" s="7">
        <f t="shared" si="49"/>
        <v>0</v>
      </c>
      <c r="AC824" s="7">
        <f t="shared" si="50"/>
        <v>0</v>
      </c>
      <c r="AD824" s="7">
        <f t="shared" si="51"/>
        <v>0</v>
      </c>
      <c r="AE824" s="8" cm="1">
        <f t="array" ref="AE824">IFERROR(_xlfn.XLOOKUP(H824,Sheet1!$G:$G,Sheet1!$F:$F),IFERROR(_xlfn.XLOOKUP(1,(--($X$2:$X$1074=X824))*(--ISNUMBER(MATCH($H$2:$H$1074,Sheet1!$G:$G,0))),_xlfn.XLOOKUP($H$2:$H$1074,Sheet1!$G:$G,Sheet1!$F:$F,"")),"NOT FOUND"))</f>
        <v>0</v>
      </c>
      <c r="AF824" s="9" t="str">
        <f t="shared" si="52"/>
        <v/>
      </c>
      <c r="AG824" s="10" t="str">
        <f t="shared" si="53"/>
        <v/>
      </c>
      <c r="AH824" s="8" t="str" cm="1">
        <f t="array" ref="AH824">IF(OR(J824="",AE824="",AE824="NOT FOUND"),"",IF(Y824="RP",_xlfn.LET(_xlpm.desc,_xlfn.XLOOKUP(1,(--(Sheet1!$F$2:$F$754=AE824))*(--ISNUMBER(FIND("-",Sheet1!$W$2:$W$754,FIND("-",Sheet1!$W$2:$W$754)+1))),Sheet1!$W$2:$W$754,""),IF(_xlpm.desc="","NOT FOUND",LEFT(_xlpm.desc,FIND("-",_xlpm.desc,FIND("-",_xlpm.desc)+1))&amp;AE824)),LEFT(J824,FIND("-",J824,FIND("-",J824)+1))&amp;AE824))</f>
        <v/>
      </c>
    </row>
    <row r="825" spans="1:34" ht="15.75" customHeight="1" x14ac:dyDescent="0.2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 s="6" t="e">
        <f t="shared" si="45"/>
        <v>#VALUE!</v>
      </c>
      <c r="Y825" s="7" t="str">
        <f t="shared" si="46"/>
        <v>DC</v>
      </c>
      <c r="Z825" s="7">
        <f t="shared" si="47"/>
        <v>0</v>
      </c>
      <c r="AA825" s="7">
        <f t="shared" si="48"/>
        <v>0</v>
      </c>
      <c r="AB825" s="7">
        <f t="shared" si="49"/>
        <v>0</v>
      </c>
      <c r="AC825" s="7">
        <f t="shared" si="50"/>
        <v>0</v>
      </c>
      <c r="AD825" s="7">
        <f t="shared" si="51"/>
        <v>0</v>
      </c>
      <c r="AE825" s="8" cm="1">
        <f t="array" ref="AE825">IFERROR(_xlfn.XLOOKUP(H825,Sheet1!$G:$G,Sheet1!$F:$F),IFERROR(_xlfn.XLOOKUP(1,(--($X$2:$X$1074=X825))*(--ISNUMBER(MATCH($H$2:$H$1074,Sheet1!$G:$G,0))),_xlfn.XLOOKUP($H$2:$H$1074,Sheet1!$G:$G,Sheet1!$F:$F,"")),"NOT FOUND"))</f>
        <v>0</v>
      </c>
      <c r="AF825" s="9" t="str">
        <f t="shared" si="52"/>
        <v/>
      </c>
      <c r="AG825" s="10" t="str">
        <f t="shared" si="53"/>
        <v/>
      </c>
      <c r="AH825" s="8" t="str" cm="1">
        <f t="array" ref="AH825">IF(OR(J825="",AE825="",AE825="NOT FOUND"),"",IF(Y825="RP",_xlfn.LET(_xlpm.desc,_xlfn.XLOOKUP(1,(--(Sheet1!$F$2:$F$754=AE825))*(--ISNUMBER(FIND("-",Sheet1!$W$2:$W$754,FIND("-",Sheet1!$W$2:$W$754)+1))),Sheet1!$W$2:$W$754,""),IF(_xlpm.desc="","NOT FOUND",LEFT(_xlpm.desc,FIND("-",_xlpm.desc,FIND("-",_xlpm.desc)+1))&amp;AE825)),LEFT(J825,FIND("-",J825,FIND("-",J825)+1))&amp;AE825))</f>
        <v/>
      </c>
    </row>
    <row r="826" spans="1:34" ht="15.75" customHeight="1" x14ac:dyDescent="0.2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 s="6" t="e">
        <f t="shared" si="45"/>
        <v>#VALUE!</v>
      </c>
      <c r="Y826" s="7" t="str">
        <f t="shared" si="46"/>
        <v>DC</v>
      </c>
      <c r="Z826" s="7">
        <f t="shared" si="47"/>
        <v>0</v>
      </c>
      <c r="AA826" s="7">
        <f t="shared" si="48"/>
        <v>0</v>
      </c>
      <c r="AB826" s="7">
        <f t="shared" si="49"/>
        <v>0</v>
      </c>
      <c r="AC826" s="7">
        <f t="shared" si="50"/>
        <v>0</v>
      </c>
      <c r="AD826" s="7">
        <f t="shared" si="51"/>
        <v>0</v>
      </c>
      <c r="AE826" s="8" cm="1">
        <f t="array" ref="AE826">IFERROR(_xlfn.XLOOKUP(H826,Sheet1!$G:$G,Sheet1!$F:$F),IFERROR(_xlfn.XLOOKUP(1,(--($X$2:$X$1074=X826))*(--ISNUMBER(MATCH($H$2:$H$1074,Sheet1!$G:$G,0))),_xlfn.XLOOKUP($H$2:$H$1074,Sheet1!$G:$G,Sheet1!$F:$F,"")),"NOT FOUND"))</f>
        <v>0</v>
      </c>
      <c r="AF826" s="9" t="str">
        <f t="shared" si="52"/>
        <v/>
      </c>
      <c r="AG826" s="10" t="str">
        <f t="shared" si="53"/>
        <v/>
      </c>
      <c r="AH826" s="8" t="str" cm="1">
        <f t="array" ref="AH826">IF(OR(J826="",AE826="",AE826="NOT FOUND"),"",IF(Y826="RP",_xlfn.LET(_xlpm.desc,_xlfn.XLOOKUP(1,(--(Sheet1!$F$2:$F$754=AE826))*(--ISNUMBER(FIND("-",Sheet1!$W$2:$W$754,FIND("-",Sheet1!$W$2:$W$754)+1))),Sheet1!$W$2:$W$754,""),IF(_xlpm.desc="","NOT FOUND",LEFT(_xlpm.desc,FIND("-",_xlpm.desc,FIND("-",_xlpm.desc)+1))&amp;AE826)),LEFT(J826,FIND("-",J826,FIND("-",J826)+1))&amp;AE826))</f>
        <v/>
      </c>
    </row>
    <row r="827" spans="1:34" ht="15.75" customHeight="1" x14ac:dyDescent="0.2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 s="6" t="e">
        <f t="shared" si="45"/>
        <v>#VALUE!</v>
      </c>
      <c r="Y827" s="7" t="str">
        <f t="shared" si="46"/>
        <v>DC</v>
      </c>
      <c r="Z827" s="7">
        <f t="shared" si="47"/>
        <v>0</v>
      </c>
      <c r="AA827" s="7">
        <f t="shared" si="48"/>
        <v>0</v>
      </c>
      <c r="AB827" s="7">
        <f t="shared" si="49"/>
        <v>0</v>
      </c>
      <c r="AC827" s="7">
        <f t="shared" si="50"/>
        <v>0</v>
      </c>
      <c r="AD827" s="7">
        <f t="shared" si="51"/>
        <v>0</v>
      </c>
      <c r="AE827" s="8" cm="1">
        <f t="array" ref="AE827">IFERROR(_xlfn.XLOOKUP(H827,Sheet1!$G:$G,Sheet1!$F:$F),IFERROR(_xlfn.XLOOKUP(1,(--($X$2:$X$1074=X827))*(--ISNUMBER(MATCH($H$2:$H$1074,Sheet1!$G:$G,0))),_xlfn.XLOOKUP($H$2:$H$1074,Sheet1!$G:$G,Sheet1!$F:$F,"")),"NOT FOUND"))</f>
        <v>0</v>
      </c>
      <c r="AF827" s="9" t="str">
        <f t="shared" si="52"/>
        <v/>
      </c>
      <c r="AG827" s="10" t="str">
        <f t="shared" si="53"/>
        <v/>
      </c>
      <c r="AH827" s="8" t="str" cm="1">
        <f t="array" ref="AH827">IF(OR(J827="",AE827="",AE827="NOT FOUND"),"",IF(Y827="RP",_xlfn.LET(_xlpm.desc,_xlfn.XLOOKUP(1,(--(Sheet1!$F$2:$F$754=AE827))*(--ISNUMBER(FIND("-",Sheet1!$W$2:$W$754,FIND("-",Sheet1!$W$2:$W$754)+1))),Sheet1!$W$2:$W$754,""),IF(_xlpm.desc="","NOT FOUND",LEFT(_xlpm.desc,FIND("-",_xlpm.desc,FIND("-",_xlpm.desc)+1))&amp;AE827)),LEFT(J827,FIND("-",J827,FIND("-",J827)+1))&amp;AE827))</f>
        <v/>
      </c>
    </row>
    <row r="828" spans="1:34" ht="15.75" customHeight="1" x14ac:dyDescent="0.2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 s="6" t="e">
        <f t="shared" si="45"/>
        <v>#VALUE!</v>
      </c>
      <c r="Y828" s="7" t="str">
        <f t="shared" si="46"/>
        <v>DC</v>
      </c>
      <c r="Z828" s="7">
        <f t="shared" si="47"/>
        <v>0</v>
      </c>
      <c r="AA828" s="7">
        <f t="shared" si="48"/>
        <v>0</v>
      </c>
      <c r="AB828" s="7">
        <f t="shared" si="49"/>
        <v>0</v>
      </c>
      <c r="AC828" s="7">
        <f t="shared" si="50"/>
        <v>0</v>
      </c>
      <c r="AD828" s="7">
        <f t="shared" si="51"/>
        <v>0</v>
      </c>
      <c r="AE828" s="8" cm="1">
        <f t="array" ref="AE828">IFERROR(_xlfn.XLOOKUP(H828,Sheet1!$G:$G,Sheet1!$F:$F),IFERROR(_xlfn.XLOOKUP(1,(--($X$2:$X$1074=X828))*(--ISNUMBER(MATCH($H$2:$H$1074,Sheet1!$G:$G,0))),_xlfn.XLOOKUP($H$2:$H$1074,Sheet1!$G:$G,Sheet1!$F:$F,"")),"NOT FOUND"))</f>
        <v>0</v>
      </c>
      <c r="AF828" s="9" t="str">
        <f t="shared" si="52"/>
        <v/>
      </c>
      <c r="AG828" s="10" t="str">
        <f t="shared" si="53"/>
        <v/>
      </c>
      <c r="AH828" s="8" t="str" cm="1">
        <f t="array" ref="AH828">IF(OR(J828="",AE828="",AE828="NOT FOUND"),"",IF(Y828="RP",_xlfn.LET(_xlpm.desc,_xlfn.XLOOKUP(1,(--(Sheet1!$F$2:$F$754=AE828))*(--ISNUMBER(FIND("-",Sheet1!$W$2:$W$754,FIND("-",Sheet1!$W$2:$W$754)+1))),Sheet1!$W$2:$W$754,""),IF(_xlpm.desc="","NOT FOUND",LEFT(_xlpm.desc,FIND("-",_xlpm.desc,FIND("-",_xlpm.desc)+1))&amp;AE828)),LEFT(J828,FIND("-",J828,FIND("-",J828)+1))&amp;AE828))</f>
        <v/>
      </c>
    </row>
    <row r="829" spans="1:34" ht="15.75" customHeight="1" x14ac:dyDescent="0.2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 s="6" t="e">
        <f t="shared" si="45"/>
        <v>#VALUE!</v>
      </c>
      <c r="Y829" s="7" t="str">
        <f t="shared" si="46"/>
        <v>DC</v>
      </c>
      <c r="Z829" s="7">
        <f t="shared" si="47"/>
        <v>0</v>
      </c>
      <c r="AA829" s="7">
        <f t="shared" si="48"/>
        <v>0</v>
      </c>
      <c r="AB829" s="7">
        <f t="shared" si="49"/>
        <v>0</v>
      </c>
      <c r="AC829" s="7">
        <f t="shared" si="50"/>
        <v>0</v>
      </c>
      <c r="AD829" s="7">
        <f t="shared" si="51"/>
        <v>0</v>
      </c>
      <c r="AE829" s="8" cm="1">
        <f t="array" ref="AE829">IFERROR(_xlfn.XLOOKUP(H829,Sheet1!$G:$G,Sheet1!$F:$F),IFERROR(_xlfn.XLOOKUP(1,(--($X$2:$X$1074=X829))*(--ISNUMBER(MATCH($H$2:$H$1074,Sheet1!$G:$G,0))),_xlfn.XLOOKUP($H$2:$H$1074,Sheet1!$G:$G,Sheet1!$F:$F,"")),"NOT FOUND"))</f>
        <v>0</v>
      </c>
      <c r="AF829" s="9" t="str">
        <f t="shared" si="52"/>
        <v/>
      </c>
      <c r="AG829" s="10" t="str">
        <f t="shared" si="53"/>
        <v/>
      </c>
      <c r="AH829" s="8" t="str" cm="1">
        <f t="array" ref="AH829">IF(OR(J829="",AE829="",AE829="NOT FOUND"),"",IF(Y829="RP",_xlfn.LET(_xlpm.desc,_xlfn.XLOOKUP(1,(--(Sheet1!$F$2:$F$754=AE829))*(--ISNUMBER(FIND("-",Sheet1!$W$2:$W$754,FIND("-",Sheet1!$W$2:$W$754)+1))),Sheet1!$W$2:$W$754,""),IF(_xlpm.desc="","NOT FOUND",LEFT(_xlpm.desc,FIND("-",_xlpm.desc,FIND("-",_xlpm.desc)+1))&amp;AE829)),LEFT(J829,FIND("-",J829,FIND("-",J829)+1))&amp;AE829))</f>
        <v/>
      </c>
    </row>
    <row r="830" spans="1:34" ht="15.75" customHeight="1" x14ac:dyDescent="0.2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 s="6" t="e">
        <f t="shared" si="45"/>
        <v>#VALUE!</v>
      </c>
      <c r="Y830" s="7" t="str">
        <f t="shared" si="46"/>
        <v>DC</v>
      </c>
      <c r="Z830" s="7">
        <f t="shared" si="47"/>
        <v>0</v>
      </c>
      <c r="AA830" s="7">
        <f t="shared" si="48"/>
        <v>0</v>
      </c>
      <c r="AB830" s="7">
        <f t="shared" si="49"/>
        <v>0</v>
      </c>
      <c r="AC830" s="7">
        <f t="shared" si="50"/>
        <v>0</v>
      </c>
      <c r="AD830" s="7">
        <f t="shared" si="51"/>
        <v>0</v>
      </c>
      <c r="AE830" s="8" cm="1">
        <f t="array" ref="AE830">IFERROR(_xlfn.XLOOKUP(H830,Sheet1!$G:$G,Sheet1!$F:$F),IFERROR(_xlfn.XLOOKUP(1,(--($X$2:$X$1074=X830))*(--ISNUMBER(MATCH($H$2:$H$1074,Sheet1!$G:$G,0))),_xlfn.XLOOKUP($H$2:$H$1074,Sheet1!$G:$G,Sheet1!$F:$F,"")),"NOT FOUND"))</f>
        <v>0</v>
      </c>
      <c r="AF830" s="9" t="str">
        <f t="shared" si="52"/>
        <v/>
      </c>
      <c r="AG830" s="10" t="str">
        <f t="shared" si="53"/>
        <v/>
      </c>
      <c r="AH830" s="8" t="str" cm="1">
        <f t="array" ref="AH830">IF(OR(J830="",AE830="",AE830="NOT FOUND"),"",IF(Y830="RP",_xlfn.LET(_xlpm.desc,_xlfn.XLOOKUP(1,(--(Sheet1!$F$2:$F$754=AE830))*(--ISNUMBER(FIND("-",Sheet1!$W$2:$W$754,FIND("-",Sheet1!$W$2:$W$754)+1))),Sheet1!$W$2:$W$754,""),IF(_xlpm.desc="","NOT FOUND",LEFT(_xlpm.desc,FIND("-",_xlpm.desc,FIND("-",_xlpm.desc)+1))&amp;AE830)),LEFT(J830,FIND("-",J830,FIND("-",J830)+1))&amp;AE830))</f>
        <v/>
      </c>
    </row>
    <row r="831" spans="1:34" ht="15.75" customHeight="1" x14ac:dyDescent="0.2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 s="6" t="e">
        <f t="shared" si="45"/>
        <v>#VALUE!</v>
      </c>
      <c r="Y831" s="7" t="str">
        <f t="shared" si="46"/>
        <v>DC</v>
      </c>
      <c r="Z831" s="7">
        <f t="shared" si="47"/>
        <v>0</v>
      </c>
      <c r="AA831" s="7">
        <f t="shared" si="48"/>
        <v>0</v>
      </c>
      <c r="AB831" s="7">
        <f t="shared" si="49"/>
        <v>0</v>
      </c>
      <c r="AC831" s="7">
        <f t="shared" si="50"/>
        <v>0</v>
      </c>
      <c r="AD831" s="7">
        <f t="shared" si="51"/>
        <v>0</v>
      </c>
      <c r="AE831" s="8" cm="1">
        <f t="array" ref="AE831">IFERROR(_xlfn.XLOOKUP(H831,Sheet1!$G:$G,Sheet1!$F:$F),IFERROR(_xlfn.XLOOKUP(1,(--($X$2:$X$1074=X831))*(--ISNUMBER(MATCH($H$2:$H$1074,Sheet1!$G:$G,0))),_xlfn.XLOOKUP($H$2:$H$1074,Sheet1!$G:$G,Sheet1!$F:$F,"")),"NOT FOUND"))</f>
        <v>0</v>
      </c>
      <c r="AF831" s="9" t="str">
        <f t="shared" si="52"/>
        <v/>
      </c>
      <c r="AG831" s="10" t="str">
        <f t="shared" si="53"/>
        <v/>
      </c>
      <c r="AH831" s="8" t="str" cm="1">
        <f t="array" ref="AH831">IF(OR(J831="",AE831="",AE831="NOT FOUND"),"",IF(Y831="RP",_xlfn.LET(_xlpm.desc,_xlfn.XLOOKUP(1,(--(Sheet1!$F$2:$F$754=AE831))*(--ISNUMBER(FIND("-",Sheet1!$W$2:$W$754,FIND("-",Sheet1!$W$2:$W$754)+1))),Sheet1!$W$2:$W$754,""),IF(_xlpm.desc="","NOT FOUND",LEFT(_xlpm.desc,FIND("-",_xlpm.desc,FIND("-",_xlpm.desc)+1))&amp;AE831)),LEFT(J831,FIND("-",J831,FIND("-",J831)+1))&amp;AE831))</f>
        <v/>
      </c>
    </row>
    <row r="832" spans="1:34" ht="15.75" customHeight="1" x14ac:dyDescent="0.2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 s="6" t="e">
        <f t="shared" si="45"/>
        <v>#VALUE!</v>
      </c>
      <c r="Y832" s="7" t="str">
        <f t="shared" si="46"/>
        <v>DC</v>
      </c>
      <c r="Z832" s="7">
        <f t="shared" si="47"/>
        <v>0</v>
      </c>
      <c r="AA832" s="7">
        <f t="shared" si="48"/>
        <v>0</v>
      </c>
      <c r="AB832" s="7">
        <f t="shared" si="49"/>
        <v>0</v>
      </c>
      <c r="AC832" s="7">
        <f t="shared" si="50"/>
        <v>0</v>
      </c>
      <c r="AD832" s="7">
        <f t="shared" si="51"/>
        <v>0</v>
      </c>
      <c r="AE832" s="8" cm="1">
        <f t="array" ref="AE832">IFERROR(_xlfn.XLOOKUP(H832,Sheet1!$G:$G,Sheet1!$F:$F),IFERROR(_xlfn.XLOOKUP(1,(--($X$2:$X$1074=X832))*(--ISNUMBER(MATCH($H$2:$H$1074,Sheet1!$G:$G,0))),_xlfn.XLOOKUP($H$2:$H$1074,Sheet1!$G:$G,Sheet1!$F:$F,"")),"NOT FOUND"))</f>
        <v>0</v>
      </c>
      <c r="AF832" s="9" t="str">
        <f t="shared" si="52"/>
        <v/>
      </c>
      <c r="AG832" s="10" t="str">
        <f t="shared" si="53"/>
        <v/>
      </c>
      <c r="AH832" s="8" t="str" cm="1">
        <f t="array" ref="AH832">IF(OR(J832="",AE832="",AE832="NOT FOUND"),"",IF(Y832="RP",_xlfn.LET(_xlpm.desc,_xlfn.XLOOKUP(1,(--(Sheet1!$F$2:$F$754=AE832))*(--ISNUMBER(FIND("-",Sheet1!$W$2:$W$754,FIND("-",Sheet1!$W$2:$W$754)+1))),Sheet1!$W$2:$W$754,""),IF(_xlpm.desc="","NOT FOUND",LEFT(_xlpm.desc,FIND("-",_xlpm.desc,FIND("-",_xlpm.desc)+1))&amp;AE832)),LEFT(J832,FIND("-",J832,FIND("-",J832)+1))&amp;AE832))</f>
        <v/>
      </c>
    </row>
    <row r="833" spans="1:34" ht="15.75" customHeight="1" x14ac:dyDescent="0.2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 s="6" t="e">
        <f t="shared" si="45"/>
        <v>#VALUE!</v>
      </c>
      <c r="Y833" s="7" t="str">
        <f t="shared" si="46"/>
        <v>DC</v>
      </c>
      <c r="Z833" s="7">
        <f t="shared" si="47"/>
        <v>0</v>
      </c>
      <c r="AA833" s="7">
        <f t="shared" si="48"/>
        <v>0</v>
      </c>
      <c r="AB833" s="7">
        <f t="shared" si="49"/>
        <v>0</v>
      </c>
      <c r="AC833" s="7">
        <f t="shared" si="50"/>
        <v>0</v>
      </c>
      <c r="AD833" s="7">
        <f t="shared" si="51"/>
        <v>0</v>
      </c>
      <c r="AE833" s="8" cm="1">
        <f t="array" ref="AE833">IFERROR(_xlfn.XLOOKUP(H833,Sheet1!$G:$G,Sheet1!$F:$F),IFERROR(_xlfn.XLOOKUP(1,(--($X$2:$X$1074=X833))*(--ISNUMBER(MATCH($H$2:$H$1074,Sheet1!$G:$G,0))),_xlfn.XLOOKUP($H$2:$H$1074,Sheet1!$G:$G,Sheet1!$F:$F,"")),"NOT FOUND"))</f>
        <v>0</v>
      </c>
      <c r="AF833" s="9" t="str">
        <f t="shared" si="52"/>
        <v/>
      </c>
      <c r="AG833" s="10" t="str">
        <f t="shared" si="53"/>
        <v/>
      </c>
      <c r="AH833" s="8" t="str" cm="1">
        <f t="array" ref="AH833">IF(OR(J833="",AE833="",AE833="NOT FOUND"),"",IF(Y833="RP",_xlfn.LET(_xlpm.desc,_xlfn.XLOOKUP(1,(--(Sheet1!$F$2:$F$754=AE833))*(--ISNUMBER(FIND("-",Sheet1!$W$2:$W$754,FIND("-",Sheet1!$W$2:$W$754)+1))),Sheet1!$W$2:$W$754,""),IF(_xlpm.desc="","NOT FOUND",LEFT(_xlpm.desc,FIND("-",_xlpm.desc,FIND("-",_xlpm.desc)+1))&amp;AE833)),LEFT(J833,FIND("-",J833,FIND("-",J833)+1))&amp;AE833))</f>
        <v/>
      </c>
    </row>
    <row r="834" spans="1:34" ht="15.75" customHeight="1" x14ac:dyDescent="0.2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 s="6" t="e">
        <f t="shared" si="45"/>
        <v>#VALUE!</v>
      </c>
      <c r="Y834" s="7" t="str">
        <f t="shared" si="46"/>
        <v>DC</v>
      </c>
      <c r="Z834" s="7">
        <f t="shared" si="47"/>
        <v>0</v>
      </c>
      <c r="AA834" s="7">
        <f t="shared" si="48"/>
        <v>0</v>
      </c>
      <c r="AB834" s="7">
        <f t="shared" si="49"/>
        <v>0</v>
      </c>
      <c r="AC834" s="7">
        <f t="shared" si="50"/>
        <v>0</v>
      </c>
      <c r="AD834" s="7">
        <f t="shared" si="51"/>
        <v>0</v>
      </c>
      <c r="AE834" s="8" cm="1">
        <f t="array" ref="AE834">IFERROR(_xlfn.XLOOKUP(H834,Sheet1!$G:$G,Sheet1!$F:$F),IFERROR(_xlfn.XLOOKUP(1,(--($X$2:$X$1074=X834))*(--ISNUMBER(MATCH($H$2:$H$1074,Sheet1!$G:$G,0))),_xlfn.XLOOKUP($H$2:$H$1074,Sheet1!$G:$G,Sheet1!$F:$F,"")),"NOT FOUND"))</f>
        <v>0</v>
      </c>
      <c r="AF834" s="9" t="str">
        <f t="shared" si="52"/>
        <v/>
      </c>
      <c r="AG834" s="10" t="str">
        <f t="shared" si="53"/>
        <v/>
      </c>
      <c r="AH834" s="8" t="str" cm="1">
        <f t="array" ref="AH834">IF(OR(J834="",AE834="",AE834="NOT FOUND"),"",IF(Y834="RP",_xlfn.LET(_xlpm.desc,_xlfn.XLOOKUP(1,(--(Sheet1!$F$2:$F$754=AE834))*(--ISNUMBER(FIND("-",Sheet1!$W$2:$W$754,FIND("-",Sheet1!$W$2:$W$754)+1))),Sheet1!$W$2:$W$754,""),IF(_xlpm.desc="","NOT FOUND",LEFT(_xlpm.desc,FIND("-",_xlpm.desc,FIND("-",_xlpm.desc)+1))&amp;AE834)),LEFT(J834,FIND("-",J834,FIND("-",J834)+1))&amp;AE834))</f>
        <v/>
      </c>
    </row>
    <row r="835" spans="1:34" ht="15.75" customHeight="1" x14ac:dyDescent="0.2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 s="6" t="e">
        <f t="shared" si="45"/>
        <v>#VALUE!</v>
      </c>
      <c r="Y835" s="7" t="str">
        <f t="shared" si="46"/>
        <v>DC</v>
      </c>
      <c r="Z835" s="7">
        <f t="shared" si="47"/>
        <v>0</v>
      </c>
      <c r="AA835" s="7">
        <f t="shared" si="48"/>
        <v>0</v>
      </c>
      <c r="AB835" s="7">
        <f t="shared" si="49"/>
        <v>0</v>
      </c>
      <c r="AC835" s="7">
        <f t="shared" si="50"/>
        <v>0</v>
      </c>
      <c r="AD835" s="7">
        <f t="shared" si="51"/>
        <v>0</v>
      </c>
      <c r="AE835" s="8" cm="1">
        <f t="array" ref="AE835">IFERROR(_xlfn.XLOOKUP(H835,Sheet1!$G:$G,Sheet1!$F:$F),IFERROR(_xlfn.XLOOKUP(1,(--($X$2:$X$1074=X835))*(--ISNUMBER(MATCH($H$2:$H$1074,Sheet1!$G:$G,0))),_xlfn.XLOOKUP($H$2:$H$1074,Sheet1!$G:$G,Sheet1!$F:$F,"")),"NOT FOUND"))</f>
        <v>0</v>
      </c>
      <c r="AF835" s="9" t="str">
        <f t="shared" ref="AF835:AF898" si="54">IFERROR(IF(ISNUMBER(SEARCH("(RP)",J835)),TRIM(SUBSTITUTE(MID(J835,10,LEN(J835)),"(RP)","")),TRIM(MID(J835,FIND(",",J835)+1,FIND(",",J835,FIND(",",J835)+1)-FIND(",",J835)-1))),"")</f>
        <v/>
      </c>
      <c r="AG835" s="10" t="str">
        <f t="shared" ref="AG835:AG898" si="55">IF(A835="SZAF","Bangalore",IF(A835="SAEX","JHAJJAR",IF(A835="S0EU","HARIPAL","")))</f>
        <v/>
      </c>
      <c r="AH835" s="8" t="str" cm="1">
        <f t="array" ref="AH835">IF(OR(J835="",AE835="",AE835="NOT FOUND"),"",IF(Y835="RP",_xlfn.LET(_xlpm.desc,_xlfn.XLOOKUP(1,(--(Sheet1!$F$2:$F$754=AE835))*(--ISNUMBER(FIND("-",Sheet1!$W$2:$W$754,FIND("-",Sheet1!$W$2:$W$754)+1))),Sheet1!$W$2:$W$754,""),IF(_xlpm.desc="","NOT FOUND",LEFT(_xlpm.desc,FIND("-",_xlpm.desc,FIND("-",_xlpm.desc)+1))&amp;AE835)),LEFT(J835,FIND("-",J835,FIND("-",J835)+1))&amp;AE835))</f>
        <v/>
      </c>
    </row>
    <row r="836" spans="1:34" ht="15.75" customHeight="1" x14ac:dyDescent="0.2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 s="6" t="e">
        <f t="shared" si="45"/>
        <v>#VALUE!</v>
      </c>
      <c r="Y836" s="7" t="str">
        <f t="shared" si="46"/>
        <v>DC</v>
      </c>
      <c r="Z836" s="7">
        <f t="shared" si="47"/>
        <v>0</v>
      </c>
      <c r="AA836" s="7">
        <f t="shared" si="48"/>
        <v>0</v>
      </c>
      <c r="AB836" s="7">
        <f t="shared" si="49"/>
        <v>0</v>
      </c>
      <c r="AC836" s="7">
        <f t="shared" si="50"/>
        <v>0</v>
      </c>
      <c r="AD836" s="7">
        <f t="shared" si="51"/>
        <v>0</v>
      </c>
      <c r="AE836" s="8" cm="1">
        <f t="array" ref="AE836">IFERROR(_xlfn.XLOOKUP(H836,Sheet1!$G:$G,Sheet1!$F:$F),IFERROR(_xlfn.XLOOKUP(1,(--($X$2:$X$1074=X836))*(--ISNUMBER(MATCH($H$2:$H$1074,Sheet1!$G:$G,0))),_xlfn.XLOOKUP($H$2:$H$1074,Sheet1!$G:$G,Sheet1!$F:$F,"")),"NOT FOUND"))</f>
        <v>0</v>
      </c>
      <c r="AF836" s="9" t="str">
        <f t="shared" si="54"/>
        <v/>
      </c>
      <c r="AG836" s="10" t="str">
        <f t="shared" si="55"/>
        <v/>
      </c>
      <c r="AH836" s="8" t="str" cm="1">
        <f t="array" ref="AH836">IF(OR(J836="",AE836="",AE836="NOT FOUND"),"",IF(Y836="RP",_xlfn.LET(_xlpm.desc,_xlfn.XLOOKUP(1,(--(Sheet1!$F$2:$F$754=AE836))*(--ISNUMBER(FIND("-",Sheet1!$W$2:$W$754,FIND("-",Sheet1!$W$2:$W$754)+1))),Sheet1!$W$2:$W$754,""),IF(_xlpm.desc="","NOT FOUND",LEFT(_xlpm.desc,FIND("-",_xlpm.desc,FIND("-",_xlpm.desc)+1))&amp;AE836)),LEFT(J836,FIND("-",J836,FIND("-",J836)+1))&amp;AE836))</f>
        <v/>
      </c>
    </row>
    <row r="837" spans="1:34" ht="15.75" customHeight="1" x14ac:dyDescent="0.2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 s="6" t="e">
        <f t="shared" si="45"/>
        <v>#VALUE!</v>
      </c>
      <c r="Y837" s="7" t="str">
        <f t="shared" si="46"/>
        <v>DC</v>
      </c>
      <c r="Z837" s="7">
        <f t="shared" si="47"/>
        <v>0</v>
      </c>
      <c r="AA837" s="7">
        <f t="shared" si="48"/>
        <v>0</v>
      </c>
      <c r="AB837" s="7">
        <f t="shared" si="49"/>
        <v>0</v>
      </c>
      <c r="AC837" s="7">
        <f t="shared" si="50"/>
        <v>0</v>
      </c>
      <c r="AD837" s="7">
        <f t="shared" si="51"/>
        <v>0</v>
      </c>
      <c r="AE837" s="8" cm="1">
        <f t="array" ref="AE837">IFERROR(_xlfn.XLOOKUP(H837,Sheet1!$G:$G,Sheet1!$F:$F),IFERROR(_xlfn.XLOOKUP(1,(--($X$2:$X$1074=X837))*(--ISNUMBER(MATCH($H$2:$H$1074,Sheet1!$G:$G,0))),_xlfn.XLOOKUP($H$2:$H$1074,Sheet1!$G:$G,Sheet1!$F:$F,"")),"NOT FOUND"))</f>
        <v>0</v>
      </c>
      <c r="AF837" s="9" t="str">
        <f t="shared" si="54"/>
        <v/>
      </c>
      <c r="AG837" s="10" t="str">
        <f t="shared" si="55"/>
        <v/>
      </c>
      <c r="AH837" s="8" t="str" cm="1">
        <f t="array" ref="AH837">IF(OR(J837="",AE837="",AE837="NOT FOUND"),"",IF(Y837="RP",_xlfn.LET(_xlpm.desc,_xlfn.XLOOKUP(1,(--(Sheet1!$F$2:$F$754=AE837))*(--ISNUMBER(FIND("-",Sheet1!$W$2:$W$754,FIND("-",Sheet1!$W$2:$W$754)+1))),Sheet1!$W$2:$W$754,""),IF(_xlpm.desc="","NOT FOUND",LEFT(_xlpm.desc,FIND("-",_xlpm.desc,FIND("-",_xlpm.desc)+1))&amp;AE837)),LEFT(J837,FIND("-",J837,FIND("-",J837)+1))&amp;AE837))</f>
        <v/>
      </c>
    </row>
    <row r="838" spans="1:34" ht="15.75" customHeight="1" x14ac:dyDescent="0.2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 s="6" t="e">
        <f t="shared" si="45"/>
        <v>#VALUE!</v>
      </c>
      <c r="Y838" s="7" t="str">
        <f t="shared" si="46"/>
        <v>DC</v>
      </c>
      <c r="Z838" s="7">
        <f t="shared" si="47"/>
        <v>0</v>
      </c>
      <c r="AA838" s="7">
        <f t="shared" si="48"/>
        <v>0</v>
      </c>
      <c r="AB838" s="7">
        <f t="shared" si="49"/>
        <v>0</v>
      </c>
      <c r="AC838" s="7">
        <f t="shared" si="50"/>
        <v>0</v>
      </c>
      <c r="AD838" s="7">
        <f t="shared" si="51"/>
        <v>0</v>
      </c>
      <c r="AE838" s="8" cm="1">
        <f t="array" ref="AE838">IFERROR(_xlfn.XLOOKUP(H838,Sheet1!$G:$G,Sheet1!$F:$F),IFERROR(_xlfn.XLOOKUP(1,(--($X$2:$X$1074=X838))*(--ISNUMBER(MATCH($H$2:$H$1074,Sheet1!$G:$G,0))),_xlfn.XLOOKUP($H$2:$H$1074,Sheet1!$G:$G,Sheet1!$F:$F,"")),"NOT FOUND"))</f>
        <v>0</v>
      </c>
      <c r="AF838" s="9" t="str">
        <f t="shared" si="54"/>
        <v/>
      </c>
      <c r="AG838" s="10" t="str">
        <f t="shared" si="55"/>
        <v/>
      </c>
      <c r="AH838" s="8" t="str" cm="1">
        <f t="array" ref="AH838">IF(OR(J838="",AE838="",AE838="NOT FOUND"),"",IF(Y838="RP",_xlfn.LET(_xlpm.desc,_xlfn.XLOOKUP(1,(--(Sheet1!$F$2:$F$754=AE838))*(--ISNUMBER(FIND("-",Sheet1!$W$2:$W$754,FIND("-",Sheet1!$W$2:$W$754)+1))),Sheet1!$W$2:$W$754,""),IF(_xlpm.desc="","NOT FOUND",LEFT(_xlpm.desc,FIND("-",_xlpm.desc,FIND("-",_xlpm.desc)+1))&amp;AE838)),LEFT(J838,FIND("-",J838,FIND("-",J838)+1))&amp;AE838))</f>
        <v/>
      </c>
    </row>
    <row r="839" spans="1:34" ht="15.75" customHeight="1" x14ac:dyDescent="0.2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 s="6" t="e">
        <f t="shared" si="45"/>
        <v>#VALUE!</v>
      </c>
      <c r="Y839" s="7" t="str">
        <f t="shared" si="46"/>
        <v>DC</v>
      </c>
      <c r="Z839" s="7">
        <f t="shared" si="47"/>
        <v>0</v>
      </c>
      <c r="AA839" s="7">
        <f t="shared" si="48"/>
        <v>0</v>
      </c>
      <c r="AB839" s="7">
        <f t="shared" si="49"/>
        <v>0</v>
      </c>
      <c r="AC839" s="7">
        <f t="shared" si="50"/>
        <v>0</v>
      </c>
      <c r="AD839" s="7">
        <f t="shared" si="51"/>
        <v>0</v>
      </c>
      <c r="AE839" s="8" cm="1">
        <f t="array" ref="AE839">IFERROR(_xlfn.XLOOKUP(H839,Sheet1!$G:$G,Sheet1!$F:$F),IFERROR(_xlfn.XLOOKUP(1,(--($X$2:$X$1074=X839))*(--ISNUMBER(MATCH($H$2:$H$1074,Sheet1!$G:$G,0))),_xlfn.XLOOKUP($H$2:$H$1074,Sheet1!$G:$G,Sheet1!$F:$F,"")),"NOT FOUND"))</f>
        <v>0</v>
      </c>
      <c r="AF839" s="9" t="str">
        <f t="shared" si="54"/>
        <v/>
      </c>
      <c r="AG839" s="10" t="str">
        <f t="shared" si="55"/>
        <v/>
      </c>
      <c r="AH839" s="8" t="str" cm="1">
        <f t="array" ref="AH839">IF(OR(J839="",AE839="",AE839="NOT FOUND"),"",IF(Y839="RP",_xlfn.LET(_xlpm.desc,_xlfn.XLOOKUP(1,(--(Sheet1!$F$2:$F$754=AE839))*(--ISNUMBER(FIND("-",Sheet1!$W$2:$W$754,FIND("-",Sheet1!$W$2:$W$754)+1))),Sheet1!$W$2:$W$754,""),IF(_xlpm.desc="","NOT FOUND",LEFT(_xlpm.desc,FIND("-",_xlpm.desc,FIND("-",_xlpm.desc)+1))&amp;AE839)),LEFT(J839,FIND("-",J839,FIND("-",J839)+1))&amp;AE839))</f>
        <v/>
      </c>
    </row>
    <row r="840" spans="1:34" ht="15.75" customHeight="1" x14ac:dyDescent="0.2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 s="6" t="e">
        <f t="shared" si="45"/>
        <v>#VALUE!</v>
      </c>
      <c r="Y840" s="7" t="str">
        <f t="shared" si="46"/>
        <v>DC</v>
      </c>
      <c r="Z840" s="7">
        <f t="shared" si="47"/>
        <v>0</v>
      </c>
      <c r="AA840" s="7">
        <f t="shared" si="48"/>
        <v>0</v>
      </c>
      <c r="AB840" s="7">
        <f t="shared" si="49"/>
        <v>0</v>
      </c>
      <c r="AC840" s="7">
        <f t="shared" si="50"/>
        <v>0</v>
      </c>
      <c r="AD840" s="7">
        <f t="shared" si="51"/>
        <v>0</v>
      </c>
      <c r="AE840" s="8" cm="1">
        <f t="array" ref="AE840">IFERROR(_xlfn.XLOOKUP(H840,Sheet1!$G:$G,Sheet1!$F:$F),IFERROR(_xlfn.XLOOKUP(1,(--($X$2:$X$1074=X840))*(--ISNUMBER(MATCH($H$2:$H$1074,Sheet1!$G:$G,0))),_xlfn.XLOOKUP($H$2:$H$1074,Sheet1!$G:$G,Sheet1!$F:$F,"")),"NOT FOUND"))</f>
        <v>0</v>
      </c>
      <c r="AF840" s="9" t="str">
        <f t="shared" si="54"/>
        <v/>
      </c>
      <c r="AG840" s="10" t="str">
        <f t="shared" si="55"/>
        <v/>
      </c>
      <c r="AH840" s="8" t="str" cm="1">
        <f t="array" ref="AH840">IF(OR(J840="",AE840="",AE840="NOT FOUND"),"",IF(Y840="RP",_xlfn.LET(_xlpm.desc,_xlfn.XLOOKUP(1,(--(Sheet1!$F$2:$F$754=AE840))*(--ISNUMBER(FIND("-",Sheet1!$W$2:$W$754,FIND("-",Sheet1!$W$2:$W$754)+1))),Sheet1!$W$2:$W$754,""),IF(_xlpm.desc="","NOT FOUND",LEFT(_xlpm.desc,FIND("-",_xlpm.desc,FIND("-",_xlpm.desc)+1))&amp;AE840)),LEFT(J840,FIND("-",J840,FIND("-",J840)+1))&amp;AE840))</f>
        <v/>
      </c>
    </row>
    <row r="841" spans="1:34" ht="15.75" customHeight="1" x14ac:dyDescent="0.2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 s="6" t="e">
        <f t="shared" si="45"/>
        <v>#VALUE!</v>
      </c>
      <c r="Y841" s="7" t="str">
        <f t="shared" si="46"/>
        <v>DC</v>
      </c>
      <c r="Z841" s="7">
        <f t="shared" si="47"/>
        <v>0</v>
      </c>
      <c r="AA841" s="7">
        <f t="shared" si="48"/>
        <v>0</v>
      </c>
      <c r="AB841" s="7">
        <f t="shared" si="49"/>
        <v>0</v>
      </c>
      <c r="AC841" s="7">
        <f t="shared" si="50"/>
        <v>0</v>
      </c>
      <c r="AD841" s="7">
        <f t="shared" si="51"/>
        <v>0</v>
      </c>
      <c r="AE841" s="8" cm="1">
        <f t="array" ref="AE841">IFERROR(_xlfn.XLOOKUP(H841,Sheet1!$G:$G,Sheet1!$F:$F),IFERROR(_xlfn.XLOOKUP(1,(--($X$2:$X$1074=X841))*(--ISNUMBER(MATCH($H$2:$H$1074,Sheet1!$G:$G,0))),_xlfn.XLOOKUP($H$2:$H$1074,Sheet1!$G:$G,Sheet1!$F:$F,"")),"NOT FOUND"))</f>
        <v>0</v>
      </c>
      <c r="AF841" s="9" t="str">
        <f t="shared" si="54"/>
        <v/>
      </c>
      <c r="AG841" s="10" t="str">
        <f t="shared" si="55"/>
        <v/>
      </c>
      <c r="AH841" s="8" t="str" cm="1">
        <f t="array" ref="AH841">IF(OR(J841="",AE841="",AE841="NOT FOUND"),"",IF(Y841="RP",_xlfn.LET(_xlpm.desc,_xlfn.XLOOKUP(1,(--(Sheet1!$F$2:$F$754=AE841))*(--ISNUMBER(FIND("-",Sheet1!$W$2:$W$754,FIND("-",Sheet1!$W$2:$W$754)+1))),Sheet1!$W$2:$W$754,""),IF(_xlpm.desc="","NOT FOUND",LEFT(_xlpm.desc,FIND("-",_xlpm.desc,FIND("-",_xlpm.desc)+1))&amp;AE841)),LEFT(J841,FIND("-",J841,FIND("-",J841)+1))&amp;AE841))</f>
        <v/>
      </c>
    </row>
    <row r="842" spans="1:34" ht="15.75" customHeight="1" x14ac:dyDescent="0.2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 s="6" t="e">
        <f t="shared" si="45"/>
        <v>#VALUE!</v>
      </c>
      <c r="Y842" s="7" t="str">
        <f t="shared" si="46"/>
        <v>DC</v>
      </c>
      <c r="Z842" s="7">
        <f t="shared" si="47"/>
        <v>0</v>
      </c>
      <c r="AA842" s="7">
        <f t="shared" si="48"/>
        <v>0</v>
      </c>
      <c r="AB842" s="7">
        <f t="shared" si="49"/>
        <v>0</v>
      </c>
      <c r="AC842" s="7">
        <f t="shared" si="50"/>
        <v>0</v>
      </c>
      <c r="AD842" s="7">
        <f t="shared" si="51"/>
        <v>0</v>
      </c>
      <c r="AE842" s="8" cm="1">
        <f t="array" ref="AE842">IFERROR(_xlfn.XLOOKUP(H842,Sheet1!$G:$G,Sheet1!$F:$F),IFERROR(_xlfn.XLOOKUP(1,(--($X$2:$X$1074=X842))*(--ISNUMBER(MATCH($H$2:$H$1074,Sheet1!$G:$G,0))),_xlfn.XLOOKUP($H$2:$H$1074,Sheet1!$G:$G,Sheet1!$F:$F,"")),"NOT FOUND"))</f>
        <v>0</v>
      </c>
      <c r="AF842" s="9" t="str">
        <f t="shared" si="54"/>
        <v/>
      </c>
      <c r="AG842" s="10" t="str">
        <f t="shared" si="55"/>
        <v/>
      </c>
      <c r="AH842" s="8" t="str" cm="1">
        <f t="array" ref="AH842">IF(OR(J842="",AE842="",AE842="NOT FOUND"),"",IF(Y842="RP",_xlfn.LET(_xlpm.desc,_xlfn.XLOOKUP(1,(--(Sheet1!$F$2:$F$754=AE842))*(--ISNUMBER(FIND("-",Sheet1!$W$2:$W$754,FIND("-",Sheet1!$W$2:$W$754)+1))),Sheet1!$W$2:$W$754,""),IF(_xlpm.desc="","NOT FOUND",LEFT(_xlpm.desc,FIND("-",_xlpm.desc,FIND("-",_xlpm.desc)+1))&amp;AE842)),LEFT(J842,FIND("-",J842,FIND("-",J842)+1))&amp;AE842))</f>
        <v/>
      </c>
    </row>
    <row r="843" spans="1:34" ht="15.75" customHeight="1" x14ac:dyDescent="0.2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 s="6" t="e">
        <f t="shared" si="45"/>
        <v>#VALUE!</v>
      </c>
      <c r="Y843" s="7" t="str">
        <f t="shared" si="46"/>
        <v>DC</v>
      </c>
      <c r="Z843" s="7">
        <f t="shared" si="47"/>
        <v>0</v>
      </c>
      <c r="AA843" s="7">
        <f t="shared" si="48"/>
        <v>0</v>
      </c>
      <c r="AB843" s="7">
        <f t="shared" si="49"/>
        <v>0</v>
      </c>
      <c r="AC843" s="7">
        <f t="shared" si="50"/>
        <v>0</v>
      </c>
      <c r="AD843" s="7">
        <f t="shared" si="51"/>
        <v>0</v>
      </c>
      <c r="AE843" s="8" cm="1">
        <f t="array" ref="AE843">IFERROR(_xlfn.XLOOKUP(H843,Sheet1!$G:$G,Sheet1!$F:$F),IFERROR(_xlfn.XLOOKUP(1,(--($X$2:$X$1074=X843))*(--ISNUMBER(MATCH($H$2:$H$1074,Sheet1!$G:$G,0))),_xlfn.XLOOKUP($H$2:$H$1074,Sheet1!$G:$G,Sheet1!$F:$F,"")),"NOT FOUND"))</f>
        <v>0</v>
      </c>
      <c r="AF843" s="9" t="str">
        <f t="shared" si="54"/>
        <v/>
      </c>
      <c r="AG843" s="10" t="str">
        <f t="shared" si="55"/>
        <v/>
      </c>
      <c r="AH843" s="8" t="str" cm="1">
        <f t="array" ref="AH843">IF(OR(J843="",AE843="",AE843="NOT FOUND"),"",IF(Y843="RP",_xlfn.LET(_xlpm.desc,_xlfn.XLOOKUP(1,(--(Sheet1!$F$2:$F$754=AE843))*(--ISNUMBER(FIND("-",Sheet1!$W$2:$W$754,FIND("-",Sheet1!$W$2:$W$754)+1))),Sheet1!$W$2:$W$754,""),IF(_xlpm.desc="","NOT FOUND",LEFT(_xlpm.desc,FIND("-",_xlpm.desc,FIND("-",_xlpm.desc)+1))&amp;AE843)),LEFT(J843,FIND("-",J843,FIND("-",J843)+1))&amp;AE843))</f>
        <v/>
      </c>
    </row>
    <row r="844" spans="1:34" ht="15.75" customHeight="1" x14ac:dyDescent="0.2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 s="6" t="e">
        <f t="shared" si="45"/>
        <v>#VALUE!</v>
      </c>
      <c r="Y844" s="7" t="str">
        <f t="shared" si="46"/>
        <v>DC</v>
      </c>
      <c r="Z844" s="7">
        <f t="shared" si="47"/>
        <v>0</v>
      </c>
      <c r="AA844" s="7">
        <f t="shared" si="48"/>
        <v>0</v>
      </c>
      <c r="AB844" s="7">
        <f t="shared" si="49"/>
        <v>0</v>
      </c>
      <c r="AC844" s="7">
        <f t="shared" si="50"/>
        <v>0</v>
      </c>
      <c r="AD844" s="7">
        <f t="shared" si="51"/>
        <v>0</v>
      </c>
      <c r="AE844" s="8" cm="1">
        <f t="array" ref="AE844">IFERROR(_xlfn.XLOOKUP(H844,Sheet1!$G:$G,Sheet1!$F:$F),IFERROR(_xlfn.XLOOKUP(1,(--($X$2:$X$1074=X844))*(--ISNUMBER(MATCH($H$2:$H$1074,Sheet1!$G:$G,0))),_xlfn.XLOOKUP($H$2:$H$1074,Sheet1!$G:$G,Sheet1!$F:$F,"")),"NOT FOUND"))</f>
        <v>0</v>
      </c>
      <c r="AF844" s="9" t="str">
        <f t="shared" si="54"/>
        <v/>
      </c>
      <c r="AG844" s="10" t="str">
        <f t="shared" si="55"/>
        <v/>
      </c>
      <c r="AH844" s="8" t="str" cm="1">
        <f t="array" ref="AH844">IF(OR(J844="",AE844="",AE844="NOT FOUND"),"",IF(Y844="RP",_xlfn.LET(_xlpm.desc,_xlfn.XLOOKUP(1,(--(Sheet1!$F$2:$F$754=AE844))*(--ISNUMBER(FIND("-",Sheet1!$W$2:$W$754,FIND("-",Sheet1!$W$2:$W$754)+1))),Sheet1!$W$2:$W$754,""),IF(_xlpm.desc="","NOT FOUND",LEFT(_xlpm.desc,FIND("-",_xlpm.desc,FIND("-",_xlpm.desc)+1))&amp;AE844)),LEFT(J844,FIND("-",J844,FIND("-",J844)+1))&amp;AE844))</f>
        <v/>
      </c>
    </row>
    <row r="845" spans="1:34" ht="15.75" customHeight="1" x14ac:dyDescent="0.2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 s="6" t="e">
        <f t="shared" si="45"/>
        <v>#VALUE!</v>
      </c>
      <c r="Y845" s="7" t="str">
        <f t="shared" si="46"/>
        <v>DC</v>
      </c>
      <c r="Z845" s="7">
        <f t="shared" si="47"/>
        <v>0</v>
      </c>
      <c r="AA845" s="7">
        <f t="shared" si="48"/>
        <v>0</v>
      </c>
      <c r="AB845" s="7">
        <f t="shared" si="49"/>
        <v>0</v>
      </c>
      <c r="AC845" s="7">
        <f t="shared" si="50"/>
        <v>0</v>
      </c>
      <c r="AD845" s="7">
        <f t="shared" si="51"/>
        <v>0</v>
      </c>
      <c r="AE845" s="8" cm="1">
        <f t="array" ref="AE845">IFERROR(_xlfn.XLOOKUP(H845,Sheet1!$G:$G,Sheet1!$F:$F),IFERROR(_xlfn.XLOOKUP(1,(--($X$2:$X$1074=X845))*(--ISNUMBER(MATCH($H$2:$H$1074,Sheet1!$G:$G,0))),_xlfn.XLOOKUP($H$2:$H$1074,Sheet1!$G:$G,Sheet1!$F:$F,"")),"NOT FOUND"))</f>
        <v>0</v>
      </c>
      <c r="AF845" s="9" t="str">
        <f t="shared" si="54"/>
        <v/>
      </c>
      <c r="AG845" s="10" t="str">
        <f t="shared" si="55"/>
        <v/>
      </c>
      <c r="AH845" s="8" t="str" cm="1">
        <f t="array" ref="AH845">IF(OR(J845="",AE845="",AE845="NOT FOUND"),"",IF(Y845="RP",_xlfn.LET(_xlpm.desc,_xlfn.XLOOKUP(1,(--(Sheet1!$F$2:$F$754=AE845))*(--ISNUMBER(FIND("-",Sheet1!$W$2:$W$754,FIND("-",Sheet1!$W$2:$W$754)+1))),Sheet1!$W$2:$W$754,""),IF(_xlpm.desc="","NOT FOUND",LEFT(_xlpm.desc,FIND("-",_xlpm.desc,FIND("-",_xlpm.desc)+1))&amp;AE845)),LEFT(J845,FIND("-",J845,FIND("-",J845)+1))&amp;AE845))</f>
        <v/>
      </c>
    </row>
    <row r="846" spans="1:34" ht="15.75" customHeight="1" x14ac:dyDescent="0.2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 s="6" t="e">
        <f t="shared" si="45"/>
        <v>#VALUE!</v>
      </c>
      <c r="Y846" s="7" t="str">
        <f t="shared" si="46"/>
        <v>DC</v>
      </c>
      <c r="Z846" s="7">
        <f t="shared" si="47"/>
        <v>0</v>
      </c>
      <c r="AA846" s="7">
        <f t="shared" si="48"/>
        <v>0</v>
      </c>
      <c r="AB846" s="7">
        <f t="shared" si="49"/>
        <v>0</v>
      </c>
      <c r="AC846" s="7">
        <f t="shared" si="50"/>
        <v>0</v>
      </c>
      <c r="AD846" s="7">
        <f t="shared" si="51"/>
        <v>0</v>
      </c>
      <c r="AE846" s="8" cm="1">
        <f t="array" ref="AE846">IFERROR(_xlfn.XLOOKUP(H846,Sheet1!$G:$G,Sheet1!$F:$F),IFERROR(_xlfn.XLOOKUP(1,(--($X$2:$X$1074=X846))*(--ISNUMBER(MATCH($H$2:$H$1074,Sheet1!$G:$G,0))),_xlfn.XLOOKUP($H$2:$H$1074,Sheet1!$G:$G,Sheet1!$F:$F,"")),"NOT FOUND"))</f>
        <v>0</v>
      </c>
      <c r="AF846" s="9" t="str">
        <f t="shared" si="54"/>
        <v/>
      </c>
      <c r="AG846" s="10" t="str">
        <f t="shared" si="55"/>
        <v/>
      </c>
      <c r="AH846" s="8" t="str" cm="1">
        <f t="array" ref="AH846">IF(OR(J846="",AE846="",AE846="NOT FOUND"),"",IF(Y846="RP",_xlfn.LET(_xlpm.desc,_xlfn.XLOOKUP(1,(--(Sheet1!$F$2:$F$754=AE846))*(--ISNUMBER(FIND("-",Sheet1!$W$2:$W$754,FIND("-",Sheet1!$W$2:$W$754)+1))),Sheet1!$W$2:$W$754,""),IF(_xlpm.desc="","NOT FOUND",LEFT(_xlpm.desc,FIND("-",_xlpm.desc,FIND("-",_xlpm.desc)+1))&amp;AE846)),LEFT(J846,FIND("-",J846,FIND("-",J846)+1))&amp;AE846))</f>
        <v/>
      </c>
    </row>
    <row r="847" spans="1:34" ht="15.75" customHeight="1" x14ac:dyDescent="0.2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 s="6" t="e">
        <f t="shared" si="45"/>
        <v>#VALUE!</v>
      </c>
      <c r="Y847" s="7" t="str">
        <f t="shared" si="46"/>
        <v>DC</v>
      </c>
      <c r="Z847" s="7">
        <f t="shared" si="47"/>
        <v>0</v>
      </c>
      <c r="AA847" s="7">
        <f t="shared" si="48"/>
        <v>0</v>
      </c>
      <c r="AB847" s="7">
        <f t="shared" si="49"/>
        <v>0</v>
      </c>
      <c r="AC847" s="7">
        <f t="shared" si="50"/>
        <v>0</v>
      </c>
      <c r="AD847" s="7">
        <f t="shared" si="51"/>
        <v>0</v>
      </c>
      <c r="AE847" s="8" cm="1">
        <f t="array" ref="AE847">IFERROR(_xlfn.XLOOKUP(H847,Sheet1!$G:$G,Sheet1!$F:$F),IFERROR(_xlfn.XLOOKUP(1,(--($X$2:$X$1074=X847))*(--ISNUMBER(MATCH($H$2:$H$1074,Sheet1!$G:$G,0))),_xlfn.XLOOKUP($H$2:$H$1074,Sheet1!$G:$G,Sheet1!$F:$F,"")),"NOT FOUND"))</f>
        <v>0</v>
      </c>
      <c r="AF847" s="9" t="str">
        <f t="shared" si="54"/>
        <v/>
      </c>
      <c r="AG847" s="10" t="str">
        <f t="shared" si="55"/>
        <v/>
      </c>
      <c r="AH847" s="8" t="str" cm="1">
        <f t="array" ref="AH847">IF(OR(J847="",AE847="",AE847="NOT FOUND"),"",IF(Y847="RP",_xlfn.LET(_xlpm.desc,_xlfn.XLOOKUP(1,(--(Sheet1!$F$2:$F$754=AE847))*(--ISNUMBER(FIND("-",Sheet1!$W$2:$W$754,FIND("-",Sheet1!$W$2:$W$754)+1))),Sheet1!$W$2:$W$754,""),IF(_xlpm.desc="","NOT FOUND",LEFT(_xlpm.desc,FIND("-",_xlpm.desc,FIND("-",_xlpm.desc)+1))&amp;AE847)),LEFT(J847,FIND("-",J847,FIND("-",J847)+1))&amp;AE847))</f>
        <v/>
      </c>
    </row>
    <row r="848" spans="1:34" ht="15.75" customHeight="1" x14ac:dyDescent="0.2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 s="6" t="e">
        <f t="shared" si="45"/>
        <v>#VALUE!</v>
      </c>
      <c r="Y848" s="7" t="str">
        <f t="shared" si="46"/>
        <v>DC</v>
      </c>
      <c r="Z848" s="7">
        <f t="shared" si="47"/>
        <v>0</v>
      </c>
      <c r="AA848" s="7">
        <f t="shared" si="48"/>
        <v>0</v>
      </c>
      <c r="AB848" s="7">
        <f t="shared" si="49"/>
        <v>0</v>
      </c>
      <c r="AC848" s="7">
        <f t="shared" si="50"/>
        <v>0</v>
      </c>
      <c r="AD848" s="7">
        <f t="shared" si="51"/>
        <v>0</v>
      </c>
      <c r="AE848" s="8" cm="1">
        <f t="array" ref="AE848">IFERROR(_xlfn.XLOOKUP(H848,Sheet1!$G:$G,Sheet1!$F:$F),IFERROR(_xlfn.XLOOKUP(1,(--($X$2:$X$1074=X848))*(--ISNUMBER(MATCH($H$2:$H$1074,Sheet1!$G:$G,0))),_xlfn.XLOOKUP($H$2:$H$1074,Sheet1!$G:$G,Sheet1!$F:$F,"")),"NOT FOUND"))</f>
        <v>0</v>
      </c>
      <c r="AF848" s="9" t="str">
        <f t="shared" si="54"/>
        <v/>
      </c>
      <c r="AG848" s="10" t="str">
        <f t="shared" si="55"/>
        <v/>
      </c>
      <c r="AH848" s="8" t="str" cm="1">
        <f t="array" ref="AH848">IF(OR(J848="",AE848="",AE848="NOT FOUND"),"",IF(Y848="RP",_xlfn.LET(_xlpm.desc,_xlfn.XLOOKUP(1,(--(Sheet1!$F$2:$F$754=AE848))*(--ISNUMBER(FIND("-",Sheet1!$W$2:$W$754,FIND("-",Sheet1!$W$2:$W$754)+1))),Sheet1!$W$2:$W$754,""),IF(_xlpm.desc="","NOT FOUND",LEFT(_xlpm.desc,FIND("-",_xlpm.desc,FIND("-",_xlpm.desc)+1))&amp;AE848)),LEFT(J848,FIND("-",J848,FIND("-",J848)+1))&amp;AE848))</f>
        <v/>
      </c>
    </row>
    <row r="849" spans="1:34" ht="15.75" customHeight="1" x14ac:dyDescent="0.2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 s="6" t="e">
        <f t="shared" si="45"/>
        <v>#VALUE!</v>
      </c>
      <c r="Y849" s="7" t="str">
        <f t="shared" si="46"/>
        <v>DC</v>
      </c>
      <c r="Z849" s="7">
        <f t="shared" si="47"/>
        <v>0</v>
      </c>
      <c r="AA849" s="7">
        <f t="shared" si="48"/>
        <v>0</v>
      </c>
      <c r="AB849" s="7">
        <f t="shared" si="49"/>
        <v>0</v>
      </c>
      <c r="AC849" s="7">
        <f t="shared" si="50"/>
        <v>0</v>
      </c>
      <c r="AD849" s="7">
        <f t="shared" si="51"/>
        <v>0</v>
      </c>
      <c r="AE849" s="8" cm="1">
        <f t="array" ref="AE849">IFERROR(_xlfn.XLOOKUP(H849,Sheet1!$G:$G,Sheet1!$F:$F),IFERROR(_xlfn.XLOOKUP(1,(--($X$2:$X$1074=X849))*(--ISNUMBER(MATCH($H$2:$H$1074,Sheet1!$G:$G,0))),_xlfn.XLOOKUP($H$2:$H$1074,Sheet1!$G:$G,Sheet1!$F:$F,"")),"NOT FOUND"))</f>
        <v>0</v>
      </c>
      <c r="AF849" s="9" t="str">
        <f t="shared" si="54"/>
        <v/>
      </c>
      <c r="AG849" s="10" t="str">
        <f t="shared" si="55"/>
        <v/>
      </c>
      <c r="AH849" s="8" t="str" cm="1">
        <f t="array" ref="AH849">IF(OR(J849="",AE849="",AE849="NOT FOUND"),"",IF(Y849="RP",_xlfn.LET(_xlpm.desc,_xlfn.XLOOKUP(1,(--(Sheet1!$F$2:$F$754=AE849))*(--ISNUMBER(FIND("-",Sheet1!$W$2:$W$754,FIND("-",Sheet1!$W$2:$W$754)+1))),Sheet1!$W$2:$W$754,""),IF(_xlpm.desc="","NOT FOUND",LEFT(_xlpm.desc,FIND("-",_xlpm.desc,FIND("-",_xlpm.desc)+1))&amp;AE849)),LEFT(J849,FIND("-",J849,FIND("-",J849)+1))&amp;AE849))</f>
        <v/>
      </c>
    </row>
    <row r="850" spans="1:34" ht="15.75" customHeight="1" x14ac:dyDescent="0.2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 s="6" t="e">
        <f t="shared" si="45"/>
        <v>#VALUE!</v>
      </c>
      <c r="Y850" s="7" t="str">
        <f t="shared" si="46"/>
        <v>DC</v>
      </c>
      <c r="Z850" s="7">
        <f t="shared" si="47"/>
        <v>0</v>
      </c>
      <c r="AA850" s="7">
        <f t="shared" si="48"/>
        <v>0</v>
      </c>
      <c r="AB850" s="7">
        <f t="shared" si="49"/>
        <v>0</v>
      </c>
      <c r="AC850" s="7">
        <f t="shared" si="50"/>
        <v>0</v>
      </c>
      <c r="AD850" s="7">
        <f t="shared" si="51"/>
        <v>0</v>
      </c>
      <c r="AE850" s="8" cm="1">
        <f t="array" ref="AE850">IFERROR(_xlfn.XLOOKUP(H850,Sheet1!$G:$G,Sheet1!$F:$F),IFERROR(_xlfn.XLOOKUP(1,(--($X$2:$X$1074=X850))*(--ISNUMBER(MATCH($H$2:$H$1074,Sheet1!$G:$G,0))),_xlfn.XLOOKUP($H$2:$H$1074,Sheet1!$G:$G,Sheet1!$F:$F,"")),"NOT FOUND"))</f>
        <v>0</v>
      </c>
      <c r="AF850" s="9" t="str">
        <f t="shared" si="54"/>
        <v/>
      </c>
      <c r="AG850" s="10" t="str">
        <f t="shared" si="55"/>
        <v/>
      </c>
      <c r="AH850" s="8" t="str" cm="1">
        <f t="array" ref="AH850">IF(OR(J850="",AE850="",AE850="NOT FOUND"),"",IF(Y850="RP",_xlfn.LET(_xlpm.desc,_xlfn.XLOOKUP(1,(--(Sheet1!$F$2:$F$754=AE850))*(--ISNUMBER(FIND("-",Sheet1!$W$2:$W$754,FIND("-",Sheet1!$W$2:$W$754)+1))),Sheet1!$W$2:$W$754,""),IF(_xlpm.desc="","NOT FOUND",LEFT(_xlpm.desc,FIND("-",_xlpm.desc,FIND("-",_xlpm.desc)+1))&amp;AE850)),LEFT(J850,FIND("-",J850,FIND("-",J850)+1))&amp;AE850))</f>
        <v/>
      </c>
    </row>
    <row r="851" spans="1:34" ht="15.75" customHeight="1" x14ac:dyDescent="0.2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 s="6" t="e">
        <f t="shared" si="45"/>
        <v>#VALUE!</v>
      </c>
      <c r="Y851" s="7" t="str">
        <f t="shared" si="46"/>
        <v>DC</v>
      </c>
      <c r="Z851" s="7">
        <f t="shared" si="47"/>
        <v>0</v>
      </c>
      <c r="AA851" s="7">
        <f t="shared" si="48"/>
        <v>0</v>
      </c>
      <c r="AB851" s="7">
        <f t="shared" si="49"/>
        <v>0</v>
      </c>
      <c r="AC851" s="7">
        <f t="shared" si="50"/>
        <v>0</v>
      </c>
      <c r="AD851" s="7">
        <f t="shared" si="51"/>
        <v>0</v>
      </c>
      <c r="AE851" s="8" cm="1">
        <f t="array" ref="AE851">IFERROR(_xlfn.XLOOKUP(H851,Sheet1!$G:$G,Sheet1!$F:$F),IFERROR(_xlfn.XLOOKUP(1,(--($X$2:$X$1074=X851))*(--ISNUMBER(MATCH($H$2:$H$1074,Sheet1!$G:$G,0))),_xlfn.XLOOKUP($H$2:$H$1074,Sheet1!$G:$G,Sheet1!$F:$F,"")),"NOT FOUND"))</f>
        <v>0</v>
      </c>
      <c r="AF851" s="9" t="str">
        <f t="shared" si="54"/>
        <v/>
      </c>
      <c r="AG851" s="10" t="str">
        <f t="shared" si="55"/>
        <v/>
      </c>
      <c r="AH851" s="8" t="str" cm="1">
        <f t="array" ref="AH851">IF(OR(J851="",AE851="",AE851="NOT FOUND"),"",IF(Y851="RP",_xlfn.LET(_xlpm.desc,_xlfn.XLOOKUP(1,(--(Sheet1!$F$2:$F$754=AE851))*(--ISNUMBER(FIND("-",Sheet1!$W$2:$W$754,FIND("-",Sheet1!$W$2:$W$754)+1))),Sheet1!$W$2:$W$754,""),IF(_xlpm.desc="","NOT FOUND",LEFT(_xlpm.desc,FIND("-",_xlpm.desc,FIND("-",_xlpm.desc)+1))&amp;AE851)),LEFT(J851,FIND("-",J851,FIND("-",J851)+1))&amp;AE851))</f>
        <v/>
      </c>
    </row>
    <row r="852" spans="1:34" ht="15.75" customHeight="1" x14ac:dyDescent="0.2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 s="6" t="e">
        <f t="shared" si="45"/>
        <v>#VALUE!</v>
      </c>
      <c r="Y852" s="7" t="str">
        <f t="shared" si="46"/>
        <v>DC</v>
      </c>
      <c r="Z852" s="7">
        <f t="shared" si="47"/>
        <v>0</v>
      </c>
      <c r="AA852" s="7">
        <f t="shared" si="48"/>
        <v>0</v>
      </c>
      <c r="AB852" s="7">
        <f t="shared" si="49"/>
        <v>0</v>
      </c>
      <c r="AC852" s="7">
        <f t="shared" si="50"/>
        <v>0</v>
      </c>
      <c r="AD852" s="7">
        <f t="shared" si="51"/>
        <v>0</v>
      </c>
      <c r="AE852" s="8" cm="1">
        <f t="array" ref="AE852">IFERROR(_xlfn.XLOOKUP(H852,Sheet1!$G:$G,Sheet1!$F:$F),IFERROR(_xlfn.XLOOKUP(1,(--($X$2:$X$1074=X852))*(--ISNUMBER(MATCH($H$2:$H$1074,Sheet1!$G:$G,0))),_xlfn.XLOOKUP($H$2:$H$1074,Sheet1!$G:$G,Sheet1!$F:$F,"")),"NOT FOUND"))</f>
        <v>0</v>
      </c>
      <c r="AF852" s="9" t="str">
        <f t="shared" si="54"/>
        <v/>
      </c>
      <c r="AG852" s="10" t="str">
        <f t="shared" si="55"/>
        <v/>
      </c>
      <c r="AH852" s="8" t="str" cm="1">
        <f t="array" ref="AH852">IF(OR(J852="",AE852="",AE852="NOT FOUND"),"",IF(Y852="RP",_xlfn.LET(_xlpm.desc,_xlfn.XLOOKUP(1,(--(Sheet1!$F$2:$F$754=AE852))*(--ISNUMBER(FIND("-",Sheet1!$W$2:$W$754,FIND("-",Sheet1!$W$2:$W$754)+1))),Sheet1!$W$2:$W$754,""),IF(_xlpm.desc="","NOT FOUND",LEFT(_xlpm.desc,FIND("-",_xlpm.desc,FIND("-",_xlpm.desc)+1))&amp;AE852)),LEFT(J852,FIND("-",J852,FIND("-",J852)+1))&amp;AE852))</f>
        <v/>
      </c>
    </row>
    <row r="853" spans="1:34" ht="15.75" customHeight="1" x14ac:dyDescent="0.2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 s="6" t="e">
        <f t="shared" si="45"/>
        <v>#VALUE!</v>
      </c>
      <c r="Y853" s="7" t="str">
        <f t="shared" si="46"/>
        <v>DC</v>
      </c>
      <c r="Z853" s="7">
        <f t="shared" si="47"/>
        <v>0</v>
      </c>
      <c r="AA853" s="7">
        <f t="shared" si="48"/>
        <v>0</v>
      </c>
      <c r="AB853" s="7">
        <f t="shared" si="49"/>
        <v>0</v>
      </c>
      <c r="AC853" s="7">
        <f t="shared" si="50"/>
        <v>0</v>
      </c>
      <c r="AD853" s="7">
        <f t="shared" si="51"/>
        <v>0</v>
      </c>
      <c r="AE853" s="8" cm="1">
        <f t="array" ref="AE853">IFERROR(_xlfn.XLOOKUP(H853,Sheet1!$G:$G,Sheet1!$F:$F),IFERROR(_xlfn.XLOOKUP(1,(--($X$2:$X$1074=X853))*(--ISNUMBER(MATCH($H$2:$H$1074,Sheet1!$G:$G,0))),_xlfn.XLOOKUP($H$2:$H$1074,Sheet1!$G:$G,Sheet1!$F:$F,"")),"NOT FOUND"))</f>
        <v>0</v>
      </c>
      <c r="AF853" s="9" t="str">
        <f t="shared" si="54"/>
        <v/>
      </c>
      <c r="AG853" s="10" t="str">
        <f t="shared" si="55"/>
        <v/>
      </c>
      <c r="AH853" s="8" t="str" cm="1">
        <f t="array" ref="AH853">IF(OR(J853="",AE853="",AE853="NOT FOUND"),"",IF(Y853="RP",_xlfn.LET(_xlpm.desc,_xlfn.XLOOKUP(1,(--(Sheet1!$F$2:$F$754=AE853))*(--ISNUMBER(FIND("-",Sheet1!$W$2:$W$754,FIND("-",Sheet1!$W$2:$W$754)+1))),Sheet1!$W$2:$W$754,""),IF(_xlpm.desc="","NOT FOUND",LEFT(_xlpm.desc,FIND("-",_xlpm.desc,FIND("-",_xlpm.desc)+1))&amp;AE853)),LEFT(J853,FIND("-",J853,FIND("-",J853)+1))&amp;AE853))</f>
        <v/>
      </c>
    </row>
    <row r="854" spans="1:34" ht="15.75" customHeight="1" x14ac:dyDescent="0.2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 s="6" t="e">
        <f t="shared" si="45"/>
        <v>#VALUE!</v>
      </c>
      <c r="Y854" s="7" t="str">
        <f t="shared" si="46"/>
        <v>DC</v>
      </c>
      <c r="Z854" s="7">
        <f t="shared" si="47"/>
        <v>0</v>
      </c>
      <c r="AA854" s="7">
        <f t="shared" si="48"/>
        <v>0</v>
      </c>
      <c r="AB854" s="7">
        <f t="shared" si="49"/>
        <v>0</v>
      </c>
      <c r="AC854" s="7">
        <f t="shared" si="50"/>
        <v>0</v>
      </c>
      <c r="AD854" s="7">
        <f t="shared" si="51"/>
        <v>0</v>
      </c>
      <c r="AE854" s="8" cm="1">
        <f t="array" ref="AE854">IFERROR(_xlfn.XLOOKUP(H854,Sheet1!$G:$G,Sheet1!$F:$F),IFERROR(_xlfn.XLOOKUP(1,(--($X$2:$X$1074=X854))*(--ISNUMBER(MATCH($H$2:$H$1074,Sheet1!$G:$G,0))),_xlfn.XLOOKUP($H$2:$H$1074,Sheet1!$G:$G,Sheet1!$F:$F,"")),"NOT FOUND"))</f>
        <v>0</v>
      </c>
      <c r="AF854" s="9" t="str">
        <f t="shared" si="54"/>
        <v/>
      </c>
      <c r="AG854" s="10" t="str">
        <f t="shared" si="55"/>
        <v/>
      </c>
      <c r="AH854" s="8" t="str" cm="1">
        <f t="array" ref="AH854">IF(OR(J854="",AE854="",AE854="NOT FOUND"),"",IF(Y854="RP",_xlfn.LET(_xlpm.desc,_xlfn.XLOOKUP(1,(--(Sheet1!$F$2:$F$754=AE854))*(--ISNUMBER(FIND("-",Sheet1!$W$2:$W$754,FIND("-",Sheet1!$W$2:$W$754)+1))),Sheet1!$W$2:$W$754,""),IF(_xlpm.desc="","NOT FOUND",LEFT(_xlpm.desc,FIND("-",_xlpm.desc,FIND("-",_xlpm.desc)+1))&amp;AE854)),LEFT(J854,FIND("-",J854,FIND("-",J854)+1))&amp;AE854))</f>
        <v/>
      </c>
    </row>
    <row r="855" spans="1:34" ht="15.75" customHeight="1" x14ac:dyDescent="0.2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 s="6" t="e">
        <f t="shared" si="45"/>
        <v>#VALUE!</v>
      </c>
      <c r="Y855" s="7" t="str">
        <f t="shared" si="46"/>
        <v>DC</v>
      </c>
      <c r="Z855" s="7">
        <f t="shared" si="47"/>
        <v>0</v>
      </c>
      <c r="AA855" s="7">
        <f t="shared" si="48"/>
        <v>0</v>
      </c>
      <c r="AB855" s="7">
        <f t="shared" si="49"/>
        <v>0</v>
      </c>
      <c r="AC855" s="7">
        <f t="shared" si="50"/>
        <v>0</v>
      </c>
      <c r="AD855" s="7">
        <f t="shared" si="51"/>
        <v>0</v>
      </c>
      <c r="AE855" s="8" cm="1">
        <f t="array" ref="AE855">IFERROR(_xlfn.XLOOKUP(H855,Sheet1!$G:$G,Sheet1!$F:$F),IFERROR(_xlfn.XLOOKUP(1,(--($X$2:$X$1074=X855))*(--ISNUMBER(MATCH($H$2:$H$1074,Sheet1!$G:$G,0))),_xlfn.XLOOKUP($H$2:$H$1074,Sheet1!$G:$G,Sheet1!$F:$F,"")),"NOT FOUND"))</f>
        <v>0</v>
      </c>
      <c r="AF855" s="9" t="str">
        <f t="shared" si="54"/>
        <v/>
      </c>
      <c r="AG855" s="10" t="str">
        <f t="shared" si="55"/>
        <v/>
      </c>
      <c r="AH855" s="8" t="str" cm="1">
        <f t="array" ref="AH855">IF(OR(J855="",AE855="",AE855="NOT FOUND"),"",IF(Y855="RP",_xlfn.LET(_xlpm.desc,_xlfn.XLOOKUP(1,(--(Sheet1!$F$2:$F$754=AE855))*(--ISNUMBER(FIND("-",Sheet1!$W$2:$W$754,FIND("-",Sheet1!$W$2:$W$754)+1))),Sheet1!$W$2:$W$754,""),IF(_xlpm.desc="","NOT FOUND",LEFT(_xlpm.desc,FIND("-",_xlpm.desc,FIND("-",_xlpm.desc)+1))&amp;AE855)),LEFT(J855,FIND("-",J855,FIND("-",J855)+1))&amp;AE855))</f>
        <v/>
      </c>
    </row>
    <row r="856" spans="1:34" ht="15.75" customHeight="1" x14ac:dyDescent="0.2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 s="6" t="e">
        <f t="shared" si="45"/>
        <v>#VALUE!</v>
      </c>
      <c r="Y856" s="7" t="str">
        <f t="shared" si="46"/>
        <v>DC</v>
      </c>
      <c r="Z856" s="7">
        <f t="shared" si="47"/>
        <v>0</v>
      </c>
      <c r="AA856" s="7">
        <f t="shared" si="48"/>
        <v>0</v>
      </c>
      <c r="AB856" s="7">
        <f t="shared" si="49"/>
        <v>0</v>
      </c>
      <c r="AC856" s="7">
        <f t="shared" si="50"/>
        <v>0</v>
      </c>
      <c r="AD856" s="7">
        <f t="shared" si="51"/>
        <v>0</v>
      </c>
      <c r="AE856" s="8" cm="1">
        <f t="array" ref="AE856">IFERROR(_xlfn.XLOOKUP(H856,Sheet1!$G:$G,Sheet1!$F:$F),IFERROR(_xlfn.XLOOKUP(1,(--($X$2:$X$1074=X856))*(--ISNUMBER(MATCH($H$2:$H$1074,Sheet1!$G:$G,0))),_xlfn.XLOOKUP($H$2:$H$1074,Sheet1!$G:$G,Sheet1!$F:$F,"")),"NOT FOUND"))</f>
        <v>0</v>
      </c>
      <c r="AF856" s="9" t="str">
        <f t="shared" si="54"/>
        <v/>
      </c>
      <c r="AG856" s="10" t="str">
        <f t="shared" si="55"/>
        <v/>
      </c>
      <c r="AH856" s="8" t="str" cm="1">
        <f t="array" ref="AH856">IF(OR(J856="",AE856="",AE856="NOT FOUND"),"",IF(Y856="RP",_xlfn.LET(_xlpm.desc,_xlfn.XLOOKUP(1,(--(Sheet1!$F$2:$F$754=AE856))*(--ISNUMBER(FIND("-",Sheet1!$W$2:$W$754,FIND("-",Sheet1!$W$2:$W$754)+1))),Sheet1!$W$2:$W$754,""),IF(_xlpm.desc="","NOT FOUND",LEFT(_xlpm.desc,FIND("-",_xlpm.desc,FIND("-",_xlpm.desc)+1))&amp;AE856)),LEFT(J856,FIND("-",J856,FIND("-",J856)+1))&amp;AE856))</f>
        <v/>
      </c>
    </row>
    <row r="857" spans="1:34" ht="15.75" customHeight="1" x14ac:dyDescent="0.2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 s="6" t="e">
        <f t="shared" si="45"/>
        <v>#VALUE!</v>
      </c>
      <c r="Y857" s="7" t="str">
        <f t="shared" si="46"/>
        <v>DC</v>
      </c>
      <c r="Z857" s="7">
        <f t="shared" si="47"/>
        <v>0</v>
      </c>
      <c r="AA857" s="7">
        <f t="shared" si="48"/>
        <v>0</v>
      </c>
      <c r="AB857" s="7">
        <f t="shared" si="49"/>
        <v>0</v>
      </c>
      <c r="AC857" s="7">
        <f t="shared" si="50"/>
        <v>0</v>
      </c>
      <c r="AD857" s="7">
        <f t="shared" si="51"/>
        <v>0</v>
      </c>
      <c r="AE857" s="8" cm="1">
        <f t="array" ref="AE857">IFERROR(_xlfn.XLOOKUP(H857,Sheet1!$G:$G,Sheet1!$F:$F),IFERROR(_xlfn.XLOOKUP(1,(--($X$2:$X$1074=X857))*(--ISNUMBER(MATCH($H$2:$H$1074,Sheet1!$G:$G,0))),_xlfn.XLOOKUP($H$2:$H$1074,Sheet1!$G:$G,Sheet1!$F:$F,"")),"NOT FOUND"))</f>
        <v>0</v>
      </c>
      <c r="AF857" s="9" t="str">
        <f t="shared" si="54"/>
        <v/>
      </c>
      <c r="AG857" s="10" t="str">
        <f t="shared" si="55"/>
        <v/>
      </c>
      <c r="AH857" s="8" t="str" cm="1">
        <f t="array" ref="AH857">IF(OR(J857="",AE857="",AE857="NOT FOUND"),"",IF(Y857="RP",_xlfn.LET(_xlpm.desc,_xlfn.XLOOKUP(1,(--(Sheet1!$F$2:$F$754=AE857))*(--ISNUMBER(FIND("-",Sheet1!$W$2:$W$754,FIND("-",Sheet1!$W$2:$W$754)+1))),Sheet1!$W$2:$W$754,""),IF(_xlpm.desc="","NOT FOUND",LEFT(_xlpm.desc,FIND("-",_xlpm.desc,FIND("-",_xlpm.desc)+1))&amp;AE857)),LEFT(J857,FIND("-",J857,FIND("-",J857)+1))&amp;AE857))</f>
        <v/>
      </c>
    </row>
    <row r="858" spans="1:34" ht="15.75" customHeight="1" x14ac:dyDescent="0.2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 s="6" t="e">
        <f t="shared" si="45"/>
        <v>#VALUE!</v>
      </c>
      <c r="Y858" s="7" t="str">
        <f t="shared" si="46"/>
        <v>DC</v>
      </c>
      <c r="Z858" s="7">
        <f t="shared" si="47"/>
        <v>0</v>
      </c>
      <c r="AA858" s="7">
        <f t="shared" si="48"/>
        <v>0</v>
      </c>
      <c r="AB858" s="7">
        <f t="shared" si="49"/>
        <v>0</v>
      </c>
      <c r="AC858" s="7">
        <f t="shared" si="50"/>
        <v>0</v>
      </c>
      <c r="AD858" s="7">
        <f t="shared" si="51"/>
        <v>0</v>
      </c>
      <c r="AE858" s="8" cm="1">
        <f t="array" ref="AE858">IFERROR(_xlfn.XLOOKUP(H858,Sheet1!$G:$G,Sheet1!$F:$F),IFERROR(_xlfn.XLOOKUP(1,(--($X$2:$X$1074=X858))*(--ISNUMBER(MATCH($H$2:$H$1074,Sheet1!$G:$G,0))),_xlfn.XLOOKUP($H$2:$H$1074,Sheet1!$G:$G,Sheet1!$F:$F,"")),"NOT FOUND"))</f>
        <v>0</v>
      </c>
      <c r="AF858" s="9" t="str">
        <f t="shared" si="54"/>
        <v/>
      </c>
      <c r="AG858" s="10" t="str">
        <f t="shared" si="55"/>
        <v/>
      </c>
      <c r="AH858" s="8" t="str" cm="1">
        <f t="array" ref="AH858">IF(OR(J858="",AE858="",AE858="NOT FOUND"),"",IF(Y858="RP",_xlfn.LET(_xlpm.desc,_xlfn.XLOOKUP(1,(--(Sheet1!$F$2:$F$754=AE858))*(--ISNUMBER(FIND("-",Sheet1!$W$2:$W$754,FIND("-",Sheet1!$W$2:$W$754)+1))),Sheet1!$W$2:$W$754,""),IF(_xlpm.desc="","NOT FOUND",LEFT(_xlpm.desc,FIND("-",_xlpm.desc,FIND("-",_xlpm.desc)+1))&amp;AE858)),LEFT(J858,FIND("-",J858,FIND("-",J858)+1))&amp;AE858))</f>
        <v/>
      </c>
    </row>
    <row r="859" spans="1:34" ht="15.75" customHeight="1" x14ac:dyDescent="0.2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 s="6" t="e">
        <f t="shared" si="45"/>
        <v>#VALUE!</v>
      </c>
      <c r="Y859" s="7" t="str">
        <f t="shared" si="46"/>
        <v>DC</v>
      </c>
      <c r="Z859" s="7">
        <f t="shared" si="47"/>
        <v>0</v>
      </c>
      <c r="AA859" s="7">
        <f t="shared" si="48"/>
        <v>0</v>
      </c>
      <c r="AB859" s="7">
        <f t="shared" si="49"/>
        <v>0</v>
      </c>
      <c r="AC859" s="7">
        <f t="shared" si="50"/>
        <v>0</v>
      </c>
      <c r="AD859" s="7">
        <f t="shared" si="51"/>
        <v>0</v>
      </c>
      <c r="AE859" s="8" cm="1">
        <f t="array" ref="AE859">IFERROR(_xlfn.XLOOKUP(H859,Sheet1!$G:$G,Sheet1!$F:$F),IFERROR(_xlfn.XLOOKUP(1,(--($X$2:$X$1074=X859))*(--ISNUMBER(MATCH($H$2:$H$1074,Sheet1!$G:$G,0))),_xlfn.XLOOKUP($H$2:$H$1074,Sheet1!$G:$G,Sheet1!$F:$F,"")),"NOT FOUND"))</f>
        <v>0</v>
      </c>
      <c r="AF859" s="9" t="str">
        <f t="shared" si="54"/>
        <v/>
      </c>
      <c r="AG859" s="10" t="str">
        <f t="shared" si="55"/>
        <v/>
      </c>
      <c r="AH859" s="8" t="str" cm="1">
        <f t="array" ref="AH859">IF(OR(J859="",AE859="",AE859="NOT FOUND"),"",IF(Y859="RP",_xlfn.LET(_xlpm.desc,_xlfn.XLOOKUP(1,(--(Sheet1!$F$2:$F$754=AE859))*(--ISNUMBER(FIND("-",Sheet1!$W$2:$W$754,FIND("-",Sheet1!$W$2:$W$754)+1))),Sheet1!$W$2:$W$754,""),IF(_xlpm.desc="","NOT FOUND",LEFT(_xlpm.desc,FIND("-",_xlpm.desc,FIND("-",_xlpm.desc)+1))&amp;AE859)),LEFT(J859,FIND("-",J859,FIND("-",J859)+1))&amp;AE859))</f>
        <v/>
      </c>
    </row>
    <row r="860" spans="1:34" ht="15.75" customHeight="1" x14ac:dyDescent="0.2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 s="6" t="e">
        <f t="shared" si="45"/>
        <v>#VALUE!</v>
      </c>
      <c r="Y860" s="7" t="str">
        <f t="shared" si="46"/>
        <v>DC</v>
      </c>
      <c r="Z860" s="7">
        <f t="shared" si="47"/>
        <v>0</v>
      </c>
      <c r="AA860" s="7">
        <f t="shared" si="48"/>
        <v>0</v>
      </c>
      <c r="AB860" s="7">
        <f t="shared" si="49"/>
        <v>0</v>
      </c>
      <c r="AC860" s="7">
        <f t="shared" si="50"/>
        <v>0</v>
      </c>
      <c r="AD860" s="7">
        <f t="shared" si="51"/>
        <v>0</v>
      </c>
      <c r="AE860" s="8" cm="1">
        <f t="array" ref="AE860">IFERROR(_xlfn.XLOOKUP(H860,Sheet1!$G:$G,Sheet1!$F:$F),IFERROR(_xlfn.XLOOKUP(1,(--($X$2:$X$1074=X860))*(--ISNUMBER(MATCH($H$2:$H$1074,Sheet1!$G:$G,0))),_xlfn.XLOOKUP($H$2:$H$1074,Sheet1!$G:$G,Sheet1!$F:$F,"")),"NOT FOUND"))</f>
        <v>0</v>
      </c>
      <c r="AF860" s="9" t="str">
        <f t="shared" si="54"/>
        <v/>
      </c>
      <c r="AG860" s="10" t="str">
        <f t="shared" si="55"/>
        <v/>
      </c>
      <c r="AH860" s="8" t="str" cm="1">
        <f t="array" ref="AH860">IF(OR(J860="",AE860="",AE860="NOT FOUND"),"",IF(Y860="RP",_xlfn.LET(_xlpm.desc,_xlfn.XLOOKUP(1,(--(Sheet1!$F$2:$F$754=AE860))*(--ISNUMBER(FIND("-",Sheet1!$W$2:$W$754,FIND("-",Sheet1!$W$2:$W$754)+1))),Sheet1!$W$2:$W$754,""),IF(_xlpm.desc="","NOT FOUND",LEFT(_xlpm.desc,FIND("-",_xlpm.desc,FIND("-",_xlpm.desc)+1))&amp;AE860)),LEFT(J860,FIND("-",J860,FIND("-",J860)+1))&amp;AE860))</f>
        <v/>
      </c>
    </row>
    <row r="861" spans="1:34" ht="15.75" customHeight="1" x14ac:dyDescent="0.2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 s="6" t="e">
        <f t="shared" si="45"/>
        <v>#VALUE!</v>
      </c>
      <c r="Y861" s="7" t="str">
        <f t="shared" si="46"/>
        <v>DC</v>
      </c>
      <c r="Z861" s="7">
        <f t="shared" si="47"/>
        <v>0</v>
      </c>
      <c r="AA861" s="7">
        <f t="shared" si="48"/>
        <v>0</v>
      </c>
      <c r="AB861" s="7">
        <f t="shared" si="49"/>
        <v>0</v>
      </c>
      <c r="AC861" s="7">
        <f t="shared" si="50"/>
        <v>0</v>
      </c>
      <c r="AD861" s="7">
        <f t="shared" si="51"/>
        <v>0</v>
      </c>
      <c r="AE861" s="8" cm="1">
        <f t="array" ref="AE861">IFERROR(_xlfn.XLOOKUP(H861,Sheet1!$G:$G,Sheet1!$F:$F),IFERROR(_xlfn.XLOOKUP(1,(--($X$2:$X$1074=X861))*(--ISNUMBER(MATCH($H$2:$H$1074,Sheet1!$G:$G,0))),_xlfn.XLOOKUP($H$2:$H$1074,Sheet1!$G:$G,Sheet1!$F:$F,"")),"NOT FOUND"))</f>
        <v>0</v>
      </c>
      <c r="AF861" s="9" t="str">
        <f t="shared" si="54"/>
        <v/>
      </c>
      <c r="AG861" s="10" t="str">
        <f t="shared" si="55"/>
        <v/>
      </c>
      <c r="AH861" s="8" t="str" cm="1">
        <f t="array" ref="AH861">IF(OR(J861="",AE861="",AE861="NOT FOUND"),"",IF(Y861="RP",_xlfn.LET(_xlpm.desc,_xlfn.XLOOKUP(1,(--(Sheet1!$F$2:$F$754=AE861))*(--ISNUMBER(FIND("-",Sheet1!$W$2:$W$754,FIND("-",Sheet1!$W$2:$W$754)+1))),Sheet1!$W$2:$W$754,""),IF(_xlpm.desc="","NOT FOUND",LEFT(_xlpm.desc,FIND("-",_xlpm.desc,FIND("-",_xlpm.desc)+1))&amp;AE861)),LEFT(J861,FIND("-",J861,FIND("-",J861)+1))&amp;AE861))</f>
        <v/>
      </c>
    </row>
    <row r="862" spans="1:34" ht="15.75" customHeight="1" x14ac:dyDescent="0.2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 s="6" t="e">
        <f t="shared" si="45"/>
        <v>#VALUE!</v>
      </c>
      <c r="Y862" s="7" t="str">
        <f t="shared" si="46"/>
        <v>DC</v>
      </c>
      <c r="Z862" s="7">
        <f t="shared" si="47"/>
        <v>0</v>
      </c>
      <c r="AA862" s="7">
        <f t="shared" si="48"/>
        <v>0</v>
      </c>
      <c r="AB862" s="7">
        <f t="shared" si="49"/>
        <v>0</v>
      </c>
      <c r="AC862" s="7">
        <f t="shared" si="50"/>
        <v>0</v>
      </c>
      <c r="AD862" s="7">
        <f t="shared" si="51"/>
        <v>0</v>
      </c>
      <c r="AE862" s="8" cm="1">
        <f t="array" ref="AE862">IFERROR(_xlfn.XLOOKUP(H862,Sheet1!$G:$G,Sheet1!$F:$F),IFERROR(_xlfn.XLOOKUP(1,(--($X$2:$X$1074=X862))*(--ISNUMBER(MATCH($H$2:$H$1074,Sheet1!$G:$G,0))),_xlfn.XLOOKUP($H$2:$H$1074,Sheet1!$G:$G,Sheet1!$F:$F,"")),"NOT FOUND"))</f>
        <v>0</v>
      </c>
      <c r="AF862" s="9" t="str">
        <f t="shared" si="54"/>
        <v/>
      </c>
      <c r="AG862" s="10" t="str">
        <f t="shared" si="55"/>
        <v/>
      </c>
      <c r="AH862" s="8" t="str" cm="1">
        <f t="array" ref="AH862">IF(OR(J862="",AE862="",AE862="NOT FOUND"),"",IF(Y862="RP",_xlfn.LET(_xlpm.desc,_xlfn.XLOOKUP(1,(--(Sheet1!$F$2:$F$754=AE862))*(--ISNUMBER(FIND("-",Sheet1!$W$2:$W$754,FIND("-",Sheet1!$W$2:$W$754)+1))),Sheet1!$W$2:$W$754,""),IF(_xlpm.desc="","NOT FOUND",LEFT(_xlpm.desc,FIND("-",_xlpm.desc,FIND("-",_xlpm.desc)+1))&amp;AE862)),LEFT(J862,FIND("-",J862,FIND("-",J862)+1))&amp;AE862))</f>
        <v/>
      </c>
    </row>
    <row r="863" spans="1:34" ht="15.75" customHeight="1" x14ac:dyDescent="0.2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 s="6" t="e">
        <f t="shared" si="45"/>
        <v>#VALUE!</v>
      </c>
      <c r="Y863" s="7" t="str">
        <f t="shared" si="46"/>
        <v>DC</v>
      </c>
      <c r="Z863" s="7">
        <f t="shared" si="47"/>
        <v>0</v>
      </c>
      <c r="AA863" s="7">
        <f t="shared" si="48"/>
        <v>0</v>
      </c>
      <c r="AB863" s="7">
        <f t="shared" si="49"/>
        <v>0</v>
      </c>
      <c r="AC863" s="7">
        <f t="shared" si="50"/>
        <v>0</v>
      </c>
      <c r="AD863" s="7">
        <f t="shared" si="51"/>
        <v>0</v>
      </c>
      <c r="AE863" s="8" cm="1">
        <f t="array" ref="AE863">IFERROR(_xlfn.XLOOKUP(H863,Sheet1!$G:$G,Sheet1!$F:$F),IFERROR(_xlfn.XLOOKUP(1,(--($X$2:$X$1074=X863))*(--ISNUMBER(MATCH($H$2:$H$1074,Sheet1!$G:$G,0))),_xlfn.XLOOKUP($H$2:$H$1074,Sheet1!$G:$G,Sheet1!$F:$F,"")),"NOT FOUND"))</f>
        <v>0</v>
      </c>
      <c r="AF863" s="9" t="str">
        <f t="shared" si="54"/>
        <v/>
      </c>
      <c r="AG863" s="10" t="str">
        <f t="shared" si="55"/>
        <v/>
      </c>
      <c r="AH863" s="8" t="str" cm="1">
        <f t="array" ref="AH863">IF(OR(J863="",AE863="",AE863="NOT FOUND"),"",IF(Y863="RP",_xlfn.LET(_xlpm.desc,_xlfn.XLOOKUP(1,(--(Sheet1!$F$2:$F$754=AE863))*(--ISNUMBER(FIND("-",Sheet1!$W$2:$W$754,FIND("-",Sheet1!$W$2:$W$754)+1))),Sheet1!$W$2:$W$754,""),IF(_xlpm.desc="","NOT FOUND",LEFT(_xlpm.desc,FIND("-",_xlpm.desc,FIND("-",_xlpm.desc)+1))&amp;AE863)),LEFT(J863,FIND("-",J863,FIND("-",J863)+1))&amp;AE863))</f>
        <v/>
      </c>
    </row>
    <row r="864" spans="1:34" ht="15.75" customHeight="1" x14ac:dyDescent="0.2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 s="6" t="e">
        <f t="shared" si="45"/>
        <v>#VALUE!</v>
      </c>
      <c r="Y864" s="7" t="str">
        <f t="shared" si="46"/>
        <v>DC</v>
      </c>
      <c r="Z864" s="7">
        <f t="shared" si="47"/>
        <v>0</v>
      </c>
      <c r="AA864" s="7">
        <f t="shared" si="48"/>
        <v>0</v>
      </c>
      <c r="AB864" s="7">
        <f t="shared" si="49"/>
        <v>0</v>
      </c>
      <c r="AC864" s="7">
        <f t="shared" si="50"/>
        <v>0</v>
      </c>
      <c r="AD864" s="7">
        <f t="shared" si="51"/>
        <v>0</v>
      </c>
      <c r="AE864" s="8" cm="1">
        <f t="array" ref="AE864">IFERROR(_xlfn.XLOOKUP(H864,Sheet1!$G:$G,Sheet1!$F:$F),IFERROR(_xlfn.XLOOKUP(1,(--($X$2:$X$1074=X864))*(--ISNUMBER(MATCH($H$2:$H$1074,Sheet1!$G:$G,0))),_xlfn.XLOOKUP($H$2:$H$1074,Sheet1!$G:$G,Sheet1!$F:$F,"")),"NOT FOUND"))</f>
        <v>0</v>
      </c>
      <c r="AF864" s="9" t="str">
        <f t="shared" si="54"/>
        <v/>
      </c>
      <c r="AG864" s="10" t="str">
        <f t="shared" si="55"/>
        <v/>
      </c>
      <c r="AH864" s="8" t="str" cm="1">
        <f t="array" ref="AH864">IF(OR(J864="",AE864="",AE864="NOT FOUND"),"",IF(Y864="RP",_xlfn.LET(_xlpm.desc,_xlfn.XLOOKUP(1,(--(Sheet1!$F$2:$F$754=AE864))*(--ISNUMBER(FIND("-",Sheet1!$W$2:$W$754,FIND("-",Sheet1!$W$2:$W$754)+1))),Sheet1!$W$2:$W$754,""),IF(_xlpm.desc="","NOT FOUND",LEFT(_xlpm.desc,FIND("-",_xlpm.desc,FIND("-",_xlpm.desc)+1))&amp;AE864)),LEFT(J864,FIND("-",J864,FIND("-",J864)+1))&amp;AE864))</f>
        <v/>
      </c>
    </row>
    <row r="865" spans="1:34" ht="15.75" customHeight="1" x14ac:dyDescent="0.2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 s="6" t="e">
        <f t="shared" si="45"/>
        <v>#VALUE!</v>
      </c>
      <c r="Y865" s="7" t="str">
        <f t="shared" si="46"/>
        <v>DC</v>
      </c>
      <c r="Z865" s="7">
        <f t="shared" si="47"/>
        <v>0</v>
      </c>
      <c r="AA865" s="7">
        <f t="shared" si="48"/>
        <v>0</v>
      </c>
      <c r="AB865" s="7">
        <f t="shared" si="49"/>
        <v>0</v>
      </c>
      <c r="AC865" s="7">
        <f t="shared" si="50"/>
        <v>0</v>
      </c>
      <c r="AD865" s="7">
        <f t="shared" si="51"/>
        <v>0</v>
      </c>
      <c r="AE865" s="8" cm="1">
        <f t="array" ref="AE865">IFERROR(_xlfn.XLOOKUP(H865,Sheet1!$G:$G,Sheet1!$F:$F),IFERROR(_xlfn.XLOOKUP(1,(--($X$2:$X$1074=X865))*(--ISNUMBER(MATCH($H$2:$H$1074,Sheet1!$G:$G,0))),_xlfn.XLOOKUP($H$2:$H$1074,Sheet1!$G:$G,Sheet1!$F:$F,"")),"NOT FOUND"))</f>
        <v>0</v>
      </c>
      <c r="AF865" s="9" t="str">
        <f t="shared" si="54"/>
        <v/>
      </c>
      <c r="AG865" s="10" t="str">
        <f t="shared" si="55"/>
        <v/>
      </c>
      <c r="AH865" s="8" t="str" cm="1">
        <f t="array" ref="AH865">IF(OR(J865="",AE865="",AE865="NOT FOUND"),"",IF(Y865="RP",_xlfn.LET(_xlpm.desc,_xlfn.XLOOKUP(1,(--(Sheet1!$F$2:$F$754=AE865))*(--ISNUMBER(FIND("-",Sheet1!$W$2:$W$754,FIND("-",Sheet1!$W$2:$W$754)+1))),Sheet1!$W$2:$W$754,""),IF(_xlpm.desc="","NOT FOUND",LEFT(_xlpm.desc,FIND("-",_xlpm.desc,FIND("-",_xlpm.desc)+1))&amp;AE865)),LEFT(J865,FIND("-",J865,FIND("-",J865)+1))&amp;AE865))</f>
        <v/>
      </c>
    </row>
    <row r="866" spans="1:34" ht="15.75" customHeight="1" x14ac:dyDescent="0.2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 s="6" t="e">
        <f t="shared" si="45"/>
        <v>#VALUE!</v>
      </c>
      <c r="Y866" s="7" t="str">
        <f t="shared" si="46"/>
        <v>DC</v>
      </c>
      <c r="Z866" s="7">
        <f t="shared" si="47"/>
        <v>0</v>
      </c>
      <c r="AA866" s="7">
        <f t="shared" si="48"/>
        <v>0</v>
      </c>
      <c r="AB866" s="7">
        <f t="shared" si="49"/>
        <v>0</v>
      </c>
      <c r="AC866" s="7">
        <f t="shared" si="50"/>
        <v>0</v>
      </c>
      <c r="AD866" s="7">
        <f t="shared" si="51"/>
        <v>0</v>
      </c>
      <c r="AE866" s="8" cm="1">
        <f t="array" ref="AE866">IFERROR(_xlfn.XLOOKUP(H866,Sheet1!$G:$G,Sheet1!$F:$F),IFERROR(_xlfn.XLOOKUP(1,(--($X$2:$X$1074=X866))*(--ISNUMBER(MATCH($H$2:$H$1074,Sheet1!$G:$G,0))),_xlfn.XLOOKUP($H$2:$H$1074,Sheet1!$G:$G,Sheet1!$F:$F,"")),"NOT FOUND"))</f>
        <v>0</v>
      </c>
      <c r="AF866" s="9" t="str">
        <f t="shared" si="54"/>
        <v/>
      </c>
      <c r="AG866" s="10" t="str">
        <f t="shared" si="55"/>
        <v/>
      </c>
      <c r="AH866" s="8" t="str" cm="1">
        <f t="array" ref="AH866">IF(OR(J866="",AE866="",AE866="NOT FOUND"),"",IF(Y866="RP",_xlfn.LET(_xlpm.desc,_xlfn.XLOOKUP(1,(--(Sheet1!$F$2:$F$754=AE866))*(--ISNUMBER(FIND("-",Sheet1!$W$2:$W$754,FIND("-",Sheet1!$W$2:$W$754)+1))),Sheet1!$W$2:$W$754,""),IF(_xlpm.desc="","NOT FOUND",LEFT(_xlpm.desc,FIND("-",_xlpm.desc,FIND("-",_xlpm.desc)+1))&amp;AE866)),LEFT(J866,FIND("-",J866,FIND("-",J866)+1))&amp;AE866))</f>
        <v/>
      </c>
    </row>
    <row r="867" spans="1:34" ht="15.75" customHeight="1" x14ac:dyDescent="0.2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 s="6" t="e">
        <f t="shared" si="45"/>
        <v>#VALUE!</v>
      </c>
      <c r="Y867" s="7" t="str">
        <f t="shared" si="46"/>
        <v>DC</v>
      </c>
      <c r="Z867" s="7">
        <f t="shared" si="47"/>
        <v>0</v>
      </c>
      <c r="AA867" s="7">
        <f t="shared" si="48"/>
        <v>0</v>
      </c>
      <c r="AB867" s="7">
        <f t="shared" si="49"/>
        <v>0</v>
      </c>
      <c r="AC867" s="7">
        <f t="shared" si="50"/>
        <v>0</v>
      </c>
      <c r="AD867" s="7">
        <f t="shared" si="51"/>
        <v>0</v>
      </c>
      <c r="AE867" s="8" cm="1">
        <f t="array" ref="AE867">IFERROR(_xlfn.XLOOKUP(H867,Sheet1!$G:$G,Sheet1!$F:$F),IFERROR(_xlfn.XLOOKUP(1,(--($X$2:$X$1074=X867))*(--ISNUMBER(MATCH($H$2:$H$1074,Sheet1!$G:$G,0))),_xlfn.XLOOKUP($H$2:$H$1074,Sheet1!$G:$G,Sheet1!$F:$F,"")),"NOT FOUND"))</f>
        <v>0</v>
      </c>
      <c r="AF867" s="9" t="str">
        <f t="shared" si="54"/>
        <v/>
      </c>
      <c r="AG867" s="10" t="str">
        <f t="shared" si="55"/>
        <v/>
      </c>
      <c r="AH867" s="8" t="str" cm="1">
        <f t="array" ref="AH867">IF(OR(J867="",AE867="",AE867="NOT FOUND"),"",IF(Y867="RP",_xlfn.LET(_xlpm.desc,_xlfn.XLOOKUP(1,(--(Sheet1!$F$2:$F$754=AE867))*(--ISNUMBER(FIND("-",Sheet1!$W$2:$W$754,FIND("-",Sheet1!$W$2:$W$754)+1))),Sheet1!$W$2:$W$754,""),IF(_xlpm.desc="","NOT FOUND",LEFT(_xlpm.desc,FIND("-",_xlpm.desc,FIND("-",_xlpm.desc)+1))&amp;AE867)),LEFT(J867,FIND("-",J867,FIND("-",J867)+1))&amp;AE867))</f>
        <v/>
      </c>
    </row>
    <row r="868" spans="1:34" ht="15.75" customHeight="1" x14ac:dyDescent="0.2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 s="6" t="e">
        <f t="shared" si="45"/>
        <v>#VALUE!</v>
      </c>
      <c r="Y868" s="7" t="str">
        <f t="shared" si="46"/>
        <v>DC</v>
      </c>
      <c r="Z868" s="7">
        <f t="shared" si="47"/>
        <v>0</v>
      </c>
      <c r="AA868" s="7">
        <f t="shared" si="48"/>
        <v>0</v>
      </c>
      <c r="AB868" s="7">
        <f t="shared" si="49"/>
        <v>0</v>
      </c>
      <c r="AC868" s="7">
        <f t="shared" si="50"/>
        <v>0</v>
      </c>
      <c r="AD868" s="7">
        <f t="shared" si="51"/>
        <v>0</v>
      </c>
      <c r="AE868" s="8" cm="1">
        <f t="array" ref="AE868">IFERROR(_xlfn.XLOOKUP(H868,Sheet1!$G:$G,Sheet1!$F:$F),IFERROR(_xlfn.XLOOKUP(1,(--($X$2:$X$1074=X868))*(--ISNUMBER(MATCH($H$2:$H$1074,Sheet1!$G:$G,0))),_xlfn.XLOOKUP($H$2:$H$1074,Sheet1!$G:$G,Sheet1!$F:$F,"")),"NOT FOUND"))</f>
        <v>0</v>
      </c>
      <c r="AF868" s="9" t="str">
        <f t="shared" si="54"/>
        <v/>
      </c>
      <c r="AG868" s="10" t="str">
        <f t="shared" si="55"/>
        <v/>
      </c>
      <c r="AH868" s="8" t="str" cm="1">
        <f t="array" ref="AH868">IF(OR(J868="",AE868="",AE868="NOT FOUND"),"",IF(Y868="RP",_xlfn.LET(_xlpm.desc,_xlfn.XLOOKUP(1,(--(Sheet1!$F$2:$F$754=AE868))*(--ISNUMBER(FIND("-",Sheet1!$W$2:$W$754,FIND("-",Sheet1!$W$2:$W$754)+1))),Sheet1!$W$2:$W$754,""),IF(_xlpm.desc="","NOT FOUND",LEFT(_xlpm.desc,FIND("-",_xlpm.desc,FIND("-",_xlpm.desc)+1))&amp;AE868)),LEFT(J868,FIND("-",J868,FIND("-",J868)+1))&amp;AE868))</f>
        <v/>
      </c>
    </row>
    <row r="869" spans="1:34" ht="15.75" customHeight="1" x14ac:dyDescent="0.2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 s="6" t="e">
        <f t="shared" si="45"/>
        <v>#VALUE!</v>
      </c>
      <c r="Y869" s="7" t="str">
        <f t="shared" si="46"/>
        <v>DC</v>
      </c>
      <c r="Z869" s="7">
        <f t="shared" si="47"/>
        <v>0</v>
      </c>
      <c r="AA869" s="7">
        <f t="shared" si="48"/>
        <v>0</v>
      </c>
      <c r="AB869" s="7">
        <f t="shared" si="49"/>
        <v>0</v>
      </c>
      <c r="AC869" s="7">
        <f t="shared" si="50"/>
        <v>0</v>
      </c>
      <c r="AD869" s="7">
        <f t="shared" si="51"/>
        <v>0</v>
      </c>
      <c r="AE869" s="8" cm="1">
        <f t="array" ref="AE869">IFERROR(_xlfn.XLOOKUP(H869,Sheet1!$G:$G,Sheet1!$F:$F),IFERROR(_xlfn.XLOOKUP(1,(--($X$2:$X$1074=X869))*(--ISNUMBER(MATCH($H$2:$H$1074,Sheet1!$G:$G,0))),_xlfn.XLOOKUP($H$2:$H$1074,Sheet1!$G:$G,Sheet1!$F:$F,"")),"NOT FOUND"))</f>
        <v>0</v>
      </c>
      <c r="AF869" s="9" t="str">
        <f t="shared" si="54"/>
        <v/>
      </c>
      <c r="AG869" s="10" t="str">
        <f t="shared" si="55"/>
        <v/>
      </c>
      <c r="AH869" s="8" t="str" cm="1">
        <f t="array" ref="AH869">IF(OR(J869="",AE869="",AE869="NOT FOUND"),"",IF(Y869="RP",_xlfn.LET(_xlpm.desc,_xlfn.XLOOKUP(1,(--(Sheet1!$F$2:$F$754=AE869))*(--ISNUMBER(FIND("-",Sheet1!$W$2:$W$754,FIND("-",Sheet1!$W$2:$W$754)+1))),Sheet1!$W$2:$W$754,""),IF(_xlpm.desc="","NOT FOUND",LEFT(_xlpm.desc,FIND("-",_xlpm.desc,FIND("-",_xlpm.desc)+1))&amp;AE869)),LEFT(J869,FIND("-",J869,FIND("-",J869)+1))&amp;AE869))</f>
        <v/>
      </c>
    </row>
    <row r="870" spans="1:34" ht="15.75" customHeight="1" x14ac:dyDescent="0.2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 s="6" t="e">
        <f t="shared" si="45"/>
        <v>#VALUE!</v>
      </c>
      <c r="Y870" s="7" t="str">
        <f t="shared" si="46"/>
        <v>DC</v>
      </c>
      <c r="Z870" s="7">
        <f t="shared" si="47"/>
        <v>0</v>
      </c>
      <c r="AA870" s="7">
        <f t="shared" si="48"/>
        <v>0</v>
      </c>
      <c r="AB870" s="7">
        <f t="shared" si="49"/>
        <v>0</v>
      </c>
      <c r="AC870" s="7">
        <f t="shared" si="50"/>
        <v>0</v>
      </c>
      <c r="AD870" s="7">
        <f t="shared" si="51"/>
        <v>0</v>
      </c>
      <c r="AE870" s="8" cm="1">
        <f t="array" ref="AE870">IFERROR(_xlfn.XLOOKUP(H870,Sheet1!$G:$G,Sheet1!$F:$F),IFERROR(_xlfn.XLOOKUP(1,(--($X$2:$X$1074=X870))*(--ISNUMBER(MATCH($H$2:$H$1074,Sheet1!$G:$G,0))),_xlfn.XLOOKUP($H$2:$H$1074,Sheet1!$G:$G,Sheet1!$F:$F,"")),"NOT FOUND"))</f>
        <v>0</v>
      </c>
      <c r="AF870" s="9" t="str">
        <f t="shared" si="54"/>
        <v/>
      </c>
      <c r="AG870" s="10" t="str">
        <f t="shared" si="55"/>
        <v/>
      </c>
      <c r="AH870" s="8" t="str" cm="1">
        <f t="array" ref="AH870">IF(OR(J870="",AE870="",AE870="NOT FOUND"),"",IF(Y870="RP",_xlfn.LET(_xlpm.desc,_xlfn.XLOOKUP(1,(--(Sheet1!$F$2:$F$754=AE870))*(--ISNUMBER(FIND("-",Sheet1!$W$2:$W$754,FIND("-",Sheet1!$W$2:$W$754)+1))),Sheet1!$W$2:$W$754,""),IF(_xlpm.desc="","NOT FOUND",LEFT(_xlpm.desc,FIND("-",_xlpm.desc,FIND("-",_xlpm.desc)+1))&amp;AE870)),LEFT(J870,FIND("-",J870,FIND("-",J870)+1))&amp;AE870))</f>
        <v/>
      </c>
    </row>
    <row r="871" spans="1:34" ht="15.75" customHeight="1" x14ac:dyDescent="0.2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 s="6" t="e">
        <f t="shared" si="45"/>
        <v>#VALUE!</v>
      </c>
      <c r="Y871" s="7" t="str">
        <f t="shared" si="46"/>
        <v>DC</v>
      </c>
      <c r="Z871" s="7">
        <f t="shared" si="47"/>
        <v>0</v>
      </c>
      <c r="AA871" s="7">
        <f t="shared" si="48"/>
        <v>0</v>
      </c>
      <c r="AB871" s="7">
        <f t="shared" si="49"/>
        <v>0</v>
      </c>
      <c r="AC871" s="7">
        <f t="shared" si="50"/>
        <v>0</v>
      </c>
      <c r="AD871" s="7">
        <f t="shared" si="51"/>
        <v>0</v>
      </c>
      <c r="AE871" s="8" cm="1">
        <f t="array" ref="AE871">IFERROR(_xlfn.XLOOKUP(H871,Sheet1!$G:$G,Sheet1!$F:$F),IFERROR(_xlfn.XLOOKUP(1,(--($X$2:$X$1074=X871))*(--ISNUMBER(MATCH($H$2:$H$1074,Sheet1!$G:$G,0))),_xlfn.XLOOKUP($H$2:$H$1074,Sheet1!$G:$G,Sheet1!$F:$F,"")),"NOT FOUND"))</f>
        <v>0</v>
      </c>
      <c r="AF871" s="9" t="str">
        <f t="shared" si="54"/>
        <v/>
      </c>
      <c r="AG871" s="10" t="str">
        <f t="shared" si="55"/>
        <v/>
      </c>
      <c r="AH871" s="8" t="str" cm="1">
        <f t="array" ref="AH871">IF(OR(J871="",AE871="",AE871="NOT FOUND"),"",IF(Y871="RP",_xlfn.LET(_xlpm.desc,_xlfn.XLOOKUP(1,(--(Sheet1!$F$2:$F$754=AE871))*(--ISNUMBER(FIND("-",Sheet1!$W$2:$W$754,FIND("-",Sheet1!$W$2:$W$754)+1))),Sheet1!$W$2:$W$754,""),IF(_xlpm.desc="","NOT FOUND",LEFT(_xlpm.desc,FIND("-",_xlpm.desc,FIND("-",_xlpm.desc)+1))&amp;AE871)),LEFT(J871,FIND("-",J871,FIND("-",J871)+1))&amp;AE871))</f>
        <v/>
      </c>
    </row>
    <row r="872" spans="1:34" ht="15.75" customHeight="1" x14ac:dyDescent="0.2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 s="6" t="e">
        <f t="shared" si="45"/>
        <v>#VALUE!</v>
      </c>
      <c r="Y872" s="7" t="str">
        <f t="shared" si="46"/>
        <v>DC</v>
      </c>
      <c r="Z872" s="7">
        <f t="shared" si="47"/>
        <v>0</v>
      </c>
      <c r="AA872" s="7">
        <f t="shared" si="48"/>
        <v>0</v>
      </c>
      <c r="AB872" s="7">
        <f t="shared" si="49"/>
        <v>0</v>
      </c>
      <c r="AC872" s="7">
        <f t="shared" si="50"/>
        <v>0</v>
      </c>
      <c r="AD872" s="7">
        <f t="shared" si="51"/>
        <v>0</v>
      </c>
      <c r="AE872" s="8" cm="1">
        <f t="array" ref="AE872">IFERROR(_xlfn.XLOOKUP(H872,Sheet1!$G:$G,Sheet1!$F:$F),IFERROR(_xlfn.XLOOKUP(1,(--($X$2:$X$1074=X872))*(--ISNUMBER(MATCH($H$2:$H$1074,Sheet1!$G:$G,0))),_xlfn.XLOOKUP($H$2:$H$1074,Sheet1!$G:$G,Sheet1!$F:$F,"")),"NOT FOUND"))</f>
        <v>0</v>
      </c>
      <c r="AF872" s="9" t="str">
        <f t="shared" si="54"/>
        <v/>
      </c>
      <c r="AG872" s="10" t="str">
        <f t="shared" si="55"/>
        <v/>
      </c>
      <c r="AH872" s="8" t="str" cm="1">
        <f t="array" ref="AH872">IF(OR(J872="",AE872="",AE872="NOT FOUND"),"",IF(Y872="RP",_xlfn.LET(_xlpm.desc,_xlfn.XLOOKUP(1,(--(Sheet1!$F$2:$F$754=AE872))*(--ISNUMBER(FIND("-",Sheet1!$W$2:$W$754,FIND("-",Sheet1!$W$2:$W$754)+1))),Sheet1!$W$2:$W$754,""),IF(_xlpm.desc="","NOT FOUND",LEFT(_xlpm.desc,FIND("-",_xlpm.desc,FIND("-",_xlpm.desc)+1))&amp;AE872)),LEFT(J872,FIND("-",J872,FIND("-",J872)+1))&amp;AE872))</f>
        <v/>
      </c>
    </row>
    <row r="873" spans="1:34" ht="15.75" customHeight="1" x14ac:dyDescent="0.2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 s="6" t="e">
        <f t="shared" si="45"/>
        <v>#VALUE!</v>
      </c>
      <c r="Y873" s="7" t="str">
        <f t="shared" si="46"/>
        <v>DC</v>
      </c>
      <c r="Z873" s="7">
        <f t="shared" si="47"/>
        <v>0</v>
      </c>
      <c r="AA873" s="7">
        <f t="shared" si="48"/>
        <v>0</v>
      </c>
      <c r="AB873" s="7">
        <f t="shared" si="49"/>
        <v>0</v>
      </c>
      <c r="AC873" s="7">
        <f t="shared" si="50"/>
        <v>0</v>
      </c>
      <c r="AD873" s="7">
        <f t="shared" si="51"/>
        <v>0</v>
      </c>
      <c r="AE873" s="8" cm="1">
        <f t="array" ref="AE873">IFERROR(_xlfn.XLOOKUP(H873,Sheet1!$G:$G,Sheet1!$F:$F),IFERROR(_xlfn.XLOOKUP(1,(--($X$2:$X$1074=X873))*(--ISNUMBER(MATCH($H$2:$H$1074,Sheet1!$G:$G,0))),_xlfn.XLOOKUP($H$2:$H$1074,Sheet1!$G:$G,Sheet1!$F:$F,"")),"NOT FOUND"))</f>
        <v>0</v>
      </c>
      <c r="AF873" s="9" t="str">
        <f t="shared" si="54"/>
        <v/>
      </c>
      <c r="AG873" s="10" t="str">
        <f t="shared" si="55"/>
        <v/>
      </c>
      <c r="AH873" s="8" t="str" cm="1">
        <f t="array" ref="AH873">IF(OR(J873="",AE873="",AE873="NOT FOUND"),"",IF(Y873="RP",_xlfn.LET(_xlpm.desc,_xlfn.XLOOKUP(1,(--(Sheet1!$F$2:$F$754=AE873))*(--ISNUMBER(FIND("-",Sheet1!$W$2:$W$754,FIND("-",Sheet1!$W$2:$W$754)+1))),Sheet1!$W$2:$W$754,""),IF(_xlpm.desc="","NOT FOUND",LEFT(_xlpm.desc,FIND("-",_xlpm.desc,FIND("-",_xlpm.desc)+1))&amp;AE873)),LEFT(J873,FIND("-",J873,FIND("-",J873)+1))&amp;AE873))</f>
        <v/>
      </c>
    </row>
    <row r="874" spans="1:34" ht="15.75" customHeight="1" x14ac:dyDescent="0.2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 s="6" t="e">
        <f t="shared" si="45"/>
        <v>#VALUE!</v>
      </c>
      <c r="Y874" s="7" t="str">
        <f t="shared" si="46"/>
        <v>DC</v>
      </c>
      <c r="Z874" s="7">
        <f t="shared" si="47"/>
        <v>0</v>
      </c>
      <c r="AA874" s="7">
        <f t="shared" si="48"/>
        <v>0</v>
      </c>
      <c r="AB874" s="7">
        <f t="shared" si="49"/>
        <v>0</v>
      </c>
      <c r="AC874" s="7">
        <f t="shared" si="50"/>
        <v>0</v>
      </c>
      <c r="AD874" s="7">
        <f t="shared" si="51"/>
        <v>0</v>
      </c>
      <c r="AE874" s="8" cm="1">
        <f t="array" ref="AE874">IFERROR(_xlfn.XLOOKUP(H874,Sheet1!$G:$G,Sheet1!$F:$F),IFERROR(_xlfn.XLOOKUP(1,(--($X$2:$X$1074=X874))*(--ISNUMBER(MATCH($H$2:$H$1074,Sheet1!$G:$G,0))),_xlfn.XLOOKUP($H$2:$H$1074,Sheet1!$G:$G,Sheet1!$F:$F,"")),"NOT FOUND"))</f>
        <v>0</v>
      </c>
      <c r="AF874" s="9" t="str">
        <f t="shared" si="54"/>
        <v/>
      </c>
      <c r="AG874" s="10" t="str">
        <f t="shared" si="55"/>
        <v/>
      </c>
      <c r="AH874" s="8" t="str" cm="1">
        <f t="array" ref="AH874">IF(OR(J874="",AE874="",AE874="NOT FOUND"),"",IF(Y874="RP",_xlfn.LET(_xlpm.desc,_xlfn.XLOOKUP(1,(--(Sheet1!$F$2:$F$754=AE874))*(--ISNUMBER(FIND("-",Sheet1!$W$2:$W$754,FIND("-",Sheet1!$W$2:$W$754)+1))),Sheet1!$W$2:$W$754,""),IF(_xlpm.desc="","NOT FOUND",LEFT(_xlpm.desc,FIND("-",_xlpm.desc,FIND("-",_xlpm.desc)+1))&amp;AE874)),LEFT(J874,FIND("-",J874,FIND("-",J874)+1))&amp;AE874))</f>
        <v/>
      </c>
    </row>
    <row r="875" spans="1:34" ht="15.75" customHeight="1" x14ac:dyDescent="0.2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 s="6" t="e">
        <f t="shared" si="45"/>
        <v>#VALUE!</v>
      </c>
      <c r="Y875" s="7" t="str">
        <f t="shared" si="46"/>
        <v>DC</v>
      </c>
      <c r="Z875" s="7">
        <f t="shared" si="47"/>
        <v>0</v>
      </c>
      <c r="AA875" s="7">
        <f t="shared" si="48"/>
        <v>0</v>
      </c>
      <c r="AB875" s="7">
        <f t="shared" si="49"/>
        <v>0</v>
      </c>
      <c r="AC875" s="7">
        <f t="shared" si="50"/>
        <v>0</v>
      </c>
      <c r="AD875" s="7">
        <f t="shared" si="51"/>
        <v>0</v>
      </c>
      <c r="AE875" s="8" cm="1">
        <f t="array" ref="AE875">IFERROR(_xlfn.XLOOKUP(H875,Sheet1!$G:$G,Sheet1!$F:$F),IFERROR(_xlfn.XLOOKUP(1,(--($X$2:$X$1074=X875))*(--ISNUMBER(MATCH($H$2:$H$1074,Sheet1!$G:$G,0))),_xlfn.XLOOKUP($H$2:$H$1074,Sheet1!$G:$G,Sheet1!$F:$F,"")),"NOT FOUND"))</f>
        <v>0</v>
      </c>
      <c r="AF875" s="9" t="str">
        <f t="shared" si="54"/>
        <v/>
      </c>
      <c r="AG875" s="10" t="str">
        <f t="shared" si="55"/>
        <v/>
      </c>
      <c r="AH875" s="8" t="str" cm="1">
        <f t="array" ref="AH875">IF(OR(J875="",AE875="",AE875="NOT FOUND"),"",IF(Y875="RP",_xlfn.LET(_xlpm.desc,_xlfn.XLOOKUP(1,(--(Sheet1!$F$2:$F$754=AE875))*(--ISNUMBER(FIND("-",Sheet1!$W$2:$W$754,FIND("-",Sheet1!$W$2:$W$754)+1))),Sheet1!$W$2:$W$754,""),IF(_xlpm.desc="","NOT FOUND",LEFT(_xlpm.desc,FIND("-",_xlpm.desc,FIND("-",_xlpm.desc)+1))&amp;AE875)),LEFT(J875,FIND("-",J875,FIND("-",J875)+1))&amp;AE875))</f>
        <v/>
      </c>
    </row>
    <row r="876" spans="1:34" ht="15.75" customHeight="1" x14ac:dyDescent="0.2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 s="6" t="e">
        <f t="shared" si="45"/>
        <v>#VALUE!</v>
      </c>
      <c r="Y876" s="7" t="str">
        <f t="shared" si="46"/>
        <v>DC</v>
      </c>
      <c r="Z876" s="7">
        <f t="shared" si="47"/>
        <v>0</v>
      </c>
      <c r="AA876" s="7">
        <f t="shared" si="48"/>
        <v>0</v>
      </c>
      <c r="AB876" s="7">
        <f t="shared" si="49"/>
        <v>0</v>
      </c>
      <c r="AC876" s="7">
        <f t="shared" si="50"/>
        <v>0</v>
      </c>
      <c r="AD876" s="7">
        <f t="shared" si="51"/>
        <v>0</v>
      </c>
      <c r="AE876" s="8" cm="1">
        <f t="array" ref="AE876">IFERROR(_xlfn.XLOOKUP(H876,Sheet1!$G:$G,Sheet1!$F:$F),IFERROR(_xlfn.XLOOKUP(1,(--($X$2:$X$1074=X876))*(--ISNUMBER(MATCH($H$2:$H$1074,Sheet1!$G:$G,0))),_xlfn.XLOOKUP($H$2:$H$1074,Sheet1!$G:$G,Sheet1!$F:$F,"")),"NOT FOUND"))</f>
        <v>0</v>
      </c>
      <c r="AF876" s="9" t="str">
        <f t="shared" si="54"/>
        <v/>
      </c>
      <c r="AG876" s="10" t="str">
        <f t="shared" si="55"/>
        <v/>
      </c>
      <c r="AH876" s="8" t="str" cm="1">
        <f t="array" ref="AH876">IF(OR(J876="",AE876="",AE876="NOT FOUND"),"",IF(Y876="RP",_xlfn.LET(_xlpm.desc,_xlfn.XLOOKUP(1,(--(Sheet1!$F$2:$F$754=AE876))*(--ISNUMBER(FIND("-",Sheet1!$W$2:$W$754,FIND("-",Sheet1!$W$2:$W$754)+1))),Sheet1!$W$2:$W$754,""),IF(_xlpm.desc="","NOT FOUND",LEFT(_xlpm.desc,FIND("-",_xlpm.desc,FIND("-",_xlpm.desc)+1))&amp;AE876)),LEFT(J876,FIND("-",J876,FIND("-",J876)+1))&amp;AE876))</f>
        <v/>
      </c>
    </row>
    <row r="877" spans="1:34" ht="15.75" customHeight="1" x14ac:dyDescent="0.2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 s="6" t="e">
        <f t="shared" si="45"/>
        <v>#VALUE!</v>
      </c>
      <c r="Y877" s="7" t="str">
        <f t="shared" si="46"/>
        <v>DC</v>
      </c>
      <c r="Z877" s="7">
        <f t="shared" si="47"/>
        <v>0</v>
      </c>
      <c r="AA877" s="7">
        <f t="shared" si="48"/>
        <v>0</v>
      </c>
      <c r="AB877" s="7">
        <f t="shared" si="49"/>
        <v>0</v>
      </c>
      <c r="AC877" s="7">
        <f t="shared" si="50"/>
        <v>0</v>
      </c>
      <c r="AD877" s="7">
        <f t="shared" si="51"/>
        <v>0</v>
      </c>
      <c r="AE877" s="8" cm="1">
        <f t="array" ref="AE877">IFERROR(_xlfn.XLOOKUP(H877,Sheet1!$G:$G,Sheet1!$F:$F),IFERROR(_xlfn.XLOOKUP(1,(--($X$2:$X$1074=X877))*(--ISNUMBER(MATCH($H$2:$H$1074,Sheet1!$G:$G,0))),_xlfn.XLOOKUP($H$2:$H$1074,Sheet1!$G:$G,Sheet1!$F:$F,"")),"NOT FOUND"))</f>
        <v>0</v>
      </c>
      <c r="AF877" s="9" t="str">
        <f t="shared" si="54"/>
        <v/>
      </c>
      <c r="AG877" s="10" t="str">
        <f t="shared" si="55"/>
        <v/>
      </c>
      <c r="AH877" s="8" t="str" cm="1">
        <f t="array" ref="AH877">IF(OR(J877="",AE877="",AE877="NOT FOUND"),"",IF(Y877="RP",_xlfn.LET(_xlpm.desc,_xlfn.XLOOKUP(1,(--(Sheet1!$F$2:$F$754=AE877))*(--ISNUMBER(FIND("-",Sheet1!$W$2:$W$754,FIND("-",Sheet1!$W$2:$W$754)+1))),Sheet1!$W$2:$W$754,""),IF(_xlpm.desc="","NOT FOUND",LEFT(_xlpm.desc,FIND("-",_xlpm.desc,FIND("-",_xlpm.desc)+1))&amp;AE877)),LEFT(J877,FIND("-",J877,FIND("-",J877)+1))&amp;AE877))</f>
        <v/>
      </c>
    </row>
    <row r="878" spans="1:34" ht="15.75" customHeight="1" x14ac:dyDescent="0.2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 s="6" t="e">
        <f t="shared" si="45"/>
        <v>#VALUE!</v>
      </c>
      <c r="Y878" s="7" t="str">
        <f t="shared" si="46"/>
        <v>DC</v>
      </c>
      <c r="Z878" s="7">
        <f t="shared" si="47"/>
        <v>0</v>
      </c>
      <c r="AA878" s="7">
        <f t="shared" si="48"/>
        <v>0</v>
      </c>
      <c r="AB878" s="7">
        <f t="shared" si="49"/>
        <v>0</v>
      </c>
      <c r="AC878" s="7">
        <f t="shared" si="50"/>
        <v>0</v>
      </c>
      <c r="AD878" s="7">
        <f t="shared" si="51"/>
        <v>0</v>
      </c>
      <c r="AE878" s="8" cm="1">
        <f t="array" ref="AE878">IFERROR(_xlfn.XLOOKUP(H878,Sheet1!$G:$G,Sheet1!$F:$F),IFERROR(_xlfn.XLOOKUP(1,(--($X$2:$X$1074=X878))*(--ISNUMBER(MATCH($H$2:$H$1074,Sheet1!$G:$G,0))),_xlfn.XLOOKUP($H$2:$H$1074,Sheet1!$G:$G,Sheet1!$F:$F,"")),"NOT FOUND"))</f>
        <v>0</v>
      </c>
      <c r="AF878" s="9" t="str">
        <f t="shared" si="54"/>
        <v/>
      </c>
      <c r="AG878" s="10" t="str">
        <f t="shared" si="55"/>
        <v/>
      </c>
      <c r="AH878" s="8" t="str" cm="1">
        <f t="array" ref="AH878">IF(OR(J878="",AE878="",AE878="NOT FOUND"),"",IF(Y878="RP",_xlfn.LET(_xlpm.desc,_xlfn.XLOOKUP(1,(--(Sheet1!$F$2:$F$754=AE878))*(--ISNUMBER(FIND("-",Sheet1!$W$2:$W$754,FIND("-",Sheet1!$W$2:$W$754)+1))),Sheet1!$W$2:$W$754,""),IF(_xlpm.desc="","NOT FOUND",LEFT(_xlpm.desc,FIND("-",_xlpm.desc,FIND("-",_xlpm.desc)+1))&amp;AE878)),LEFT(J878,FIND("-",J878,FIND("-",J878)+1))&amp;AE878))</f>
        <v/>
      </c>
    </row>
    <row r="879" spans="1:34" ht="15.75" customHeight="1" x14ac:dyDescent="0.2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 s="6" t="e">
        <f t="shared" si="45"/>
        <v>#VALUE!</v>
      </c>
      <c r="Y879" s="7" t="str">
        <f t="shared" si="46"/>
        <v>DC</v>
      </c>
      <c r="Z879" s="7">
        <f t="shared" si="47"/>
        <v>0</v>
      </c>
      <c r="AA879" s="7">
        <f t="shared" si="48"/>
        <v>0</v>
      </c>
      <c r="AB879" s="7">
        <f t="shared" si="49"/>
        <v>0</v>
      </c>
      <c r="AC879" s="7">
        <f t="shared" si="50"/>
        <v>0</v>
      </c>
      <c r="AD879" s="7">
        <f t="shared" si="51"/>
        <v>0</v>
      </c>
      <c r="AE879" s="8" cm="1">
        <f t="array" ref="AE879">IFERROR(_xlfn.XLOOKUP(H879,Sheet1!$G:$G,Sheet1!$F:$F),IFERROR(_xlfn.XLOOKUP(1,(--($X$2:$X$1074=X879))*(--ISNUMBER(MATCH($H$2:$H$1074,Sheet1!$G:$G,0))),_xlfn.XLOOKUP($H$2:$H$1074,Sheet1!$G:$G,Sheet1!$F:$F,"")),"NOT FOUND"))</f>
        <v>0</v>
      </c>
      <c r="AF879" s="9" t="str">
        <f t="shared" si="54"/>
        <v/>
      </c>
      <c r="AG879" s="10" t="str">
        <f t="shared" si="55"/>
        <v/>
      </c>
      <c r="AH879" s="8" t="str" cm="1">
        <f t="array" ref="AH879">IF(OR(J879="",AE879="",AE879="NOT FOUND"),"",IF(Y879="RP",_xlfn.LET(_xlpm.desc,_xlfn.XLOOKUP(1,(--(Sheet1!$F$2:$F$754=AE879))*(--ISNUMBER(FIND("-",Sheet1!$W$2:$W$754,FIND("-",Sheet1!$W$2:$W$754)+1))),Sheet1!$W$2:$W$754,""),IF(_xlpm.desc="","NOT FOUND",LEFT(_xlpm.desc,FIND("-",_xlpm.desc,FIND("-",_xlpm.desc)+1))&amp;AE879)),LEFT(J879,FIND("-",J879,FIND("-",J879)+1))&amp;AE879))</f>
        <v/>
      </c>
    </row>
    <row r="880" spans="1:34" ht="15.75" customHeight="1" x14ac:dyDescent="0.2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 s="6" t="e">
        <f t="shared" si="45"/>
        <v>#VALUE!</v>
      </c>
      <c r="Y880" s="7" t="str">
        <f t="shared" si="46"/>
        <v>DC</v>
      </c>
      <c r="Z880" s="7">
        <f t="shared" si="47"/>
        <v>0</v>
      </c>
      <c r="AA880" s="7">
        <f t="shared" si="48"/>
        <v>0</v>
      </c>
      <c r="AB880" s="7">
        <f t="shared" si="49"/>
        <v>0</v>
      </c>
      <c r="AC880" s="7">
        <f t="shared" si="50"/>
        <v>0</v>
      </c>
      <c r="AD880" s="7">
        <f t="shared" si="51"/>
        <v>0</v>
      </c>
      <c r="AE880" s="8" cm="1">
        <f t="array" ref="AE880">IFERROR(_xlfn.XLOOKUP(H880,Sheet1!$G:$G,Sheet1!$F:$F),IFERROR(_xlfn.XLOOKUP(1,(--($X$2:$X$1074=X880))*(--ISNUMBER(MATCH($H$2:$H$1074,Sheet1!$G:$G,0))),_xlfn.XLOOKUP($H$2:$H$1074,Sheet1!$G:$G,Sheet1!$F:$F,"")),"NOT FOUND"))</f>
        <v>0</v>
      </c>
      <c r="AF880" s="9" t="str">
        <f t="shared" si="54"/>
        <v/>
      </c>
      <c r="AG880" s="10" t="str">
        <f t="shared" si="55"/>
        <v/>
      </c>
      <c r="AH880" s="8" t="str" cm="1">
        <f t="array" ref="AH880">IF(OR(J880="",AE880="",AE880="NOT FOUND"),"",IF(Y880="RP",_xlfn.LET(_xlpm.desc,_xlfn.XLOOKUP(1,(--(Sheet1!$F$2:$F$754=AE880))*(--ISNUMBER(FIND("-",Sheet1!$W$2:$W$754,FIND("-",Sheet1!$W$2:$W$754)+1))),Sheet1!$W$2:$W$754,""),IF(_xlpm.desc="","NOT FOUND",LEFT(_xlpm.desc,FIND("-",_xlpm.desc,FIND("-",_xlpm.desc)+1))&amp;AE880)),LEFT(J880,FIND("-",J880,FIND("-",J880)+1))&amp;AE880))</f>
        <v/>
      </c>
    </row>
    <row r="881" spans="1:34" ht="15.75" customHeight="1" x14ac:dyDescent="0.2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 s="6" t="e">
        <f t="shared" si="45"/>
        <v>#VALUE!</v>
      </c>
      <c r="Y881" s="7" t="str">
        <f t="shared" si="46"/>
        <v>DC</v>
      </c>
      <c r="Z881" s="7">
        <f t="shared" si="47"/>
        <v>0</v>
      </c>
      <c r="AA881" s="7">
        <f t="shared" si="48"/>
        <v>0</v>
      </c>
      <c r="AB881" s="7">
        <f t="shared" si="49"/>
        <v>0</v>
      </c>
      <c r="AC881" s="7">
        <f t="shared" si="50"/>
        <v>0</v>
      </c>
      <c r="AD881" s="7">
        <f t="shared" si="51"/>
        <v>0</v>
      </c>
      <c r="AE881" s="8" cm="1">
        <f t="array" ref="AE881">IFERROR(_xlfn.XLOOKUP(H881,Sheet1!$G:$G,Sheet1!$F:$F),IFERROR(_xlfn.XLOOKUP(1,(--($X$2:$X$1074=X881))*(--ISNUMBER(MATCH($H$2:$H$1074,Sheet1!$G:$G,0))),_xlfn.XLOOKUP($H$2:$H$1074,Sheet1!$G:$G,Sheet1!$F:$F,"")),"NOT FOUND"))</f>
        <v>0</v>
      </c>
      <c r="AF881" s="9" t="str">
        <f t="shared" si="54"/>
        <v/>
      </c>
      <c r="AG881" s="10" t="str">
        <f t="shared" si="55"/>
        <v/>
      </c>
      <c r="AH881" s="8" t="str" cm="1">
        <f t="array" ref="AH881">IF(OR(J881="",AE881="",AE881="NOT FOUND"),"",IF(Y881="RP",_xlfn.LET(_xlpm.desc,_xlfn.XLOOKUP(1,(--(Sheet1!$F$2:$F$754=AE881))*(--ISNUMBER(FIND("-",Sheet1!$W$2:$W$754,FIND("-",Sheet1!$W$2:$W$754)+1))),Sheet1!$W$2:$W$754,""),IF(_xlpm.desc="","NOT FOUND",LEFT(_xlpm.desc,FIND("-",_xlpm.desc,FIND("-",_xlpm.desc)+1))&amp;AE881)),LEFT(J881,FIND("-",J881,FIND("-",J881)+1))&amp;AE881))</f>
        <v/>
      </c>
    </row>
    <row r="882" spans="1:34" ht="15.75" customHeight="1" x14ac:dyDescent="0.2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 s="6" t="e">
        <f t="shared" si="45"/>
        <v>#VALUE!</v>
      </c>
      <c r="Y882" s="7" t="str">
        <f t="shared" si="46"/>
        <v>DC</v>
      </c>
      <c r="Z882" s="7">
        <f t="shared" si="47"/>
        <v>0</v>
      </c>
      <c r="AA882" s="7">
        <f t="shared" si="48"/>
        <v>0</v>
      </c>
      <c r="AB882" s="7">
        <f t="shared" si="49"/>
        <v>0</v>
      </c>
      <c r="AC882" s="7">
        <f t="shared" si="50"/>
        <v>0</v>
      </c>
      <c r="AD882" s="7">
        <f t="shared" si="51"/>
        <v>0</v>
      </c>
      <c r="AE882" s="8" cm="1">
        <f t="array" ref="AE882">IFERROR(_xlfn.XLOOKUP(H882,Sheet1!$G:$G,Sheet1!$F:$F),IFERROR(_xlfn.XLOOKUP(1,(--($X$2:$X$1074=X882))*(--ISNUMBER(MATCH($H$2:$H$1074,Sheet1!$G:$G,0))),_xlfn.XLOOKUP($H$2:$H$1074,Sheet1!$G:$G,Sheet1!$F:$F,"")),"NOT FOUND"))</f>
        <v>0</v>
      </c>
      <c r="AF882" s="9" t="str">
        <f t="shared" si="54"/>
        <v/>
      </c>
      <c r="AG882" s="10" t="str">
        <f t="shared" si="55"/>
        <v/>
      </c>
      <c r="AH882" s="8" t="str" cm="1">
        <f t="array" ref="AH882">IF(OR(J882="",AE882="",AE882="NOT FOUND"),"",IF(Y882="RP",_xlfn.LET(_xlpm.desc,_xlfn.XLOOKUP(1,(--(Sheet1!$F$2:$F$754=AE882))*(--ISNUMBER(FIND("-",Sheet1!$W$2:$W$754,FIND("-",Sheet1!$W$2:$W$754)+1))),Sheet1!$W$2:$W$754,""),IF(_xlpm.desc="","NOT FOUND",LEFT(_xlpm.desc,FIND("-",_xlpm.desc,FIND("-",_xlpm.desc)+1))&amp;AE882)),LEFT(J882,FIND("-",J882,FIND("-",J882)+1))&amp;AE882))</f>
        <v/>
      </c>
    </row>
    <row r="883" spans="1:34" ht="15.75" customHeight="1" x14ac:dyDescent="0.2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 s="6" t="e">
        <f t="shared" si="45"/>
        <v>#VALUE!</v>
      </c>
      <c r="Y883" s="7" t="str">
        <f t="shared" si="46"/>
        <v>DC</v>
      </c>
      <c r="Z883" s="7">
        <f t="shared" si="47"/>
        <v>0</v>
      </c>
      <c r="AA883" s="7">
        <f t="shared" si="48"/>
        <v>0</v>
      </c>
      <c r="AB883" s="7">
        <f t="shared" si="49"/>
        <v>0</v>
      </c>
      <c r="AC883" s="7">
        <f t="shared" si="50"/>
        <v>0</v>
      </c>
      <c r="AD883" s="7">
        <f t="shared" si="51"/>
        <v>0</v>
      </c>
      <c r="AE883" s="8" cm="1">
        <f t="array" ref="AE883">IFERROR(_xlfn.XLOOKUP(H883,Sheet1!$G:$G,Sheet1!$F:$F),IFERROR(_xlfn.XLOOKUP(1,(--($X$2:$X$1074=X883))*(--ISNUMBER(MATCH($H$2:$H$1074,Sheet1!$G:$G,0))),_xlfn.XLOOKUP($H$2:$H$1074,Sheet1!$G:$G,Sheet1!$F:$F,"")),"NOT FOUND"))</f>
        <v>0</v>
      </c>
      <c r="AF883" s="9" t="str">
        <f t="shared" si="54"/>
        <v/>
      </c>
      <c r="AG883" s="10" t="str">
        <f t="shared" si="55"/>
        <v/>
      </c>
      <c r="AH883" s="8" t="str" cm="1">
        <f t="array" ref="AH883">IF(OR(J883="",AE883="",AE883="NOT FOUND"),"",IF(Y883="RP",_xlfn.LET(_xlpm.desc,_xlfn.XLOOKUP(1,(--(Sheet1!$F$2:$F$754=AE883))*(--ISNUMBER(FIND("-",Sheet1!$W$2:$W$754,FIND("-",Sheet1!$W$2:$W$754)+1))),Sheet1!$W$2:$W$754,""),IF(_xlpm.desc="","NOT FOUND",LEFT(_xlpm.desc,FIND("-",_xlpm.desc,FIND("-",_xlpm.desc)+1))&amp;AE883)),LEFT(J883,FIND("-",J883,FIND("-",J883)+1))&amp;AE883))</f>
        <v/>
      </c>
    </row>
    <row r="884" spans="1:34" ht="15.75" customHeight="1" x14ac:dyDescent="0.2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 s="6" t="e">
        <f t="shared" si="45"/>
        <v>#VALUE!</v>
      </c>
      <c r="Y884" s="7" t="str">
        <f t="shared" si="46"/>
        <v>DC</v>
      </c>
      <c r="Z884" s="7">
        <f t="shared" si="47"/>
        <v>0</v>
      </c>
      <c r="AA884" s="7">
        <f t="shared" si="48"/>
        <v>0</v>
      </c>
      <c r="AB884" s="7">
        <f t="shared" si="49"/>
        <v>0</v>
      </c>
      <c r="AC884" s="7">
        <f t="shared" si="50"/>
        <v>0</v>
      </c>
      <c r="AD884" s="7">
        <f t="shared" si="51"/>
        <v>0</v>
      </c>
      <c r="AE884" s="8" cm="1">
        <f t="array" ref="AE884">IFERROR(_xlfn.XLOOKUP(H884,Sheet1!$G:$G,Sheet1!$F:$F),IFERROR(_xlfn.XLOOKUP(1,(--($X$2:$X$1074=X884))*(--ISNUMBER(MATCH($H$2:$H$1074,Sheet1!$G:$G,0))),_xlfn.XLOOKUP($H$2:$H$1074,Sheet1!$G:$G,Sheet1!$F:$F,"")),"NOT FOUND"))</f>
        <v>0</v>
      </c>
      <c r="AF884" s="9" t="str">
        <f t="shared" si="54"/>
        <v/>
      </c>
      <c r="AG884" s="10" t="str">
        <f t="shared" si="55"/>
        <v/>
      </c>
      <c r="AH884" s="8" t="str" cm="1">
        <f t="array" ref="AH884">IF(OR(J884="",AE884="",AE884="NOT FOUND"),"",IF(Y884="RP",_xlfn.LET(_xlpm.desc,_xlfn.XLOOKUP(1,(--(Sheet1!$F$2:$F$754=AE884))*(--ISNUMBER(FIND("-",Sheet1!$W$2:$W$754,FIND("-",Sheet1!$W$2:$W$754)+1))),Sheet1!$W$2:$W$754,""),IF(_xlpm.desc="","NOT FOUND",LEFT(_xlpm.desc,FIND("-",_xlpm.desc,FIND("-",_xlpm.desc)+1))&amp;AE884)),LEFT(J884,FIND("-",J884,FIND("-",J884)+1))&amp;AE884))</f>
        <v/>
      </c>
    </row>
    <row r="885" spans="1:34" ht="15.75" customHeight="1" x14ac:dyDescent="0.2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 s="6" t="e">
        <f t="shared" si="45"/>
        <v>#VALUE!</v>
      </c>
      <c r="Y885" s="7" t="str">
        <f t="shared" si="46"/>
        <v>DC</v>
      </c>
      <c r="Z885" s="7">
        <f t="shared" si="47"/>
        <v>0</v>
      </c>
      <c r="AA885" s="7">
        <f t="shared" si="48"/>
        <v>0</v>
      </c>
      <c r="AB885" s="7">
        <f t="shared" si="49"/>
        <v>0</v>
      </c>
      <c r="AC885" s="7">
        <f t="shared" si="50"/>
        <v>0</v>
      </c>
      <c r="AD885" s="7">
        <f t="shared" si="51"/>
        <v>0</v>
      </c>
      <c r="AE885" s="8" cm="1">
        <f t="array" ref="AE885">IFERROR(_xlfn.XLOOKUP(H885,Sheet1!$G:$G,Sheet1!$F:$F),IFERROR(_xlfn.XLOOKUP(1,(--($X$2:$X$1074=X885))*(--ISNUMBER(MATCH($H$2:$H$1074,Sheet1!$G:$G,0))),_xlfn.XLOOKUP($H$2:$H$1074,Sheet1!$G:$G,Sheet1!$F:$F,"")),"NOT FOUND"))</f>
        <v>0</v>
      </c>
      <c r="AF885" s="9" t="str">
        <f t="shared" si="54"/>
        <v/>
      </c>
      <c r="AG885" s="10" t="str">
        <f t="shared" si="55"/>
        <v/>
      </c>
      <c r="AH885" s="8" t="str" cm="1">
        <f t="array" ref="AH885">IF(OR(J885="",AE885="",AE885="NOT FOUND"),"",IF(Y885="RP",_xlfn.LET(_xlpm.desc,_xlfn.XLOOKUP(1,(--(Sheet1!$F$2:$F$754=AE885))*(--ISNUMBER(FIND("-",Sheet1!$W$2:$W$754,FIND("-",Sheet1!$W$2:$W$754)+1))),Sheet1!$W$2:$W$754,""),IF(_xlpm.desc="","NOT FOUND",LEFT(_xlpm.desc,FIND("-",_xlpm.desc,FIND("-",_xlpm.desc)+1))&amp;AE885)),LEFT(J885,FIND("-",J885,FIND("-",J885)+1))&amp;AE885))</f>
        <v/>
      </c>
    </row>
    <row r="886" spans="1:34" ht="15.75" customHeight="1" x14ac:dyDescent="0.2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 s="6" t="e">
        <f t="shared" si="45"/>
        <v>#VALUE!</v>
      </c>
      <c r="Y886" s="7" t="str">
        <f t="shared" si="46"/>
        <v>DC</v>
      </c>
      <c r="Z886" s="7">
        <f t="shared" si="47"/>
        <v>0</v>
      </c>
      <c r="AA886" s="7">
        <f t="shared" si="48"/>
        <v>0</v>
      </c>
      <c r="AB886" s="7">
        <f t="shared" si="49"/>
        <v>0</v>
      </c>
      <c r="AC886" s="7">
        <f t="shared" si="50"/>
        <v>0</v>
      </c>
      <c r="AD886" s="7">
        <f t="shared" si="51"/>
        <v>0</v>
      </c>
      <c r="AE886" s="8" cm="1">
        <f t="array" ref="AE886">IFERROR(_xlfn.XLOOKUP(H886,Sheet1!$G:$G,Sheet1!$F:$F),IFERROR(_xlfn.XLOOKUP(1,(--($X$2:$X$1074=X886))*(--ISNUMBER(MATCH($H$2:$H$1074,Sheet1!$G:$G,0))),_xlfn.XLOOKUP($H$2:$H$1074,Sheet1!$G:$G,Sheet1!$F:$F,"")),"NOT FOUND"))</f>
        <v>0</v>
      </c>
      <c r="AF886" s="9" t="str">
        <f t="shared" si="54"/>
        <v/>
      </c>
      <c r="AG886" s="10" t="str">
        <f t="shared" si="55"/>
        <v/>
      </c>
      <c r="AH886" s="8" t="str" cm="1">
        <f t="array" ref="AH886">IF(OR(J886="",AE886="",AE886="NOT FOUND"),"",IF(Y886="RP",_xlfn.LET(_xlpm.desc,_xlfn.XLOOKUP(1,(--(Sheet1!$F$2:$F$754=AE886))*(--ISNUMBER(FIND("-",Sheet1!$W$2:$W$754,FIND("-",Sheet1!$W$2:$W$754)+1))),Sheet1!$W$2:$W$754,""),IF(_xlpm.desc="","NOT FOUND",LEFT(_xlpm.desc,FIND("-",_xlpm.desc,FIND("-",_xlpm.desc)+1))&amp;AE886)),LEFT(J886,FIND("-",J886,FIND("-",J886)+1))&amp;AE886))</f>
        <v/>
      </c>
    </row>
    <row r="887" spans="1:34" ht="15.75" customHeight="1" x14ac:dyDescent="0.2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 s="6" t="e">
        <f t="shared" si="45"/>
        <v>#VALUE!</v>
      </c>
      <c r="Y887" s="7" t="str">
        <f t="shared" si="46"/>
        <v>DC</v>
      </c>
      <c r="Z887" s="7">
        <f t="shared" si="47"/>
        <v>0</v>
      </c>
      <c r="AA887" s="7">
        <f t="shared" si="48"/>
        <v>0</v>
      </c>
      <c r="AB887" s="7">
        <f t="shared" si="49"/>
        <v>0</v>
      </c>
      <c r="AC887" s="7">
        <f t="shared" si="50"/>
        <v>0</v>
      </c>
      <c r="AD887" s="7">
        <f t="shared" si="51"/>
        <v>0</v>
      </c>
      <c r="AE887" s="8" cm="1">
        <f t="array" ref="AE887">IFERROR(_xlfn.XLOOKUP(H887,Sheet1!$G:$G,Sheet1!$F:$F),IFERROR(_xlfn.XLOOKUP(1,(--($X$2:$X$1074=X887))*(--ISNUMBER(MATCH($H$2:$H$1074,Sheet1!$G:$G,0))),_xlfn.XLOOKUP($H$2:$H$1074,Sheet1!$G:$G,Sheet1!$F:$F,"")),"NOT FOUND"))</f>
        <v>0</v>
      </c>
      <c r="AF887" s="9" t="str">
        <f t="shared" si="54"/>
        <v/>
      </c>
      <c r="AG887" s="10" t="str">
        <f t="shared" si="55"/>
        <v/>
      </c>
      <c r="AH887" s="8" t="str" cm="1">
        <f t="array" ref="AH887">IF(OR(J887="",AE887="",AE887="NOT FOUND"),"",IF(Y887="RP",_xlfn.LET(_xlpm.desc,_xlfn.XLOOKUP(1,(--(Sheet1!$F$2:$F$754=AE887))*(--ISNUMBER(FIND("-",Sheet1!$W$2:$W$754,FIND("-",Sheet1!$W$2:$W$754)+1))),Sheet1!$W$2:$W$754,""),IF(_xlpm.desc="","NOT FOUND",LEFT(_xlpm.desc,FIND("-",_xlpm.desc,FIND("-",_xlpm.desc)+1))&amp;AE887)),LEFT(J887,FIND("-",J887,FIND("-",J887)+1))&amp;AE887))</f>
        <v/>
      </c>
    </row>
    <row r="888" spans="1:34" ht="15.75" customHeight="1" x14ac:dyDescent="0.2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 s="6" t="e">
        <f t="shared" si="45"/>
        <v>#VALUE!</v>
      </c>
      <c r="Y888" s="7" t="str">
        <f t="shared" si="46"/>
        <v>DC</v>
      </c>
      <c r="Z888" s="7">
        <f t="shared" si="47"/>
        <v>0</v>
      </c>
      <c r="AA888" s="7">
        <f t="shared" si="48"/>
        <v>0</v>
      </c>
      <c r="AB888" s="7">
        <f t="shared" si="49"/>
        <v>0</v>
      </c>
      <c r="AC888" s="7">
        <f t="shared" si="50"/>
        <v>0</v>
      </c>
      <c r="AD888" s="7">
        <f t="shared" si="51"/>
        <v>0</v>
      </c>
      <c r="AE888" s="8" cm="1">
        <f t="array" ref="AE888">IFERROR(_xlfn.XLOOKUP(H888,Sheet1!$G:$G,Sheet1!$F:$F),IFERROR(_xlfn.XLOOKUP(1,(--($X$2:$X$1074=X888))*(--ISNUMBER(MATCH($H$2:$H$1074,Sheet1!$G:$G,0))),_xlfn.XLOOKUP($H$2:$H$1074,Sheet1!$G:$G,Sheet1!$F:$F,"")),"NOT FOUND"))</f>
        <v>0</v>
      </c>
      <c r="AF888" s="9" t="str">
        <f t="shared" si="54"/>
        <v/>
      </c>
      <c r="AG888" s="10" t="str">
        <f t="shared" si="55"/>
        <v/>
      </c>
      <c r="AH888" s="8" t="str" cm="1">
        <f t="array" ref="AH888">IF(OR(J888="",AE888="",AE888="NOT FOUND"),"",IF(Y888="RP",_xlfn.LET(_xlpm.desc,_xlfn.XLOOKUP(1,(--(Sheet1!$F$2:$F$754=AE888))*(--ISNUMBER(FIND("-",Sheet1!$W$2:$W$754,FIND("-",Sheet1!$W$2:$W$754)+1))),Sheet1!$W$2:$W$754,""),IF(_xlpm.desc="","NOT FOUND",LEFT(_xlpm.desc,FIND("-",_xlpm.desc,FIND("-",_xlpm.desc)+1))&amp;AE888)),LEFT(J888,FIND("-",J888,FIND("-",J888)+1))&amp;AE888))</f>
        <v/>
      </c>
    </row>
    <row r="889" spans="1:34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X889" s="6" t="e">
        <f t="shared" si="45"/>
        <v>#VALUE!</v>
      </c>
      <c r="Y889" s="7" t="str">
        <f t="shared" si="46"/>
        <v>DC</v>
      </c>
      <c r="Z889" s="7">
        <f t="shared" si="47"/>
        <v>0</v>
      </c>
      <c r="AA889" s="7">
        <f t="shared" si="48"/>
        <v>0</v>
      </c>
      <c r="AB889" s="7">
        <f t="shared" si="49"/>
        <v>0</v>
      </c>
      <c r="AC889" s="7">
        <f t="shared" si="50"/>
        <v>0</v>
      </c>
      <c r="AD889" s="7">
        <f t="shared" si="51"/>
        <v>0</v>
      </c>
      <c r="AE889" s="8" cm="1">
        <f t="array" ref="AE889">IFERROR(_xlfn.XLOOKUP(H889,Sheet1!$G:$G,Sheet1!$F:$F),IFERROR(_xlfn.XLOOKUP(1,(--($X$2:$X$1074=X889))*(--ISNUMBER(MATCH($H$2:$H$1074,Sheet1!$G:$G,0))),_xlfn.XLOOKUP($H$2:$H$1074,Sheet1!$G:$G,Sheet1!$F:$F,"")),"NOT FOUND"))</f>
        <v>0</v>
      </c>
      <c r="AF889" s="9" t="str">
        <f t="shared" si="54"/>
        <v/>
      </c>
      <c r="AG889" s="10" t="str">
        <f t="shared" si="55"/>
        <v/>
      </c>
      <c r="AH889" s="8" t="str" cm="1">
        <f t="array" ref="AH889">IF(OR(J889="",AE889="",AE889="NOT FOUND"),"",IF(Y889="RP",_xlfn.LET(_xlpm.desc,_xlfn.XLOOKUP(1,(--(Sheet1!$F$2:$F$754=AE889))*(--ISNUMBER(FIND("-",Sheet1!$W$2:$W$754,FIND("-",Sheet1!$W$2:$W$754)+1))),Sheet1!$W$2:$W$754,""),IF(_xlpm.desc="","NOT FOUND",LEFT(_xlpm.desc,FIND("-",_xlpm.desc,FIND("-",_xlpm.desc)+1))&amp;AE889)),LEFT(J889,FIND("-",J889,FIND("-",J889)+1))&amp;AE889))</f>
        <v/>
      </c>
    </row>
    <row r="890" spans="1:34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X890" s="6" t="e">
        <f t="shared" si="45"/>
        <v>#VALUE!</v>
      </c>
      <c r="Y890" s="7" t="str">
        <f t="shared" si="46"/>
        <v>DC</v>
      </c>
      <c r="Z890" s="7">
        <f t="shared" si="47"/>
        <v>0</v>
      </c>
      <c r="AA890" s="7">
        <f t="shared" si="48"/>
        <v>0</v>
      </c>
      <c r="AB890" s="7">
        <f t="shared" si="49"/>
        <v>0</v>
      </c>
      <c r="AC890" s="7">
        <f t="shared" si="50"/>
        <v>0</v>
      </c>
      <c r="AD890" s="7">
        <f t="shared" si="51"/>
        <v>0</v>
      </c>
      <c r="AE890" s="8" cm="1">
        <f t="array" ref="AE890">IFERROR(_xlfn.XLOOKUP(H890,Sheet1!$G:$G,Sheet1!$F:$F),IFERROR(_xlfn.XLOOKUP(1,(--($X$2:$X$1074=X890))*(--ISNUMBER(MATCH($H$2:$H$1074,Sheet1!$G:$G,0))),_xlfn.XLOOKUP($H$2:$H$1074,Sheet1!$G:$G,Sheet1!$F:$F,"")),"NOT FOUND"))</f>
        <v>0</v>
      </c>
      <c r="AF890" s="9" t="str">
        <f t="shared" si="54"/>
        <v/>
      </c>
      <c r="AG890" s="10" t="str">
        <f t="shared" si="55"/>
        <v/>
      </c>
      <c r="AH890" s="8" t="str" cm="1">
        <f t="array" ref="AH890">IF(OR(J890="",AE890="",AE890="NOT FOUND"),"",IF(Y890="RP",_xlfn.LET(_xlpm.desc,_xlfn.XLOOKUP(1,(--(Sheet1!$F$2:$F$754=AE890))*(--ISNUMBER(FIND("-",Sheet1!$W$2:$W$754,FIND("-",Sheet1!$W$2:$W$754)+1))),Sheet1!$W$2:$W$754,""),IF(_xlpm.desc="","NOT FOUND",LEFT(_xlpm.desc,FIND("-",_xlpm.desc,FIND("-",_xlpm.desc)+1))&amp;AE890)),LEFT(J890,FIND("-",J890,FIND("-",J890)+1))&amp;AE890))</f>
        <v/>
      </c>
    </row>
    <row r="891" spans="1:34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X891" s="6" t="e">
        <f t="shared" si="45"/>
        <v>#VALUE!</v>
      </c>
      <c r="Y891" s="7" t="str">
        <f t="shared" si="46"/>
        <v>DC</v>
      </c>
      <c r="Z891" s="7">
        <f t="shared" si="47"/>
        <v>0</v>
      </c>
      <c r="AA891" s="7">
        <f t="shared" si="48"/>
        <v>0</v>
      </c>
      <c r="AB891" s="7">
        <f t="shared" si="49"/>
        <v>0</v>
      </c>
      <c r="AC891" s="7">
        <f t="shared" si="50"/>
        <v>0</v>
      </c>
      <c r="AD891" s="7">
        <f t="shared" si="51"/>
        <v>0</v>
      </c>
      <c r="AE891" s="8" cm="1">
        <f t="array" ref="AE891">IFERROR(_xlfn.XLOOKUP(H891,Sheet1!$G:$G,Sheet1!$F:$F),IFERROR(_xlfn.XLOOKUP(1,(--($X$2:$X$1074=X891))*(--ISNUMBER(MATCH($H$2:$H$1074,Sheet1!$G:$G,0))),_xlfn.XLOOKUP($H$2:$H$1074,Sheet1!$G:$G,Sheet1!$F:$F,"")),"NOT FOUND"))</f>
        <v>0</v>
      </c>
      <c r="AF891" s="9" t="str">
        <f t="shared" si="54"/>
        <v/>
      </c>
      <c r="AG891" s="10" t="str">
        <f t="shared" si="55"/>
        <v/>
      </c>
      <c r="AH891" s="8" t="str" cm="1">
        <f t="array" ref="AH891">IF(OR(J891="",AE891="",AE891="NOT FOUND"),"",IF(Y891="RP",_xlfn.LET(_xlpm.desc,_xlfn.XLOOKUP(1,(--(Sheet1!$F$2:$F$754=AE891))*(--ISNUMBER(FIND("-",Sheet1!$W$2:$W$754,FIND("-",Sheet1!$W$2:$W$754)+1))),Sheet1!$W$2:$W$754,""),IF(_xlpm.desc="","NOT FOUND",LEFT(_xlpm.desc,FIND("-",_xlpm.desc,FIND("-",_xlpm.desc)+1))&amp;AE891)),LEFT(J891,FIND("-",J891,FIND("-",J891)+1))&amp;AE891))</f>
        <v/>
      </c>
    </row>
    <row r="892" spans="1:34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X892" s="6" t="e">
        <f t="shared" si="45"/>
        <v>#VALUE!</v>
      </c>
      <c r="Y892" s="7" t="str">
        <f t="shared" si="46"/>
        <v>DC</v>
      </c>
      <c r="Z892" s="7">
        <f t="shared" si="47"/>
        <v>0</v>
      </c>
      <c r="AA892" s="7">
        <f t="shared" si="48"/>
        <v>0</v>
      </c>
      <c r="AB892" s="7">
        <f t="shared" si="49"/>
        <v>0</v>
      </c>
      <c r="AC892" s="7">
        <f t="shared" si="50"/>
        <v>0</v>
      </c>
      <c r="AD892" s="7">
        <f t="shared" si="51"/>
        <v>0</v>
      </c>
      <c r="AE892" s="8" cm="1">
        <f t="array" ref="AE892">IFERROR(_xlfn.XLOOKUP(H892,Sheet1!$G:$G,Sheet1!$F:$F),IFERROR(_xlfn.XLOOKUP(1,(--($X$2:$X$1074=X892))*(--ISNUMBER(MATCH($H$2:$H$1074,Sheet1!$G:$G,0))),_xlfn.XLOOKUP($H$2:$H$1074,Sheet1!$G:$G,Sheet1!$F:$F,"")),"NOT FOUND"))</f>
        <v>0</v>
      </c>
      <c r="AF892" s="9" t="str">
        <f t="shared" si="54"/>
        <v/>
      </c>
      <c r="AG892" s="10" t="str">
        <f t="shared" si="55"/>
        <v/>
      </c>
      <c r="AH892" s="8" t="str" cm="1">
        <f t="array" ref="AH892">IF(OR(J892="",AE892="",AE892="NOT FOUND"),"",IF(Y892="RP",_xlfn.LET(_xlpm.desc,_xlfn.XLOOKUP(1,(--(Sheet1!$F$2:$F$754=AE892))*(--ISNUMBER(FIND("-",Sheet1!$W$2:$W$754,FIND("-",Sheet1!$W$2:$W$754)+1))),Sheet1!$W$2:$W$754,""),IF(_xlpm.desc="","NOT FOUND",LEFT(_xlpm.desc,FIND("-",_xlpm.desc,FIND("-",_xlpm.desc)+1))&amp;AE892)),LEFT(J892,FIND("-",J892,FIND("-",J892)+1))&amp;AE892))</f>
        <v/>
      </c>
    </row>
    <row r="893" spans="1:34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X893" s="6" t="e">
        <f t="shared" si="45"/>
        <v>#VALUE!</v>
      </c>
      <c r="Y893" s="7" t="str">
        <f t="shared" si="46"/>
        <v>DC</v>
      </c>
      <c r="Z893" s="7">
        <f t="shared" si="47"/>
        <v>0</v>
      </c>
      <c r="AA893" s="7">
        <f t="shared" si="48"/>
        <v>0</v>
      </c>
      <c r="AB893" s="7">
        <f t="shared" si="49"/>
        <v>0</v>
      </c>
      <c r="AC893" s="7">
        <f t="shared" si="50"/>
        <v>0</v>
      </c>
      <c r="AD893" s="7">
        <f t="shared" si="51"/>
        <v>0</v>
      </c>
      <c r="AE893" s="8" cm="1">
        <f t="array" ref="AE893">IFERROR(_xlfn.XLOOKUP(H893,Sheet1!$G:$G,Sheet1!$F:$F),IFERROR(_xlfn.XLOOKUP(1,(--($X$2:$X$1074=X893))*(--ISNUMBER(MATCH($H$2:$H$1074,Sheet1!$G:$G,0))),_xlfn.XLOOKUP($H$2:$H$1074,Sheet1!$G:$G,Sheet1!$F:$F,"")),"NOT FOUND"))</f>
        <v>0</v>
      </c>
      <c r="AF893" s="9" t="str">
        <f t="shared" si="54"/>
        <v/>
      </c>
      <c r="AG893" s="10" t="str">
        <f t="shared" si="55"/>
        <v/>
      </c>
      <c r="AH893" s="8" t="str" cm="1">
        <f t="array" ref="AH893">IF(OR(J893="",AE893="",AE893="NOT FOUND"),"",IF(Y893="RP",_xlfn.LET(_xlpm.desc,_xlfn.XLOOKUP(1,(--(Sheet1!$F$2:$F$754=AE893))*(--ISNUMBER(FIND("-",Sheet1!$W$2:$W$754,FIND("-",Sheet1!$W$2:$W$754)+1))),Sheet1!$W$2:$W$754,""),IF(_xlpm.desc="","NOT FOUND",LEFT(_xlpm.desc,FIND("-",_xlpm.desc,FIND("-",_xlpm.desc)+1))&amp;AE893)),LEFT(J893,FIND("-",J893,FIND("-",J893)+1))&amp;AE893))</f>
        <v/>
      </c>
    </row>
    <row r="894" spans="1:34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X894" s="6" t="e">
        <f t="shared" si="45"/>
        <v>#VALUE!</v>
      </c>
      <c r="Y894" s="7" t="str">
        <f t="shared" si="46"/>
        <v>DC</v>
      </c>
      <c r="Z894" s="7">
        <f t="shared" si="47"/>
        <v>0</v>
      </c>
      <c r="AA894" s="7">
        <f t="shared" si="48"/>
        <v>0</v>
      </c>
      <c r="AB894" s="7">
        <f t="shared" si="49"/>
        <v>0</v>
      </c>
      <c r="AC894" s="7">
        <f t="shared" si="50"/>
        <v>0</v>
      </c>
      <c r="AD894" s="7">
        <f t="shared" si="51"/>
        <v>0</v>
      </c>
      <c r="AE894" s="8" cm="1">
        <f t="array" ref="AE894">IFERROR(_xlfn.XLOOKUP(H894,Sheet1!$G:$G,Sheet1!$F:$F),IFERROR(_xlfn.XLOOKUP(1,(--($X$2:$X$1074=X894))*(--ISNUMBER(MATCH($H$2:$H$1074,Sheet1!$G:$G,0))),_xlfn.XLOOKUP($H$2:$H$1074,Sheet1!$G:$G,Sheet1!$F:$F,"")),"NOT FOUND"))</f>
        <v>0</v>
      </c>
      <c r="AF894" s="9" t="str">
        <f t="shared" si="54"/>
        <v/>
      </c>
      <c r="AG894" s="10" t="str">
        <f t="shared" si="55"/>
        <v/>
      </c>
      <c r="AH894" s="8" t="str" cm="1">
        <f t="array" ref="AH894">IF(OR(J894="",AE894="",AE894="NOT FOUND"),"",IF(Y894="RP",_xlfn.LET(_xlpm.desc,_xlfn.XLOOKUP(1,(--(Sheet1!$F$2:$F$754=AE894))*(--ISNUMBER(FIND("-",Sheet1!$W$2:$W$754,FIND("-",Sheet1!$W$2:$W$754)+1))),Sheet1!$W$2:$W$754,""),IF(_xlpm.desc="","NOT FOUND",LEFT(_xlpm.desc,FIND("-",_xlpm.desc,FIND("-",_xlpm.desc)+1))&amp;AE894)),LEFT(J894,FIND("-",J894,FIND("-",J894)+1))&amp;AE894))</f>
        <v/>
      </c>
    </row>
    <row r="895" spans="1:34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X895" s="6" t="e">
        <f t="shared" si="45"/>
        <v>#VALUE!</v>
      </c>
      <c r="Y895" s="7" t="str">
        <f t="shared" si="46"/>
        <v>DC</v>
      </c>
      <c r="Z895" s="7">
        <f t="shared" si="47"/>
        <v>0</v>
      </c>
      <c r="AA895" s="7">
        <f t="shared" si="48"/>
        <v>0</v>
      </c>
      <c r="AB895" s="7">
        <f t="shared" si="49"/>
        <v>0</v>
      </c>
      <c r="AC895" s="7">
        <f t="shared" si="50"/>
        <v>0</v>
      </c>
      <c r="AD895" s="7">
        <f t="shared" si="51"/>
        <v>0</v>
      </c>
      <c r="AE895" s="8" cm="1">
        <f t="array" ref="AE895">IFERROR(_xlfn.XLOOKUP(H895,Sheet1!$G:$G,Sheet1!$F:$F),IFERROR(_xlfn.XLOOKUP(1,(--($X$2:$X$1074=X895))*(--ISNUMBER(MATCH($H$2:$H$1074,Sheet1!$G:$G,0))),_xlfn.XLOOKUP($H$2:$H$1074,Sheet1!$G:$G,Sheet1!$F:$F,"")),"NOT FOUND"))</f>
        <v>0</v>
      </c>
      <c r="AF895" s="9" t="str">
        <f t="shared" si="54"/>
        <v/>
      </c>
      <c r="AG895" s="10" t="str">
        <f t="shared" si="55"/>
        <v/>
      </c>
      <c r="AH895" s="8" t="str" cm="1">
        <f t="array" ref="AH895">IF(OR(J895="",AE895="",AE895="NOT FOUND"),"",IF(Y895="RP",_xlfn.LET(_xlpm.desc,_xlfn.XLOOKUP(1,(--(Sheet1!$F$2:$F$754=AE895))*(--ISNUMBER(FIND("-",Sheet1!$W$2:$W$754,FIND("-",Sheet1!$W$2:$W$754)+1))),Sheet1!$W$2:$W$754,""),IF(_xlpm.desc="","NOT FOUND",LEFT(_xlpm.desc,FIND("-",_xlpm.desc,FIND("-",_xlpm.desc)+1))&amp;AE895)),LEFT(J895,FIND("-",J895,FIND("-",J895)+1))&amp;AE895))</f>
        <v/>
      </c>
    </row>
    <row r="896" spans="1:34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X896" s="6" t="e">
        <f t="shared" si="45"/>
        <v>#VALUE!</v>
      </c>
      <c r="Y896" s="7" t="str">
        <f t="shared" si="46"/>
        <v>DC</v>
      </c>
      <c r="Z896" s="7">
        <f t="shared" si="47"/>
        <v>0</v>
      </c>
      <c r="AA896" s="7">
        <f t="shared" si="48"/>
        <v>0</v>
      </c>
      <c r="AB896" s="7">
        <f t="shared" si="49"/>
        <v>0</v>
      </c>
      <c r="AC896" s="7">
        <f t="shared" si="50"/>
        <v>0</v>
      </c>
      <c r="AD896" s="7">
        <f t="shared" si="51"/>
        <v>0</v>
      </c>
      <c r="AE896" s="8" cm="1">
        <f t="array" ref="AE896">IFERROR(_xlfn.XLOOKUP(H896,Sheet1!$G:$G,Sheet1!$F:$F),IFERROR(_xlfn.XLOOKUP(1,(--($X$2:$X$1074=X896))*(--ISNUMBER(MATCH($H$2:$H$1074,Sheet1!$G:$G,0))),_xlfn.XLOOKUP($H$2:$H$1074,Sheet1!$G:$G,Sheet1!$F:$F,"")),"NOT FOUND"))</f>
        <v>0</v>
      </c>
      <c r="AF896" s="9" t="str">
        <f t="shared" si="54"/>
        <v/>
      </c>
      <c r="AG896" s="10" t="str">
        <f t="shared" si="55"/>
        <v/>
      </c>
      <c r="AH896" s="8" t="str" cm="1">
        <f t="array" ref="AH896">IF(OR(J896="",AE896="",AE896="NOT FOUND"),"",IF(Y896="RP",_xlfn.LET(_xlpm.desc,_xlfn.XLOOKUP(1,(--(Sheet1!$F$2:$F$754=AE896))*(--ISNUMBER(FIND("-",Sheet1!$W$2:$W$754,FIND("-",Sheet1!$W$2:$W$754)+1))),Sheet1!$W$2:$W$754,""),IF(_xlpm.desc="","NOT FOUND",LEFT(_xlpm.desc,FIND("-",_xlpm.desc,FIND("-",_xlpm.desc)+1))&amp;AE896)),LEFT(J896,FIND("-",J896,FIND("-",J896)+1))&amp;AE896))</f>
        <v/>
      </c>
    </row>
    <row r="897" spans="1:34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X897" s="6" t="e">
        <f t="shared" si="45"/>
        <v>#VALUE!</v>
      </c>
      <c r="Y897" s="7" t="str">
        <f t="shared" si="46"/>
        <v>DC</v>
      </c>
      <c r="Z897" s="7">
        <f t="shared" si="47"/>
        <v>0</v>
      </c>
      <c r="AA897" s="7">
        <f t="shared" si="48"/>
        <v>0</v>
      </c>
      <c r="AB897" s="7">
        <f t="shared" si="49"/>
        <v>0</v>
      </c>
      <c r="AC897" s="7">
        <f t="shared" si="50"/>
        <v>0</v>
      </c>
      <c r="AD897" s="7">
        <f t="shared" si="51"/>
        <v>0</v>
      </c>
      <c r="AE897" s="8" cm="1">
        <f t="array" ref="AE897">IFERROR(_xlfn.XLOOKUP(H897,Sheet1!$G:$G,Sheet1!$F:$F),IFERROR(_xlfn.XLOOKUP(1,(--($X$2:$X$1074=X897))*(--ISNUMBER(MATCH($H$2:$H$1074,Sheet1!$G:$G,0))),_xlfn.XLOOKUP($H$2:$H$1074,Sheet1!$G:$G,Sheet1!$F:$F,"")),"NOT FOUND"))</f>
        <v>0</v>
      </c>
      <c r="AF897" s="9" t="str">
        <f t="shared" si="54"/>
        <v/>
      </c>
      <c r="AG897" s="10" t="str">
        <f t="shared" si="55"/>
        <v/>
      </c>
      <c r="AH897" s="8" t="str" cm="1">
        <f t="array" ref="AH897">IF(OR(J897="",AE897="",AE897="NOT FOUND"),"",IF(Y897="RP",_xlfn.LET(_xlpm.desc,_xlfn.XLOOKUP(1,(--(Sheet1!$F$2:$F$754=AE897))*(--ISNUMBER(FIND("-",Sheet1!$W$2:$W$754,FIND("-",Sheet1!$W$2:$W$754)+1))),Sheet1!$W$2:$W$754,""),IF(_xlpm.desc="","NOT FOUND",LEFT(_xlpm.desc,FIND("-",_xlpm.desc,FIND("-",_xlpm.desc)+1))&amp;AE897)),LEFT(J897,FIND("-",J897,FIND("-",J897)+1))&amp;AE897))</f>
        <v/>
      </c>
    </row>
    <row r="898" spans="1:34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X898" s="6" t="e">
        <f t="shared" si="45"/>
        <v>#VALUE!</v>
      </c>
      <c r="Y898" s="7" t="str">
        <f t="shared" si="46"/>
        <v>DC</v>
      </c>
      <c r="Z898" s="7">
        <f t="shared" si="47"/>
        <v>0</v>
      </c>
      <c r="AA898" s="7">
        <f t="shared" si="48"/>
        <v>0</v>
      </c>
      <c r="AB898" s="7">
        <f t="shared" si="49"/>
        <v>0</v>
      </c>
      <c r="AC898" s="7">
        <f t="shared" si="50"/>
        <v>0</v>
      </c>
      <c r="AD898" s="7">
        <f t="shared" si="51"/>
        <v>0</v>
      </c>
      <c r="AE898" s="8" cm="1">
        <f t="array" ref="AE898">IFERROR(_xlfn.XLOOKUP(H898,Sheet1!$G:$G,Sheet1!$F:$F),IFERROR(_xlfn.XLOOKUP(1,(--($X$2:$X$1074=X898))*(--ISNUMBER(MATCH($H$2:$H$1074,Sheet1!$G:$G,0))),_xlfn.XLOOKUP($H$2:$H$1074,Sheet1!$G:$G,Sheet1!$F:$F,"")),"NOT FOUND"))</f>
        <v>0</v>
      </c>
      <c r="AF898" s="9" t="str">
        <f t="shared" si="54"/>
        <v/>
      </c>
      <c r="AG898" s="10" t="str">
        <f t="shared" si="55"/>
        <v/>
      </c>
      <c r="AH898" s="8" t="str" cm="1">
        <f t="array" ref="AH898">IF(OR(J898="",AE898="",AE898="NOT FOUND"),"",IF(Y898="RP",_xlfn.LET(_xlpm.desc,_xlfn.XLOOKUP(1,(--(Sheet1!$F$2:$F$754=AE898))*(--ISNUMBER(FIND("-",Sheet1!$W$2:$W$754,FIND("-",Sheet1!$W$2:$W$754)+1))),Sheet1!$W$2:$W$754,""),IF(_xlpm.desc="","NOT FOUND",LEFT(_xlpm.desc,FIND("-",_xlpm.desc,FIND("-",_xlpm.desc)+1))&amp;AE898)),LEFT(J898,FIND("-",J898,FIND("-",J898)+1))&amp;AE898))</f>
        <v/>
      </c>
    </row>
    <row r="899" spans="1:34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X899" s="6" t="e">
        <f t="shared" si="45"/>
        <v>#VALUE!</v>
      </c>
      <c r="Y899" s="7" t="str">
        <f t="shared" si="46"/>
        <v>DC</v>
      </c>
      <c r="Z899" s="7">
        <f t="shared" si="47"/>
        <v>0</v>
      </c>
      <c r="AA899" s="7">
        <f t="shared" si="48"/>
        <v>0</v>
      </c>
      <c r="AB899" s="7">
        <f t="shared" si="49"/>
        <v>0</v>
      </c>
      <c r="AC899" s="7">
        <f t="shared" si="50"/>
        <v>0</v>
      </c>
      <c r="AD899" s="7">
        <f t="shared" si="51"/>
        <v>0</v>
      </c>
      <c r="AE899" s="8" cm="1">
        <f t="array" ref="AE899">IFERROR(_xlfn.XLOOKUP(H899,Sheet1!$G:$G,Sheet1!$F:$F),IFERROR(_xlfn.XLOOKUP(1,(--($X$2:$X$1074=X899))*(--ISNUMBER(MATCH($H$2:$H$1074,Sheet1!$G:$G,0))),_xlfn.XLOOKUP($H$2:$H$1074,Sheet1!$G:$G,Sheet1!$F:$F,"")),"NOT FOUND"))</f>
        <v>0</v>
      </c>
      <c r="AF899" s="9" t="str">
        <f t="shared" ref="AF899:AF962" si="56">IFERROR(IF(ISNUMBER(SEARCH("(RP)",J899)),TRIM(SUBSTITUTE(MID(J899,10,LEN(J899)),"(RP)","")),TRIM(MID(J899,FIND(",",J899)+1,FIND(",",J899,FIND(",",J899)+1)-FIND(",",J899)-1))),"")</f>
        <v/>
      </c>
      <c r="AG899" s="10" t="str">
        <f t="shared" ref="AG899:AG962" si="57">IF(A899="SZAF","Bangalore",IF(A899="SAEX","JHAJJAR",IF(A899="S0EU","HARIPAL","")))</f>
        <v/>
      </c>
      <c r="AH899" s="8" t="str" cm="1">
        <f t="array" ref="AH899">IF(OR(J899="",AE899="",AE899="NOT FOUND"),"",IF(Y899="RP",_xlfn.LET(_xlpm.desc,_xlfn.XLOOKUP(1,(--(Sheet1!$F$2:$F$754=AE899))*(--ISNUMBER(FIND("-",Sheet1!$W$2:$W$754,FIND("-",Sheet1!$W$2:$W$754)+1))),Sheet1!$W$2:$W$754,""),IF(_xlpm.desc="","NOT FOUND",LEFT(_xlpm.desc,FIND("-",_xlpm.desc,FIND("-",_xlpm.desc)+1))&amp;AE899)),LEFT(J899,FIND("-",J899,FIND("-",J899)+1))&amp;AE899))</f>
        <v/>
      </c>
    </row>
    <row r="900" spans="1:34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X900" s="6" t="e">
        <f t="shared" si="45"/>
        <v>#VALUE!</v>
      </c>
      <c r="Y900" s="7" t="str">
        <f t="shared" si="46"/>
        <v>DC</v>
      </c>
      <c r="Z900" s="7">
        <f t="shared" si="47"/>
        <v>0</v>
      </c>
      <c r="AA900" s="7">
        <f t="shared" si="48"/>
        <v>0</v>
      </c>
      <c r="AB900" s="7">
        <f t="shared" si="49"/>
        <v>0</v>
      </c>
      <c r="AC900" s="7">
        <f t="shared" si="50"/>
        <v>0</v>
      </c>
      <c r="AD900" s="7">
        <f t="shared" si="51"/>
        <v>0</v>
      </c>
      <c r="AE900" s="8" cm="1">
        <f t="array" ref="AE900">IFERROR(_xlfn.XLOOKUP(H900,Sheet1!$G:$G,Sheet1!$F:$F),IFERROR(_xlfn.XLOOKUP(1,(--($X$2:$X$1074=X900))*(--ISNUMBER(MATCH($H$2:$H$1074,Sheet1!$G:$G,0))),_xlfn.XLOOKUP($H$2:$H$1074,Sheet1!$G:$G,Sheet1!$F:$F,"")),"NOT FOUND"))</f>
        <v>0</v>
      </c>
      <c r="AF900" s="9" t="str">
        <f t="shared" si="56"/>
        <v/>
      </c>
      <c r="AG900" s="10" t="str">
        <f t="shared" si="57"/>
        <v/>
      </c>
      <c r="AH900" s="8" t="str" cm="1">
        <f t="array" ref="AH900">IF(OR(J900="",AE900="",AE900="NOT FOUND"),"",IF(Y900="RP",_xlfn.LET(_xlpm.desc,_xlfn.XLOOKUP(1,(--(Sheet1!$F$2:$F$754=AE900))*(--ISNUMBER(FIND("-",Sheet1!$W$2:$W$754,FIND("-",Sheet1!$W$2:$W$754)+1))),Sheet1!$W$2:$W$754,""),IF(_xlpm.desc="","NOT FOUND",LEFT(_xlpm.desc,FIND("-",_xlpm.desc,FIND("-",_xlpm.desc)+1))&amp;AE900)),LEFT(J900,FIND("-",J900,FIND("-",J900)+1))&amp;AE900))</f>
        <v/>
      </c>
    </row>
    <row r="901" spans="1:34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X901" s="6" t="e">
        <f t="shared" si="45"/>
        <v>#VALUE!</v>
      </c>
      <c r="Y901" s="7" t="str">
        <f t="shared" si="46"/>
        <v>DC</v>
      </c>
      <c r="Z901" s="7">
        <f t="shared" si="47"/>
        <v>0</v>
      </c>
      <c r="AA901" s="7">
        <f t="shared" si="48"/>
        <v>0</v>
      </c>
      <c r="AB901" s="7">
        <f t="shared" si="49"/>
        <v>0</v>
      </c>
      <c r="AC901" s="7">
        <f t="shared" si="50"/>
        <v>0</v>
      </c>
      <c r="AD901" s="7">
        <f t="shared" si="51"/>
        <v>0</v>
      </c>
      <c r="AE901" s="8" cm="1">
        <f t="array" ref="AE901">IFERROR(_xlfn.XLOOKUP(H901,Sheet1!$G:$G,Sheet1!$F:$F),IFERROR(_xlfn.XLOOKUP(1,(--($X$2:$X$1074=X901))*(--ISNUMBER(MATCH($H$2:$H$1074,Sheet1!$G:$G,0))),_xlfn.XLOOKUP($H$2:$H$1074,Sheet1!$G:$G,Sheet1!$F:$F,"")),"NOT FOUND"))</f>
        <v>0</v>
      </c>
      <c r="AF901" s="9" t="str">
        <f t="shared" si="56"/>
        <v/>
      </c>
      <c r="AG901" s="10" t="str">
        <f t="shared" si="57"/>
        <v/>
      </c>
      <c r="AH901" s="8" t="str" cm="1">
        <f t="array" ref="AH901">IF(OR(J901="",AE901="",AE901="NOT FOUND"),"",IF(Y901="RP",_xlfn.LET(_xlpm.desc,_xlfn.XLOOKUP(1,(--(Sheet1!$F$2:$F$754=AE901))*(--ISNUMBER(FIND("-",Sheet1!$W$2:$W$754,FIND("-",Sheet1!$W$2:$W$754)+1))),Sheet1!$W$2:$W$754,""),IF(_xlpm.desc="","NOT FOUND",LEFT(_xlpm.desc,FIND("-",_xlpm.desc,FIND("-",_xlpm.desc)+1))&amp;AE901)),LEFT(J901,FIND("-",J901,FIND("-",J901)+1))&amp;AE901))</f>
        <v/>
      </c>
    </row>
    <row r="902" spans="1:34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X902" s="6" t="e">
        <f t="shared" si="45"/>
        <v>#VALUE!</v>
      </c>
      <c r="Y902" s="7" t="str">
        <f t="shared" si="46"/>
        <v>DC</v>
      </c>
      <c r="Z902" s="7">
        <f t="shared" si="47"/>
        <v>0</v>
      </c>
      <c r="AA902" s="7">
        <f t="shared" si="48"/>
        <v>0</v>
      </c>
      <c r="AB902" s="7">
        <f t="shared" si="49"/>
        <v>0</v>
      </c>
      <c r="AC902" s="7">
        <f t="shared" si="50"/>
        <v>0</v>
      </c>
      <c r="AD902" s="7">
        <f t="shared" si="51"/>
        <v>0</v>
      </c>
      <c r="AE902" s="8" cm="1">
        <f t="array" ref="AE902">IFERROR(_xlfn.XLOOKUP(H902,Sheet1!$G:$G,Sheet1!$F:$F),IFERROR(_xlfn.XLOOKUP(1,(--($X$2:$X$1074=X902))*(--ISNUMBER(MATCH($H$2:$H$1074,Sheet1!$G:$G,0))),_xlfn.XLOOKUP($H$2:$H$1074,Sheet1!$G:$G,Sheet1!$F:$F,"")),"NOT FOUND"))</f>
        <v>0</v>
      </c>
      <c r="AF902" s="9" t="str">
        <f t="shared" si="56"/>
        <v/>
      </c>
      <c r="AG902" s="10" t="str">
        <f t="shared" si="57"/>
        <v/>
      </c>
      <c r="AH902" s="8" t="str" cm="1">
        <f t="array" ref="AH902">IF(OR(J902="",AE902="",AE902="NOT FOUND"),"",IF(Y902="RP",_xlfn.LET(_xlpm.desc,_xlfn.XLOOKUP(1,(--(Sheet1!$F$2:$F$754=AE902))*(--ISNUMBER(FIND("-",Sheet1!$W$2:$W$754,FIND("-",Sheet1!$W$2:$W$754)+1))),Sheet1!$W$2:$W$754,""),IF(_xlpm.desc="","NOT FOUND",LEFT(_xlpm.desc,FIND("-",_xlpm.desc,FIND("-",_xlpm.desc)+1))&amp;AE902)),LEFT(J902,FIND("-",J902,FIND("-",J902)+1))&amp;AE902))</f>
        <v/>
      </c>
    </row>
    <row r="903" spans="1:34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X903" s="6" t="e">
        <f t="shared" si="45"/>
        <v>#VALUE!</v>
      </c>
      <c r="Y903" s="7" t="str">
        <f t="shared" si="46"/>
        <v>DC</v>
      </c>
      <c r="Z903" s="7">
        <f t="shared" si="47"/>
        <v>0</v>
      </c>
      <c r="AA903" s="7">
        <f t="shared" si="48"/>
        <v>0</v>
      </c>
      <c r="AB903" s="7">
        <f t="shared" si="49"/>
        <v>0</v>
      </c>
      <c r="AC903" s="7">
        <f t="shared" si="50"/>
        <v>0</v>
      </c>
      <c r="AD903" s="7">
        <f t="shared" si="51"/>
        <v>0</v>
      </c>
      <c r="AE903" s="8" cm="1">
        <f t="array" ref="AE903">IFERROR(_xlfn.XLOOKUP(H903,Sheet1!$G:$G,Sheet1!$F:$F),IFERROR(_xlfn.XLOOKUP(1,(--($X$2:$X$1074=X903))*(--ISNUMBER(MATCH($H$2:$H$1074,Sheet1!$G:$G,0))),_xlfn.XLOOKUP($H$2:$H$1074,Sheet1!$G:$G,Sheet1!$F:$F,"")),"NOT FOUND"))</f>
        <v>0</v>
      </c>
      <c r="AF903" s="9" t="str">
        <f t="shared" si="56"/>
        <v/>
      </c>
      <c r="AG903" s="10" t="str">
        <f t="shared" si="57"/>
        <v/>
      </c>
      <c r="AH903" s="8" t="str" cm="1">
        <f t="array" ref="AH903">IF(OR(J903="",AE903="",AE903="NOT FOUND"),"",IF(Y903="RP",_xlfn.LET(_xlpm.desc,_xlfn.XLOOKUP(1,(--(Sheet1!$F$2:$F$754=AE903))*(--ISNUMBER(FIND("-",Sheet1!$W$2:$W$754,FIND("-",Sheet1!$W$2:$W$754)+1))),Sheet1!$W$2:$W$754,""),IF(_xlpm.desc="","NOT FOUND",LEFT(_xlpm.desc,FIND("-",_xlpm.desc,FIND("-",_xlpm.desc)+1))&amp;AE903)),LEFT(J903,FIND("-",J903,FIND("-",J903)+1))&amp;AE903))</f>
        <v/>
      </c>
    </row>
    <row r="904" spans="1:34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X904" s="6" t="e">
        <f t="shared" si="45"/>
        <v>#VALUE!</v>
      </c>
      <c r="Y904" s="7" t="str">
        <f t="shared" si="46"/>
        <v>DC</v>
      </c>
      <c r="Z904" s="7">
        <f t="shared" si="47"/>
        <v>0</v>
      </c>
      <c r="AA904" s="7">
        <f t="shared" si="48"/>
        <v>0</v>
      </c>
      <c r="AB904" s="7">
        <f t="shared" si="49"/>
        <v>0</v>
      </c>
      <c r="AC904" s="7">
        <f t="shared" si="50"/>
        <v>0</v>
      </c>
      <c r="AD904" s="7">
        <f t="shared" si="51"/>
        <v>0</v>
      </c>
      <c r="AE904" s="8" cm="1">
        <f t="array" ref="AE904">IFERROR(_xlfn.XLOOKUP(H904,Sheet1!$G:$G,Sheet1!$F:$F),IFERROR(_xlfn.XLOOKUP(1,(--($X$2:$X$1074=X904))*(--ISNUMBER(MATCH($H$2:$H$1074,Sheet1!$G:$G,0))),_xlfn.XLOOKUP($H$2:$H$1074,Sheet1!$G:$G,Sheet1!$F:$F,"")),"NOT FOUND"))</f>
        <v>0</v>
      </c>
      <c r="AF904" s="9" t="str">
        <f t="shared" si="56"/>
        <v/>
      </c>
      <c r="AG904" s="10" t="str">
        <f t="shared" si="57"/>
        <v/>
      </c>
      <c r="AH904" s="8" t="str" cm="1">
        <f t="array" ref="AH904">IF(OR(J904="",AE904="",AE904="NOT FOUND"),"",IF(Y904="RP",_xlfn.LET(_xlpm.desc,_xlfn.XLOOKUP(1,(--(Sheet1!$F$2:$F$754=AE904))*(--ISNUMBER(FIND("-",Sheet1!$W$2:$W$754,FIND("-",Sheet1!$W$2:$W$754)+1))),Sheet1!$W$2:$W$754,""),IF(_xlpm.desc="","NOT FOUND",LEFT(_xlpm.desc,FIND("-",_xlpm.desc,FIND("-",_xlpm.desc)+1))&amp;AE904)),LEFT(J904,FIND("-",J904,FIND("-",J904)+1))&amp;AE904))</f>
        <v/>
      </c>
    </row>
    <row r="905" spans="1:34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X905" s="6" t="e">
        <f t="shared" si="45"/>
        <v>#VALUE!</v>
      </c>
      <c r="Y905" s="7" t="str">
        <f t="shared" si="46"/>
        <v>DC</v>
      </c>
      <c r="Z905" s="7">
        <f t="shared" si="47"/>
        <v>0</v>
      </c>
      <c r="AA905" s="7">
        <f t="shared" si="48"/>
        <v>0</v>
      </c>
      <c r="AB905" s="7">
        <f t="shared" si="49"/>
        <v>0</v>
      </c>
      <c r="AC905" s="7">
        <f t="shared" si="50"/>
        <v>0</v>
      </c>
      <c r="AD905" s="7">
        <f t="shared" si="51"/>
        <v>0</v>
      </c>
      <c r="AE905" s="8" cm="1">
        <f t="array" ref="AE905">IFERROR(_xlfn.XLOOKUP(H905,Sheet1!$G:$G,Sheet1!$F:$F),IFERROR(_xlfn.XLOOKUP(1,(--($X$2:$X$1074=X905))*(--ISNUMBER(MATCH($H$2:$H$1074,Sheet1!$G:$G,0))),_xlfn.XLOOKUP($H$2:$H$1074,Sheet1!$G:$G,Sheet1!$F:$F,"")),"NOT FOUND"))</f>
        <v>0</v>
      </c>
      <c r="AF905" s="9" t="str">
        <f t="shared" si="56"/>
        <v/>
      </c>
      <c r="AG905" s="10" t="str">
        <f t="shared" si="57"/>
        <v/>
      </c>
      <c r="AH905" s="8" t="str" cm="1">
        <f t="array" ref="AH905">IF(OR(J905="",AE905="",AE905="NOT FOUND"),"",IF(Y905="RP",_xlfn.LET(_xlpm.desc,_xlfn.XLOOKUP(1,(--(Sheet1!$F$2:$F$754=AE905))*(--ISNUMBER(FIND("-",Sheet1!$W$2:$W$754,FIND("-",Sheet1!$W$2:$W$754)+1))),Sheet1!$W$2:$W$754,""),IF(_xlpm.desc="","NOT FOUND",LEFT(_xlpm.desc,FIND("-",_xlpm.desc,FIND("-",_xlpm.desc)+1))&amp;AE905)),LEFT(J905,FIND("-",J905,FIND("-",J905)+1))&amp;AE905))</f>
        <v/>
      </c>
    </row>
    <row r="906" spans="1:34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X906" s="6" t="e">
        <f t="shared" si="45"/>
        <v>#VALUE!</v>
      </c>
      <c r="Y906" s="7" t="str">
        <f t="shared" si="46"/>
        <v>DC</v>
      </c>
      <c r="Z906" s="7">
        <f t="shared" si="47"/>
        <v>0</v>
      </c>
      <c r="AA906" s="7">
        <f t="shared" si="48"/>
        <v>0</v>
      </c>
      <c r="AB906" s="7">
        <f t="shared" si="49"/>
        <v>0</v>
      </c>
      <c r="AC906" s="7">
        <f t="shared" si="50"/>
        <v>0</v>
      </c>
      <c r="AD906" s="7">
        <f t="shared" si="51"/>
        <v>0</v>
      </c>
      <c r="AE906" s="8" cm="1">
        <f t="array" ref="AE906">IFERROR(_xlfn.XLOOKUP(H906,Sheet1!$G:$G,Sheet1!$F:$F),IFERROR(_xlfn.XLOOKUP(1,(--($X$2:$X$1074=X906))*(--ISNUMBER(MATCH($H$2:$H$1074,Sheet1!$G:$G,0))),_xlfn.XLOOKUP($H$2:$H$1074,Sheet1!$G:$G,Sheet1!$F:$F,"")),"NOT FOUND"))</f>
        <v>0</v>
      </c>
      <c r="AF906" s="9" t="str">
        <f t="shared" si="56"/>
        <v/>
      </c>
      <c r="AG906" s="10" t="str">
        <f t="shared" si="57"/>
        <v/>
      </c>
      <c r="AH906" s="8" t="str" cm="1">
        <f t="array" ref="AH906">IF(OR(J906="",AE906="",AE906="NOT FOUND"),"",IF(Y906="RP",_xlfn.LET(_xlpm.desc,_xlfn.XLOOKUP(1,(--(Sheet1!$F$2:$F$754=AE906))*(--ISNUMBER(FIND("-",Sheet1!$W$2:$W$754,FIND("-",Sheet1!$W$2:$W$754)+1))),Sheet1!$W$2:$W$754,""),IF(_xlpm.desc="","NOT FOUND",LEFT(_xlpm.desc,FIND("-",_xlpm.desc,FIND("-",_xlpm.desc)+1))&amp;AE906)),LEFT(J906,FIND("-",J906,FIND("-",J906)+1))&amp;AE906))</f>
        <v/>
      </c>
    </row>
    <row r="907" spans="1:34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X907" s="6" t="e">
        <f t="shared" si="45"/>
        <v>#VALUE!</v>
      </c>
      <c r="Y907" s="7" t="str">
        <f t="shared" si="46"/>
        <v>DC</v>
      </c>
      <c r="Z907" s="7">
        <f t="shared" si="47"/>
        <v>0</v>
      </c>
      <c r="AA907" s="7">
        <f t="shared" si="48"/>
        <v>0</v>
      </c>
      <c r="AB907" s="7">
        <f t="shared" si="49"/>
        <v>0</v>
      </c>
      <c r="AC907" s="7">
        <f t="shared" si="50"/>
        <v>0</v>
      </c>
      <c r="AD907" s="7">
        <f t="shared" si="51"/>
        <v>0</v>
      </c>
      <c r="AE907" s="8" cm="1">
        <f t="array" ref="AE907">IFERROR(_xlfn.XLOOKUP(H907,Sheet1!$G:$G,Sheet1!$F:$F),IFERROR(_xlfn.XLOOKUP(1,(--($X$2:$X$1074=X907))*(--ISNUMBER(MATCH($H$2:$H$1074,Sheet1!$G:$G,0))),_xlfn.XLOOKUP($H$2:$H$1074,Sheet1!$G:$G,Sheet1!$F:$F,"")),"NOT FOUND"))</f>
        <v>0</v>
      </c>
      <c r="AF907" s="9" t="str">
        <f t="shared" si="56"/>
        <v/>
      </c>
      <c r="AG907" s="10" t="str">
        <f t="shared" si="57"/>
        <v/>
      </c>
      <c r="AH907" s="8" t="str" cm="1">
        <f t="array" ref="AH907">IF(OR(J907="",AE907="",AE907="NOT FOUND"),"",IF(Y907="RP",_xlfn.LET(_xlpm.desc,_xlfn.XLOOKUP(1,(--(Sheet1!$F$2:$F$754=AE907))*(--ISNUMBER(FIND("-",Sheet1!$W$2:$W$754,FIND("-",Sheet1!$W$2:$W$754)+1))),Sheet1!$W$2:$W$754,""),IF(_xlpm.desc="","NOT FOUND",LEFT(_xlpm.desc,FIND("-",_xlpm.desc,FIND("-",_xlpm.desc)+1))&amp;AE907)),LEFT(J907,FIND("-",J907,FIND("-",J907)+1))&amp;AE907))</f>
        <v/>
      </c>
    </row>
    <row r="908" spans="1:34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X908" s="6" t="e">
        <f t="shared" si="45"/>
        <v>#VALUE!</v>
      </c>
      <c r="Y908" s="7" t="str">
        <f t="shared" si="46"/>
        <v>DC</v>
      </c>
      <c r="Z908" s="7">
        <f t="shared" si="47"/>
        <v>0</v>
      </c>
      <c r="AA908" s="7">
        <f t="shared" si="48"/>
        <v>0</v>
      </c>
      <c r="AB908" s="7">
        <f t="shared" si="49"/>
        <v>0</v>
      </c>
      <c r="AC908" s="7">
        <f t="shared" si="50"/>
        <v>0</v>
      </c>
      <c r="AD908" s="7">
        <f t="shared" si="51"/>
        <v>0</v>
      </c>
      <c r="AE908" s="8" cm="1">
        <f t="array" ref="AE908">IFERROR(_xlfn.XLOOKUP(H908,Sheet1!$G:$G,Sheet1!$F:$F),IFERROR(_xlfn.XLOOKUP(1,(--($X$2:$X$1074=X908))*(--ISNUMBER(MATCH($H$2:$H$1074,Sheet1!$G:$G,0))),_xlfn.XLOOKUP($H$2:$H$1074,Sheet1!$G:$G,Sheet1!$F:$F,"")),"NOT FOUND"))</f>
        <v>0</v>
      </c>
      <c r="AF908" s="9" t="str">
        <f t="shared" si="56"/>
        <v/>
      </c>
      <c r="AG908" s="10" t="str">
        <f t="shared" si="57"/>
        <v/>
      </c>
      <c r="AH908" s="8" t="str" cm="1">
        <f t="array" ref="AH908">IF(OR(J908="",AE908="",AE908="NOT FOUND"),"",IF(Y908="RP",_xlfn.LET(_xlpm.desc,_xlfn.XLOOKUP(1,(--(Sheet1!$F$2:$F$754=AE908))*(--ISNUMBER(FIND("-",Sheet1!$W$2:$W$754,FIND("-",Sheet1!$W$2:$W$754)+1))),Sheet1!$W$2:$W$754,""),IF(_xlpm.desc="","NOT FOUND",LEFT(_xlpm.desc,FIND("-",_xlpm.desc,FIND("-",_xlpm.desc)+1))&amp;AE908)),LEFT(J908,FIND("-",J908,FIND("-",J908)+1))&amp;AE908))</f>
        <v/>
      </c>
    </row>
    <row r="909" spans="1:34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X909" s="6" t="e">
        <f t="shared" si="45"/>
        <v>#VALUE!</v>
      </c>
      <c r="Y909" s="7" t="str">
        <f t="shared" si="46"/>
        <v>DC</v>
      </c>
      <c r="Z909" s="7">
        <f t="shared" si="47"/>
        <v>0</v>
      </c>
      <c r="AA909" s="7">
        <f t="shared" si="48"/>
        <v>0</v>
      </c>
      <c r="AB909" s="7">
        <f t="shared" si="49"/>
        <v>0</v>
      </c>
      <c r="AC909" s="7">
        <f t="shared" si="50"/>
        <v>0</v>
      </c>
      <c r="AD909" s="7">
        <f t="shared" si="51"/>
        <v>0</v>
      </c>
      <c r="AE909" s="8" cm="1">
        <f t="array" ref="AE909">IFERROR(_xlfn.XLOOKUP(H909,Sheet1!$G:$G,Sheet1!$F:$F),IFERROR(_xlfn.XLOOKUP(1,(--($X$2:$X$1074=X909))*(--ISNUMBER(MATCH($H$2:$H$1074,Sheet1!$G:$G,0))),_xlfn.XLOOKUP($H$2:$H$1074,Sheet1!$G:$G,Sheet1!$F:$F,"")),"NOT FOUND"))</f>
        <v>0</v>
      </c>
      <c r="AF909" s="9" t="str">
        <f t="shared" si="56"/>
        <v/>
      </c>
      <c r="AG909" s="10" t="str">
        <f t="shared" si="57"/>
        <v/>
      </c>
      <c r="AH909" s="8" t="str" cm="1">
        <f t="array" ref="AH909">IF(OR(J909="",AE909="",AE909="NOT FOUND"),"",IF(Y909="RP",_xlfn.LET(_xlpm.desc,_xlfn.XLOOKUP(1,(--(Sheet1!$F$2:$F$754=AE909))*(--ISNUMBER(FIND("-",Sheet1!$W$2:$W$754,FIND("-",Sheet1!$W$2:$W$754)+1))),Sheet1!$W$2:$W$754,""),IF(_xlpm.desc="","NOT FOUND",LEFT(_xlpm.desc,FIND("-",_xlpm.desc,FIND("-",_xlpm.desc)+1))&amp;AE909)),LEFT(J909,FIND("-",J909,FIND("-",J909)+1))&amp;AE909))</f>
        <v/>
      </c>
    </row>
    <row r="910" spans="1:34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X910" s="6" t="e">
        <f t="shared" si="45"/>
        <v>#VALUE!</v>
      </c>
      <c r="Y910" s="7" t="str">
        <f t="shared" si="46"/>
        <v>DC</v>
      </c>
      <c r="Z910" s="7">
        <f t="shared" si="47"/>
        <v>0</v>
      </c>
      <c r="AA910" s="7">
        <f t="shared" si="48"/>
        <v>0</v>
      </c>
      <c r="AB910" s="7">
        <f t="shared" si="49"/>
        <v>0</v>
      </c>
      <c r="AC910" s="7">
        <f t="shared" si="50"/>
        <v>0</v>
      </c>
      <c r="AD910" s="7">
        <f t="shared" si="51"/>
        <v>0</v>
      </c>
      <c r="AE910" s="8" cm="1">
        <f t="array" ref="AE910">IFERROR(_xlfn.XLOOKUP(H910,Sheet1!$G:$G,Sheet1!$F:$F),IFERROR(_xlfn.XLOOKUP(1,(--($X$2:$X$1074=X910))*(--ISNUMBER(MATCH($H$2:$H$1074,Sheet1!$G:$G,0))),_xlfn.XLOOKUP($H$2:$H$1074,Sheet1!$G:$G,Sheet1!$F:$F,"")),"NOT FOUND"))</f>
        <v>0</v>
      </c>
      <c r="AF910" s="9" t="str">
        <f t="shared" si="56"/>
        <v/>
      </c>
      <c r="AG910" s="10" t="str">
        <f t="shared" si="57"/>
        <v/>
      </c>
      <c r="AH910" s="8" t="str" cm="1">
        <f t="array" ref="AH910">IF(OR(J910="",AE910="",AE910="NOT FOUND"),"",IF(Y910="RP",_xlfn.LET(_xlpm.desc,_xlfn.XLOOKUP(1,(--(Sheet1!$F$2:$F$754=AE910))*(--ISNUMBER(FIND("-",Sheet1!$W$2:$W$754,FIND("-",Sheet1!$W$2:$W$754)+1))),Sheet1!$W$2:$W$754,""),IF(_xlpm.desc="","NOT FOUND",LEFT(_xlpm.desc,FIND("-",_xlpm.desc,FIND("-",_xlpm.desc)+1))&amp;AE910)),LEFT(J910,FIND("-",J910,FIND("-",J910)+1))&amp;AE910))</f>
        <v/>
      </c>
    </row>
    <row r="911" spans="1:34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X911" s="6" t="e">
        <f t="shared" si="45"/>
        <v>#VALUE!</v>
      </c>
      <c r="Y911" s="7" t="str">
        <f t="shared" si="46"/>
        <v>DC</v>
      </c>
      <c r="Z911" s="7">
        <f t="shared" si="47"/>
        <v>0</v>
      </c>
      <c r="AA911" s="7">
        <f t="shared" si="48"/>
        <v>0</v>
      </c>
      <c r="AB911" s="7">
        <f t="shared" si="49"/>
        <v>0</v>
      </c>
      <c r="AC911" s="7">
        <f t="shared" si="50"/>
        <v>0</v>
      </c>
      <c r="AD911" s="7">
        <f t="shared" si="51"/>
        <v>0</v>
      </c>
      <c r="AE911" s="8" cm="1">
        <f t="array" ref="AE911">IFERROR(_xlfn.XLOOKUP(H911,Sheet1!$G:$G,Sheet1!$F:$F),IFERROR(_xlfn.XLOOKUP(1,(--($X$2:$X$1074=X911))*(--ISNUMBER(MATCH($H$2:$H$1074,Sheet1!$G:$G,0))),_xlfn.XLOOKUP($H$2:$H$1074,Sheet1!$G:$G,Sheet1!$F:$F,"")),"NOT FOUND"))</f>
        <v>0</v>
      </c>
      <c r="AF911" s="9" t="str">
        <f t="shared" si="56"/>
        <v/>
      </c>
      <c r="AG911" s="10" t="str">
        <f t="shared" si="57"/>
        <v/>
      </c>
      <c r="AH911" s="8" t="str" cm="1">
        <f t="array" ref="AH911">IF(OR(J911="",AE911="",AE911="NOT FOUND"),"",IF(Y911="RP",_xlfn.LET(_xlpm.desc,_xlfn.XLOOKUP(1,(--(Sheet1!$F$2:$F$754=AE911))*(--ISNUMBER(FIND("-",Sheet1!$W$2:$W$754,FIND("-",Sheet1!$W$2:$W$754)+1))),Sheet1!$W$2:$W$754,""),IF(_xlpm.desc="","NOT FOUND",LEFT(_xlpm.desc,FIND("-",_xlpm.desc,FIND("-",_xlpm.desc)+1))&amp;AE911)),LEFT(J911,FIND("-",J911,FIND("-",J911)+1))&amp;AE911))</f>
        <v/>
      </c>
    </row>
    <row r="912" spans="1:34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X912" s="6" t="e">
        <f t="shared" si="45"/>
        <v>#VALUE!</v>
      </c>
      <c r="Y912" s="7" t="str">
        <f t="shared" si="46"/>
        <v>DC</v>
      </c>
      <c r="Z912" s="7">
        <f t="shared" si="47"/>
        <v>0</v>
      </c>
      <c r="AA912" s="7">
        <f t="shared" si="48"/>
        <v>0</v>
      </c>
      <c r="AB912" s="7">
        <f t="shared" si="49"/>
        <v>0</v>
      </c>
      <c r="AC912" s="7">
        <f t="shared" si="50"/>
        <v>0</v>
      </c>
      <c r="AD912" s="7">
        <f t="shared" si="51"/>
        <v>0</v>
      </c>
      <c r="AE912" s="8" cm="1">
        <f t="array" ref="AE912">IFERROR(_xlfn.XLOOKUP(H912,Sheet1!$G:$G,Sheet1!$F:$F),IFERROR(_xlfn.XLOOKUP(1,(--($X$2:$X$1074=X912))*(--ISNUMBER(MATCH($H$2:$H$1074,Sheet1!$G:$G,0))),_xlfn.XLOOKUP($H$2:$H$1074,Sheet1!$G:$G,Sheet1!$F:$F,"")),"NOT FOUND"))</f>
        <v>0</v>
      </c>
      <c r="AF912" s="9" t="str">
        <f t="shared" si="56"/>
        <v/>
      </c>
      <c r="AG912" s="10" t="str">
        <f t="shared" si="57"/>
        <v/>
      </c>
      <c r="AH912" s="8" t="str" cm="1">
        <f t="array" ref="AH912">IF(OR(J912="",AE912="",AE912="NOT FOUND"),"",IF(Y912="RP",_xlfn.LET(_xlpm.desc,_xlfn.XLOOKUP(1,(--(Sheet1!$F$2:$F$754=AE912))*(--ISNUMBER(FIND("-",Sheet1!$W$2:$W$754,FIND("-",Sheet1!$W$2:$W$754)+1))),Sheet1!$W$2:$W$754,""),IF(_xlpm.desc="","NOT FOUND",LEFT(_xlpm.desc,FIND("-",_xlpm.desc,FIND("-",_xlpm.desc)+1))&amp;AE912)),LEFT(J912,FIND("-",J912,FIND("-",J912)+1))&amp;AE912))</f>
        <v/>
      </c>
    </row>
    <row r="913" spans="1:34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X913" s="6" t="e">
        <f t="shared" si="45"/>
        <v>#VALUE!</v>
      </c>
      <c r="Y913" s="7" t="str">
        <f t="shared" si="46"/>
        <v>DC</v>
      </c>
      <c r="Z913" s="7">
        <f t="shared" si="47"/>
        <v>0</v>
      </c>
      <c r="AA913" s="7">
        <f t="shared" si="48"/>
        <v>0</v>
      </c>
      <c r="AB913" s="7">
        <f t="shared" si="49"/>
        <v>0</v>
      </c>
      <c r="AC913" s="7">
        <f t="shared" si="50"/>
        <v>0</v>
      </c>
      <c r="AD913" s="7">
        <f t="shared" si="51"/>
        <v>0</v>
      </c>
      <c r="AE913" s="8" cm="1">
        <f t="array" ref="AE913">IFERROR(_xlfn.XLOOKUP(H913,Sheet1!$G:$G,Sheet1!$F:$F),IFERROR(_xlfn.XLOOKUP(1,(--($X$2:$X$1074=X913))*(--ISNUMBER(MATCH($H$2:$H$1074,Sheet1!$G:$G,0))),_xlfn.XLOOKUP($H$2:$H$1074,Sheet1!$G:$G,Sheet1!$F:$F,"")),"NOT FOUND"))</f>
        <v>0</v>
      </c>
      <c r="AF913" s="9" t="str">
        <f t="shared" si="56"/>
        <v/>
      </c>
      <c r="AG913" s="10" t="str">
        <f t="shared" si="57"/>
        <v/>
      </c>
      <c r="AH913" s="8" t="str" cm="1">
        <f t="array" ref="AH913">IF(OR(J913="",AE913="",AE913="NOT FOUND"),"",IF(Y913="RP",_xlfn.LET(_xlpm.desc,_xlfn.XLOOKUP(1,(--(Sheet1!$F$2:$F$754=AE913))*(--ISNUMBER(FIND("-",Sheet1!$W$2:$W$754,FIND("-",Sheet1!$W$2:$W$754)+1))),Sheet1!$W$2:$W$754,""),IF(_xlpm.desc="","NOT FOUND",LEFT(_xlpm.desc,FIND("-",_xlpm.desc,FIND("-",_xlpm.desc)+1))&amp;AE913)),LEFT(J913,FIND("-",J913,FIND("-",J913)+1))&amp;AE913))</f>
        <v/>
      </c>
    </row>
    <row r="914" spans="1:34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X914" s="6" t="e">
        <f t="shared" si="45"/>
        <v>#VALUE!</v>
      </c>
      <c r="Y914" s="7" t="str">
        <f t="shared" si="46"/>
        <v>DC</v>
      </c>
      <c r="Z914" s="7">
        <f t="shared" si="47"/>
        <v>0</v>
      </c>
      <c r="AA914" s="7">
        <f t="shared" si="48"/>
        <v>0</v>
      </c>
      <c r="AB914" s="7">
        <f t="shared" si="49"/>
        <v>0</v>
      </c>
      <c r="AC914" s="7">
        <f t="shared" si="50"/>
        <v>0</v>
      </c>
      <c r="AD914" s="7">
        <f t="shared" si="51"/>
        <v>0</v>
      </c>
      <c r="AE914" s="8" cm="1">
        <f t="array" ref="AE914">IFERROR(_xlfn.XLOOKUP(H914,Sheet1!$G:$G,Sheet1!$F:$F),IFERROR(_xlfn.XLOOKUP(1,(--($X$2:$X$1074=X914))*(--ISNUMBER(MATCH($H$2:$H$1074,Sheet1!$G:$G,0))),_xlfn.XLOOKUP($H$2:$H$1074,Sheet1!$G:$G,Sheet1!$F:$F,"")),"NOT FOUND"))</f>
        <v>0</v>
      </c>
      <c r="AF914" s="9" t="str">
        <f t="shared" si="56"/>
        <v/>
      </c>
      <c r="AG914" s="10" t="str">
        <f t="shared" si="57"/>
        <v/>
      </c>
      <c r="AH914" s="8" t="str" cm="1">
        <f t="array" ref="AH914">IF(OR(J914="",AE914="",AE914="NOT FOUND"),"",IF(Y914="RP",_xlfn.LET(_xlpm.desc,_xlfn.XLOOKUP(1,(--(Sheet1!$F$2:$F$754=AE914))*(--ISNUMBER(FIND("-",Sheet1!$W$2:$W$754,FIND("-",Sheet1!$W$2:$W$754)+1))),Sheet1!$W$2:$W$754,""),IF(_xlpm.desc="","NOT FOUND",LEFT(_xlpm.desc,FIND("-",_xlpm.desc,FIND("-",_xlpm.desc)+1))&amp;AE914)),LEFT(J914,FIND("-",J914,FIND("-",J914)+1))&amp;AE914))</f>
        <v/>
      </c>
    </row>
    <row r="915" spans="1:34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X915" s="6" t="e">
        <f t="shared" si="45"/>
        <v>#VALUE!</v>
      </c>
      <c r="Y915" s="7" t="str">
        <f t="shared" si="46"/>
        <v>DC</v>
      </c>
      <c r="Z915" s="7">
        <f t="shared" si="47"/>
        <v>0</v>
      </c>
      <c r="AA915" s="7">
        <f t="shared" si="48"/>
        <v>0</v>
      </c>
      <c r="AB915" s="7">
        <f t="shared" si="49"/>
        <v>0</v>
      </c>
      <c r="AC915" s="7">
        <f t="shared" si="50"/>
        <v>0</v>
      </c>
      <c r="AD915" s="7">
        <f t="shared" si="51"/>
        <v>0</v>
      </c>
      <c r="AE915" s="8" cm="1">
        <f t="array" ref="AE915">IFERROR(_xlfn.XLOOKUP(H915,Sheet1!$G:$G,Sheet1!$F:$F),IFERROR(_xlfn.XLOOKUP(1,(--($X$2:$X$1074=X915))*(--ISNUMBER(MATCH($H$2:$H$1074,Sheet1!$G:$G,0))),_xlfn.XLOOKUP($H$2:$H$1074,Sheet1!$G:$G,Sheet1!$F:$F,"")),"NOT FOUND"))</f>
        <v>0</v>
      </c>
      <c r="AF915" s="9" t="str">
        <f t="shared" si="56"/>
        <v/>
      </c>
      <c r="AG915" s="10" t="str">
        <f t="shared" si="57"/>
        <v/>
      </c>
      <c r="AH915" s="8" t="str" cm="1">
        <f t="array" ref="AH915">IF(OR(J915="",AE915="",AE915="NOT FOUND"),"",IF(Y915="RP",_xlfn.LET(_xlpm.desc,_xlfn.XLOOKUP(1,(--(Sheet1!$F$2:$F$754=AE915))*(--ISNUMBER(FIND("-",Sheet1!$W$2:$W$754,FIND("-",Sheet1!$W$2:$W$754)+1))),Sheet1!$W$2:$W$754,""),IF(_xlpm.desc="","NOT FOUND",LEFT(_xlpm.desc,FIND("-",_xlpm.desc,FIND("-",_xlpm.desc)+1))&amp;AE915)),LEFT(J915,FIND("-",J915,FIND("-",J915)+1))&amp;AE915))</f>
        <v/>
      </c>
    </row>
    <row r="916" spans="1:34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X916" s="6" t="e">
        <f t="shared" si="45"/>
        <v>#VALUE!</v>
      </c>
      <c r="Y916" s="7" t="str">
        <f t="shared" si="46"/>
        <v>DC</v>
      </c>
      <c r="Z916" s="7">
        <f t="shared" si="47"/>
        <v>0</v>
      </c>
      <c r="AA916" s="7">
        <f t="shared" si="48"/>
        <v>0</v>
      </c>
      <c r="AB916" s="7">
        <f t="shared" si="49"/>
        <v>0</v>
      </c>
      <c r="AC916" s="7">
        <f t="shared" si="50"/>
        <v>0</v>
      </c>
      <c r="AD916" s="7">
        <f t="shared" si="51"/>
        <v>0</v>
      </c>
      <c r="AE916" s="8" cm="1">
        <f t="array" ref="AE916">IFERROR(_xlfn.XLOOKUP(H916,Sheet1!$G:$G,Sheet1!$F:$F),IFERROR(_xlfn.XLOOKUP(1,(--($X$2:$X$1074=X916))*(--ISNUMBER(MATCH($H$2:$H$1074,Sheet1!$G:$G,0))),_xlfn.XLOOKUP($H$2:$H$1074,Sheet1!$G:$G,Sheet1!$F:$F,"")),"NOT FOUND"))</f>
        <v>0</v>
      </c>
      <c r="AF916" s="9" t="str">
        <f t="shared" si="56"/>
        <v/>
      </c>
      <c r="AG916" s="10" t="str">
        <f t="shared" si="57"/>
        <v/>
      </c>
      <c r="AH916" s="8" t="str" cm="1">
        <f t="array" ref="AH916">IF(OR(J916="",AE916="",AE916="NOT FOUND"),"",IF(Y916="RP",_xlfn.LET(_xlpm.desc,_xlfn.XLOOKUP(1,(--(Sheet1!$F$2:$F$754=AE916))*(--ISNUMBER(FIND("-",Sheet1!$W$2:$W$754,FIND("-",Sheet1!$W$2:$W$754)+1))),Sheet1!$W$2:$W$754,""),IF(_xlpm.desc="","NOT FOUND",LEFT(_xlpm.desc,FIND("-",_xlpm.desc,FIND("-",_xlpm.desc)+1))&amp;AE916)),LEFT(J916,FIND("-",J916,FIND("-",J916)+1))&amp;AE916))</f>
        <v/>
      </c>
    </row>
    <row r="917" spans="1:34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X917" s="6" t="e">
        <f t="shared" si="45"/>
        <v>#VALUE!</v>
      </c>
      <c r="Y917" s="7" t="str">
        <f t="shared" si="46"/>
        <v>DC</v>
      </c>
      <c r="Z917" s="7">
        <f t="shared" si="47"/>
        <v>0</v>
      </c>
      <c r="AA917" s="7">
        <f t="shared" si="48"/>
        <v>0</v>
      </c>
      <c r="AB917" s="7">
        <f t="shared" si="49"/>
        <v>0</v>
      </c>
      <c r="AC917" s="7">
        <f t="shared" si="50"/>
        <v>0</v>
      </c>
      <c r="AD917" s="7">
        <f t="shared" si="51"/>
        <v>0</v>
      </c>
      <c r="AE917" s="8" cm="1">
        <f t="array" ref="AE917">IFERROR(_xlfn.XLOOKUP(H917,Sheet1!$G:$G,Sheet1!$F:$F),IFERROR(_xlfn.XLOOKUP(1,(--($X$2:$X$1074=X917))*(--ISNUMBER(MATCH($H$2:$H$1074,Sheet1!$G:$G,0))),_xlfn.XLOOKUP($H$2:$H$1074,Sheet1!$G:$G,Sheet1!$F:$F,"")),"NOT FOUND"))</f>
        <v>0</v>
      </c>
      <c r="AF917" s="9" t="str">
        <f t="shared" si="56"/>
        <v/>
      </c>
      <c r="AG917" s="10" t="str">
        <f t="shared" si="57"/>
        <v/>
      </c>
      <c r="AH917" s="8" t="str" cm="1">
        <f t="array" ref="AH917">IF(OR(J917="",AE917="",AE917="NOT FOUND"),"",IF(Y917="RP",_xlfn.LET(_xlpm.desc,_xlfn.XLOOKUP(1,(--(Sheet1!$F$2:$F$754=AE917))*(--ISNUMBER(FIND("-",Sheet1!$W$2:$W$754,FIND("-",Sheet1!$W$2:$W$754)+1))),Sheet1!$W$2:$W$754,""),IF(_xlpm.desc="","NOT FOUND",LEFT(_xlpm.desc,FIND("-",_xlpm.desc,FIND("-",_xlpm.desc)+1))&amp;AE917)),LEFT(J917,FIND("-",J917,FIND("-",J917)+1))&amp;AE917))</f>
        <v/>
      </c>
    </row>
    <row r="918" spans="1:34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X918" s="6" t="e">
        <f t="shared" si="45"/>
        <v>#VALUE!</v>
      </c>
      <c r="Y918" s="7" t="str">
        <f t="shared" si="46"/>
        <v>DC</v>
      </c>
      <c r="Z918" s="7">
        <f t="shared" si="47"/>
        <v>0</v>
      </c>
      <c r="AA918" s="7">
        <f t="shared" si="48"/>
        <v>0</v>
      </c>
      <c r="AB918" s="7">
        <f t="shared" si="49"/>
        <v>0</v>
      </c>
      <c r="AC918" s="7">
        <f t="shared" si="50"/>
        <v>0</v>
      </c>
      <c r="AD918" s="7">
        <f t="shared" si="51"/>
        <v>0</v>
      </c>
      <c r="AE918" s="8" cm="1">
        <f t="array" ref="AE918">IFERROR(_xlfn.XLOOKUP(H918,Sheet1!$G:$G,Sheet1!$F:$F),IFERROR(_xlfn.XLOOKUP(1,(--($X$2:$X$1074=X918))*(--ISNUMBER(MATCH($H$2:$H$1074,Sheet1!$G:$G,0))),_xlfn.XLOOKUP($H$2:$H$1074,Sheet1!$G:$G,Sheet1!$F:$F,"")),"NOT FOUND"))</f>
        <v>0</v>
      </c>
      <c r="AF918" s="9" t="str">
        <f t="shared" si="56"/>
        <v/>
      </c>
      <c r="AG918" s="10" t="str">
        <f t="shared" si="57"/>
        <v/>
      </c>
      <c r="AH918" s="8" t="str" cm="1">
        <f t="array" ref="AH918">IF(OR(J918="",AE918="",AE918="NOT FOUND"),"",IF(Y918="RP",_xlfn.LET(_xlpm.desc,_xlfn.XLOOKUP(1,(--(Sheet1!$F$2:$F$754=AE918))*(--ISNUMBER(FIND("-",Sheet1!$W$2:$W$754,FIND("-",Sheet1!$W$2:$W$754)+1))),Sheet1!$W$2:$W$754,""),IF(_xlpm.desc="","NOT FOUND",LEFT(_xlpm.desc,FIND("-",_xlpm.desc,FIND("-",_xlpm.desc)+1))&amp;AE918)),LEFT(J918,FIND("-",J918,FIND("-",J918)+1))&amp;AE918))</f>
        <v/>
      </c>
    </row>
    <row r="919" spans="1:34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X919" s="6" t="e">
        <f t="shared" si="45"/>
        <v>#VALUE!</v>
      </c>
      <c r="Y919" s="7" t="str">
        <f t="shared" si="46"/>
        <v>DC</v>
      </c>
      <c r="Z919" s="7">
        <f t="shared" si="47"/>
        <v>0</v>
      </c>
      <c r="AA919" s="7">
        <f t="shared" si="48"/>
        <v>0</v>
      </c>
      <c r="AB919" s="7">
        <f t="shared" si="49"/>
        <v>0</v>
      </c>
      <c r="AC919" s="7">
        <f t="shared" si="50"/>
        <v>0</v>
      </c>
      <c r="AD919" s="7">
        <f t="shared" si="51"/>
        <v>0</v>
      </c>
      <c r="AE919" s="8" cm="1">
        <f t="array" ref="AE919">IFERROR(_xlfn.XLOOKUP(H919,Sheet1!$G:$G,Sheet1!$F:$F),IFERROR(_xlfn.XLOOKUP(1,(--($X$2:$X$1074=X919))*(--ISNUMBER(MATCH($H$2:$H$1074,Sheet1!$G:$G,0))),_xlfn.XLOOKUP($H$2:$H$1074,Sheet1!$G:$G,Sheet1!$F:$F,"")),"NOT FOUND"))</f>
        <v>0</v>
      </c>
      <c r="AF919" s="9" t="str">
        <f t="shared" si="56"/>
        <v/>
      </c>
      <c r="AG919" s="10" t="str">
        <f t="shared" si="57"/>
        <v/>
      </c>
      <c r="AH919" s="8" t="str" cm="1">
        <f t="array" ref="AH919">IF(OR(J919="",AE919="",AE919="NOT FOUND"),"",IF(Y919="RP",_xlfn.LET(_xlpm.desc,_xlfn.XLOOKUP(1,(--(Sheet1!$F$2:$F$754=AE919))*(--ISNUMBER(FIND("-",Sheet1!$W$2:$W$754,FIND("-",Sheet1!$W$2:$W$754)+1))),Sheet1!$W$2:$W$754,""),IF(_xlpm.desc="","NOT FOUND",LEFT(_xlpm.desc,FIND("-",_xlpm.desc,FIND("-",_xlpm.desc)+1))&amp;AE919)),LEFT(J919,FIND("-",J919,FIND("-",J919)+1))&amp;AE919))</f>
        <v/>
      </c>
    </row>
    <row r="920" spans="1:34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X920" s="6" t="e">
        <f t="shared" si="45"/>
        <v>#VALUE!</v>
      </c>
      <c r="Y920" s="7" t="str">
        <f t="shared" si="46"/>
        <v>DC</v>
      </c>
      <c r="Z920" s="7">
        <f t="shared" si="47"/>
        <v>0</v>
      </c>
      <c r="AA920" s="7">
        <f t="shared" si="48"/>
        <v>0</v>
      </c>
      <c r="AB920" s="7">
        <f t="shared" si="49"/>
        <v>0</v>
      </c>
      <c r="AC920" s="7">
        <f t="shared" si="50"/>
        <v>0</v>
      </c>
      <c r="AD920" s="7">
        <f t="shared" si="51"/>
        <v>0</v>
      </c>
      <c r="AE920" s="8" cm="1">
        <f t="array" ref="AE920">IFERROR(_xlfn.XLOOKUP(H920,Sheet1!$G:$G,Sheet1!$F:$F),IFERROR(_xlfn.XLOOKUP(1,(--($X$2:$X$1074=X920))*(--ISNUMBER(MATCH($H$2:$H$1074,Sheet1!$G:$G,0))),_xlfn.XLOOKUP($H$2:$H$1074,Sheet1!$G:$G,Sheet1!$F:$F,"")),"NOT FOUND"))</f>
        <v>0</v>
      </c>
      <c r="AF920" s="9" t="str">
        <f t="shared" si="56"/>
        <v/>
      </c>
      <c r="AG920" s="10" t="str">
        <f t="shared" si="57"/>
        <v/>
      </c>
      <c r="AH920" s="8" t="str" cm="1">
        <f t="array" ref="AH920">IF(OR(J920="",AE920="",AE920="NOT FOUND"),"",IF(Y920="RP",_xlfn.LET(_xlpm.desc,_xlfn.XLOOKUP(1,(--(Sheet1!$F$2:$F$754=AE920))*(--ISNUMBER(FIND("-",Sheet1!$W$2:$W$754,FIND("-",Sheet1!$W$2:$W$754)+1))),Sheet1!$W$2:$W$754,""),IF(_xlpm.desc="","NOT FOUND",LEFT(_xlpm.desc,FIND("-",_xlpm.desc,FIND("-",_xlpm.desc)+1))&amp;AE920)),LEFT(J920,FIND("-",J920,FIND("-",J920)+1))&amp;AE920))</f>
        <v/>
      </c>
    </row>
    <row r="921" spans="1:34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X921" s="6" t="e">
        <f t="shared" si="45"/>
        <v>#VALUE!</v>
      </c>
      <c r="Y921" s="7" t="str">
        <f t="shared" si="46"/>
        <v>DC</v>
      </c>
      <c r="Z921" s="7">
        <f t="shared" si="47"/>
        <v>0</v>
      </c>
      <c r="AA921" s="7">
        <f t="shared" si="48"/>
        <v>0</v>
      </c>
      <c r="AB921" s="7">
        <f t="shared" si="49"/>
        <v>0</v>
      </c>
      <c r="AC921" s="7">
        <f t="shared" si="50"/>
        <v>0</v>
      </c>
      <c r="AD921" s="7">
        <f t="shared" si="51"/>
        <v>0</v>
      </c>
      <c r="AE921" s="8" cm="1">
        <f t="array" ref="AE921">IFERROR(_xlfn.XLOOKUP(H921,Sheet1!$G:$G,Sheet1!$F:$F),IFERROR(_xlfn.XLOOKUP(1,(--($X$2:$X$1074=X921))*(--ISNUMBER(MATCH($H$2:$H$1074,Sheet1!$G:$G,0))),_xlfn.XLOOKUP($H$2:$H$1074,Sheet1!$G:$G,Sheet1!$F:$F,"")),"NOT FOUND"))</f>
        <v>0</v>
      </c>
      <c r="AF921" s="9" t="str">
        <f t="shared" si="56"/>
        <v/>
      </c>
      <c r="AG921" s="10" t="str">
        <f t="shared" si="57"/>
        <v/>
      </c>
      <c r="AH921" s="8" t="str" cm="1">
        <f t="array" ref="AH921">IF(OR(J921="",AE921="",AE921="NOT FOUND"),"",IF(Y921="RP",_xlfn.LET(_xlpm.desc,_xlfn.XLOOKUP(1,(--(Sheet1!$F$2:$F$754=AE921))*(--ISNUMBER(FIND("-",Sheet1!$W$2:$W$754,FIND("-",Sheet1!$W$2:$W$754)+1))),Sheet1!$W$2:$W$754,""),IF(_xlpm.desc="","NOT FOUND",LEFT(_xlpm.desc,FIND("-",_xlpm.desc,FIND("-",_xlpm.desc)+1))&amp;AE921)),LEFT(J921,FIND("-",J921,FIND("-",J921)+1))&amp;AE921))</f>
        <v/>
      </c>
    </row>
    <row r="922" spans="1:34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X922" s="6" t="e">
        <f t="shared" si="45"/>
        <v>#VALUE!</v>
      </c>
      <c r="Y922" s="7" t="str">
        <f t="shared" si="46"/>
        <v>DC</v>
      </c>
      <c r="Z922" s="7">
        <f t="shared" si="47"/>
        <v>0</v>
      </c>
      <c r="AA922" s="7">
        <f t="shared" si="48"/>
        <v>0</v>
      </c>
      <c r="AB922" s="7">
        <f t="shared" si="49"/>
        <v>0</v>
      </c>
      <c r="AC922" s="7">
        <f t="shared" si="50"/>
        <v>0</v>
      </c>
      <c r="AD922" s="7">
        <f t="shared" si="51"/>
        <v>0</v>
      </c>
      <c r="AE922" s="8" cm="1">
        <f t="array" ref="AE922">IFERROR(_xlfn.XLOOKUP(H922,Sheet1!$G:$G,Sheet1!$F:$F),IFERROR(_xlfn.XLOOKUP(1,(--($X$2:$X$1074=X922))*(--ISNUMBER(MATCH($H$2:$H$1074,Sheet1!$G:$G,0))),_xlfn.XLOOKUP($H$2:$H$1074,Sheet1!$G:$G,Sheet1!$F:$F,"")),"NOT FOUND"))</f>
        <v>0</v>
      </c>
      <c r="AF922" s="9" t="str">
        <f t="shared" si="56"/>
        <v/>
      </c>
      <c r="AG922" s="10" t="str">
        <f t="shared" si="57"/>
        <v/>
      </c>
      <c r="AH922" s="8" t="str" cm="1">
        <f t="array" ref="AH922">IF(OR(J922="",AE922="",AE922="NOT FOUND"),"",IF(Y922="RP",_xlfn.LET(_xlpm.desc,_xlfn.XLOOKUP(1,(--(Sheet1!$F$2:$F$754=AE922))*(--ISNUMBER(FIND("-",Sheet1!$W$2:$W$754,FIND("-",Sheet1!$W$2:$W$754)+1))),Sheet1!$W$2:$W$754,""),IF(_xlpm.desc="","NOT FOUND",LEFT(_xlpm.desc,FIND("-",_xlpm.desc,FIND("-",_xlpm.desc)+1))&amp;AE922)),LEFT(J922,FIND("-",J922,FIND("-",J922)+1))&amp;AE922))</f>
        <v/>
      </c>
    </row>
    <row r="923" spans="1:34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X923" s="6" t="e">
        <f t="shared" si="45"/>
        <v>#VALUE!</v>
      </c>
      <c r="Y923" s="7" t="str">
        <f t="shared" si="46"/>
        <v>DC</v>
      </c>
      <c r="Z923" s="7">
        <f t="shared" si="47"/>
        <v>0</v>
      </c>
      <c r="AA923" s="7">
        <f t="shared" si="48"/>
        <v>0</v>
      </c>
      <c r="AB923" s="7">
        <f t="shared" si="49"/>
        <v>0</v>
      </c>
      <c r="AC923" s="7">
        <f t="shared" si="50"/>
        <v>0</v>
      </c>
      <c r="AD923" s="7">
        <f t="shared" si="51"/>
        <v>0</v>
      </c>
      <c r="AE923" s="8" cm="1">
        <f t="array" ref="AE923">IFERROR(_xlfn.XLOOKUP(H923,Sheet1!$G:$G,Sheet1!$F:$F),IFERROR(_xlfn.XLOOKUP(1,(--($X$2:$X$1074=X923))*(--ISNUMBER(MATCH($H$2:$H$1074,Sheet1!$G:$G,0))),_xlfn.XLOOKUP($H$2:$H$1074,Sheet1!$G:$G,Sheet1!$F:$F,"")),"NOT FOUND"))</f>
        <v>0</v>
      </c>
      <c r="AF923" s="9" t="str">
        <f t="shared" si="56"/>
        <v/>
      </c>
      <c r="AG923" s="10" t="str">
        <f t="shared" si="57"/>
        <v/>
      </c>
      <c r="AH923" s="8" t="str" cm="1">
        <f t="array" ref="AH923">IF(OR(J923="",AE923="",AE923="NOT FOUND"),"",IF(Y923="RP",_xlfn.LET(_xlpm.desc,_xlfn.XLOOKUP(1,(--(Sheet1!$F$2:$F$754=AE923))*(--ISNUMBER(FIND("-",Sheet1!$W$2:$W$754,FIND("-",Sheet1!$W$2:$W$754)+1))),Sheet1!$W$2:$W$754,""),IF(_xlpm.desc="","NOT FOUND",LEFT(_xlpm.desc,FIND("-",_xlpm.desc,FIND("-",_xlpm.desc)+1))&amp;AE923)),LEFT(J923,FIND("-",J923,FIND("-",J923)+1))&amp;AE923))</f>
        <v/>
      </c>
    </row>
    <row r="924" spans="1:34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X924" s="6" t="e">
        <f t="shared" si="45"/>
        <v>#VALUE!</v>
      </c>
      <c r="Y924" s="7" t="str">
        <f t="shared" si="46"/>
        <v>DC</v>
      </c>
      <c r="Z924" s="7">
        <f t="shared" si="47"/>
        <v>0</v>
      </c>
      <c r="AA924" s="7">
        <f t="shared" si="48"/>
        <v>0</v>
      </c>
      <c r="AB924" s="7">
        <f t="shared" si="49"/>
        <v>0</v>
      </c>
      <c r="AC924" s="7">
        <f t="shared" si="50"/>
        <v>0</v>
      </c>
      <c r="AD924" s="7">
        <f t="shared" si="51"/>
        <v>0</v>
      </c>
      <c r="AE924" s="8" cm="1">
        <f t="array" ref="AE924">IFERROR(_xlfn.XLOOKUP(H924,Sheet1!$G:$G,Sheet1!$F:$F),IFERROR(_xlfn.XLOOKUP(1,(--($X$2:$X$1074=X924))*(--ISNUMBER(MATCH($H$2:$H$1074,Sheet1!$G:$G,0))),_xlfn.XLOOKUP($H$2:$H$1074,Sheet1!$G:$G,Sheet1!$F:$F,"")),"NOT FOUND"))</f>
        <v>0</v>
      </c>
      <c r="AF924" s="9" t="str">
        <f t="shared" si="56"/>
        <v/>
      </c>
      <c r="AG924" s="10" t="str">
        <f t="shared" si="57"/>
        <v/>
      </c>
      <c r="AH924" s="8" t="str" cm="1">
        <f t="array" ref="AH924">IF(OR(J924="",AE924="",AE924="NOT FOUND"),"",IF(Y924="RP",_xlfn.LET(_xlpm.desc,_xlfn.XLOOKUP(1,(--(Sheet1!$F$2:$F$754=AE924))*(--ISNUMBER(FIND("-",Sheet1!$W$2:$W$754,FIND("-",Sheet1!$W$2:$W$754)+1))),Sheet1!$W$2:$W$754,""),IF(_xlpm.desc="","NOT FOUND",LEFT(_xlpm.desc,FIND("-",_xlpm.desc,FIND("-",_xlpm.desc)+1))&amp;AE924)),LEFT(J924,FIND("-",J924,FIND("-",J924)+1))&amp;AE924))</f>
        <v/>
      </c>
    </row>
    <row r="925" spans="1:34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X925" s="6" t="e">
        <f t="shared" si="45"/>
        <v>#VALUE!</v>
      </c>
      <c r="Y925" s="7" t="str">
        <f t="shared" si="46"/>
        <v>DC</v>
      </c>
      <c r="Z925" s="7">
        <f t="shared" si="47"/>
        <v>0</v>
      </c>
      <c r="AA925" s="7">
        <f t="shared" si="48"/>
        <v>0</v>
      </c>
      <c r="AB925" s="7">
        <f t="shared" si="49"/>
        <v>0</v>
      </c>
      <c r="AC925" s="7">
        <f t="shared" si="50"/>
        <v>0</v>
      </c>
      <c r="AD925" s="7">
        <f t="shared" si="51"/>
        <v>0</v>
      </c>
      <c r="AE925" s="8" cm="1">
        <f t="array" ref="AE925">IFERROR(_xlfn.XLOOKUP(H925,Sheet1!$G:$G,Sheet1!$F:$F),IFERROR(_xlfn.XLOOKUP(1,(--($X$2:$X$1074=X925))*(--ISNUMBER(MATCH($H$2:$H$1074,Sheet1!$G:$G,0))),_xlfn.XLOOKUP($H$2:$H$1074,Sheet1!$G:$G,Sheet1!$F:$F,"")),"NOT FOUND"))</f>
        <v>0</v>
      </c>
      <c r="AF925" s="9" t="str">
        <f t="shared" si="56"/>
        <v/>
      </c>
      <c r="AG925" s="10" t="str">
        <f t="shared" si="57"/>
        <v/>
      </c>
      <c r="AH925" s="8" t="str" cm="1">
        <f t="array" ref="AH925">IF(OR(J925="",AE925="",AE925="NOT FOUND"),"",IF(Y925="RP",_xlfn.LET(_xlpm.desc,_xlfn.XLOOKUP(1,(--(Sheet1!$F$2:$F$754=AE925))*(--ISNUMBER(FIND("-",Sheet1!$W$2:$W$754,FIND("-",Sheet1!$W$2:$W$754)+1))),Sheet1!$W$2:$W$754,""),IF(_xlpm.desc="","NOT FOUND",LEFT(_xlpm.desc,FIND("-",_xlpm.desc,FIND("-",_xlpm.desc)+1))&amp;AE925)),LEFT(J925,FIND("-",J925,FIND("-",J925)+1))&amp;AE925))</f>
        <v/>
      </c>
    </row>
    <row r="926" spans="1:34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X926" s="6" t="e">
        <f t="shared" si="45"/>
        <v>#VALUE!</v>
      </c>
      <c r="Y926" s="7" t="str">
        <f t="shared" si="46"/>
        <v>DC</v>
      </c>
      <c r="Z926" s="7">
        <f t="shared" si="47"/>
        <v>0</v>
      </c>
      <c r="AA926" s="7">
        <f t="shared" si="48"/>
        <v>0</v>
      </c>
      <c r="AB926" s="7">
        <f t="shared" si="49"/>
        <v>0</v>
      </c>
      <c r="AC926" s="7">
        <f t="shared" si="50"/>
        <v>0</v>
      </c>
      <c r="AD926" s="7">
        <f t="shared" si="51"/>
        <v>0</v>
      </c>
      <c r="AE926" s="8" cm="1">
        <f t="array" ref="AE926">IFERROR(_xlfn.XLOOKUP(H926,Sheet1!$G:$G,Sheet1!$F:$F),IFERROR(_xlfn.XLOOKUP(1,(--($X$2:$X$1074=X926))*(--ISNUMBER(MATCH($H$2:$H$1074,Sheet1!$G:$G,0))),_xlfn.XLOOKUP($H$2:$H$1074,Sheet1!$G:$G,Sheet1!$F:$F,"")),"NOT FOUND"))</f>
        <v>0</v>
      </c>
      <c r="AF926" s="9" t="str">
        <f t="shared" si="56"/>
        <v/>
      </c>
      <c r="AG926" s="10" t="str">
        <f t="shared" si="57"/>
        <v/>
      </c>
      <c r="AH926" s="8" t="str" cm="1">
        <f t="array" ref="AH926">IF(OR(J926="",AE926="",AE926="NOT FOUND"),"",IF(Y926="RP",_xlfn.LET(_xlpm.desc,_xlfn.XLOOKUP(1,(--(Sheet1!$F$2:$F$754=AE926))*(--ISNUMBER(FIND("-",Sheet1!$W$2:$W$754,FIND("-",Sheet1!$W$2:$W$754)+1))),Sheet1!$W$2:$W$754,""),IF(_xlpm.desc="","NOT FOUND",LEFT(_xlpm.desc,FIND("-",_xlpm.desc,FIND("-",_xlpm.desc)+1))&amp;AE926)),LEFT(J926,FIND("-",J926,FIND("-",J926)+1))&amp;AE926))</f>
        <v/>
      </c>
    </row>
    <row r="927" spans="1:34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X927" s="6" t="e">
        <f t="shared" si="45"/>
        <v>#VALUE!</v>
      </c>
      <c r="Y927" s="7" t="str">
        <f t="shared" si="46"/>
        <v>DC</v>
      </c>
      <c r="Z927" s="7">
        <f t="shared" si="47"/>
        <v>0</v>
      </c>
      <c r="AA927" s="7">
        <f t="shared" si="48"/>
        <v>0</v>
      </c>
      <c r="AB927" s="7">
        <f t="shared" si="49"/>
        <v>0</v>
      </c>
      <c r="AC927" s="7">
        <f t="shared" si="50"/>
        <v>0</v>
      </c>
      <c r="AD927" s="7">
        <f t="shared" si="51"/>
        <v>0</v>
      </c>
      <c r="AE927" s="8" cm="1">
        <f t="array" ref="AE927">IFERROR(_xlfn.XLOOKUP(H927,Sheet1!$G:$G,Sheet1!$F:$F),IFERROR(_xlfn.XLOOKUP(1,(--($X$2:$X$1074=X927))*(--ISNUMBER(MATCH($H$2:$H$1074,Sheet1!$G:$G,0))),_xlfn.XLOOKUP($H$2:$H$1074,Sheet1!$G:$G,Sheet1!$F:$F,"")),"NOT FOUND"))</f>
        <v>0</v>
      </c>
      <c r="AF927" s="9" t="str">
        <f t="shared" si="56"/>
        <v/>
      </c>
      <c r="AG927" s="10" t="str">
        <f t="shared" si="57"/>
        <v/>
      </c>
      <c r="AH927" s="8" t="str" cm="1">
        <f t="array" ref="AH927">IF(OR(J927="",AE927="",AE927="NOT FOUND"),"",IF(Y927="RP",_xlfn.LET(_xlpm.desc,_xlfn.XLOOKUP(1,(--(Sheet1!$F$2:$F$754=AE927))*(--ISNUMBER(FIND("-",Sheet1!$W$2:$W$754,FIND("-",Sheet1!$W$2:$W$754)+1))),Sheet1!$W$2:$W$754,""),IF(_xlpm.desc="","NOT FOUND",LEFT(_xlpm.desc,FIND("-",_xlpm.desc,FIND("-",_xlpm.desc)+1))&amp;AE927)),LEFT(J927,FIND("-",J927,FIND("-",J927)+1))&amp;AE927))</f>
        <v/>
      </c>
    </row>
    <row r="928" spans="1:34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X928" s="6" t="e">
        <f t="shared" si="45"/>
        <v>#VALUE!</v>
      </c>
      <c r="Y928" s="7" t="str">
        <f t="shared" si="46"/>
        <v>DC</v>
      </c>
      <c r="Z928" s="7">
        <f t="shared" si="47"/>
        <v>0</v>
      </c>
      <c r="AA928" s="7">
        <f t="shared" si="48"/>
        <v>0</v>
      </c>
      <c r="AB928" s="7">
        <f t="shared" si="49"/>
        <v>0</v>
      </c>
      <c r="AC928" s="7">
        <f t="shared" si="50"/>
        <v>0</v>
      </c>
      <c r="AD928" s="7">
        <f t="shared" si="51"/>
        <v>0</v>
      </c>
      <c r="AE928" s="8" cm="1">
        <f t="array" ref="AE928">IFERROR(_xlfn.XLOOKUP(H928,Sheet1!$G:$G,Sheet1!$F:$F),IFERROR(_xlfn.XLOOKUP(1,(--($X$2:$X$1074=X928))*(--ISNUMBER(MATCH($H$2:$H$1074,Sheet1!$G:$G,0))),_xlfn.XLOOKUP($H$2:$H$1074,Sheet1!$G:$G,Sheet1!$F:$F,"")),"NOT FOUND"))</f>
        <v>0</v>
      </c>
      <c r="AF928" s="9" t="str">
        <f t="shared" si="56"/>
        <v/>
      </c>
      <c r="AG928" s="10" t="str">
        <f t="shared" si="57"/>
        <v/>
      </c>
      <c r="AH928" s="8" t="str" cm="1">
        <f t="array" ref="AH928">IF(OR(J928="",AE928="",AE928="NOT FOUND"),"",IF(Y928="RP",_xlfn.LET(_xlpm.desc,_xlfn.XLOOKUP(1,(--(Sheet1!$F$2:$F$754=AE928))*(--ISNUMBER(FIND("-",Sheet1!$W$2:$W$754,FIND("-",Sheet1!$W$2:$W$754)+1))),Sheet1!$W$2:$W$754,""),IF(_xlpm.desc="","NOT FOUND",LEFT(_xlpm.desc,FIND("-",_xlpm.desc,FIND("-",_xlpm.desc)+1))&amp;AE928)),LEFT(J928,FIND("-",J928,FIND("-",J928)+1))&amp;AE928))</f>
        <v/>
      </c>
    </row>
    <row r="929" spans="1:34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X929" s="6" t="e">
        <f t="shared" si="45"/>
        <v>#VALUE!</v>
      </c>
      <c r="Y929" s="7" t="str">
        <f t="shared" si="46"/>
        <v>DC</v>
      </c>
      <c r="Z929" s="7">
        <f t="shared" si="47"/>
        <v>0</v>
      </c>
      <c r="AA929" s="7">
        <f t="shared" si="48"/>
        <v>0</v>
      </c>
      <c r="AB929" s="7">
        <f t="shared" si="49"/>
        <v>0</v>
      </c>
      <c r="AC929" s="7">
        <f t="shared" si="50"/>
        <v>0</v>
      </c>
      <c r="AD929" s="7">
        <f t="shared" si="51"/>
        <v>0</v>
      </c>
      <c r="AE929" s="8" cm="1">
        <f t="array" ref="AE929">IFERROR(_xlfn.XLOOKUP(H929,Sheet1!$G:$G,Sheet1!$F:$F),IFERROR(_xlfn.XLOOKUP(1,(--($X$2:$X$1074=X929))*(--ISNUMBER(MATCH($H$2:$H$1074,Sheet1!$G:$G,0))),_xlfn.XLOOKUP($H$2:$H$1074,Sheet1!$G:$G,Sheet1!$F:$F,"")),"NOT FOUND"))</f>
        <v>0</v>
      </c>
      <c r="AF929" s="9" t="str">
        <f t="shared" si="56"/>
        <v/>
      </c>
      <c r="AG929" s="10" t="str">
        <f t="shared" si="57"/>
        <v/>
      </c>
      <c r="AH929" s="8" t="str" cm="1">
        <f t="array" ref="AH929">IF(OR(J929="",AE929="",AE929="NOT FOUND"),"",IF(Y929="RP",_xlfn.LET(_xlpm.desc,_xlfn.XLOOKUP(1,(--(Sheet1!$F$2:$F$754=AE929))*(--ISNUMBER(FIND("-",Sheet1!$W$2:$W$754,FIND("-",Sheet1!$W$2:$W$754)+1))),Sheet1!$W$2:$W$754,""),IF(_xlpm.desc="","NOT FOUND",LEFT(_xlpm.desc,FIND("-",_xlpm.desc,FIND("-",_xlpm.desc)+1))&amp;AE929)),LEFT(J929,FIND("-",J929,FIND("-",J929)+1))&amp;AE929))</f>
        <v/>
      </c>
    </row>
    <row r="930" spans="1:34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X930" s="6" t="e">
        <f t="shared" si="45"/>
        <v>#VALUE!</v>
      </c>
      <c r="Y930" s="7" t="str">
        <f t="shared" si="46"/>
        <v>DC</v>
      </c>
      <c r="Z930" s="7">
        <f t="shared" si="47"/>
        <v>0</v>
      </c>
      <c r="AA930" s="7">
        <f t="shared" si="48"/>
        <v>0</v>
      </c>
      <c r="AB930" s="7">
        <f t="shared" si="49"/>
        <v>0</v>
      </c>
      <c r="AC930" s="7">
        <f t="shared" si="50"/>
        <v>0</v>
      </c>
      <c r="AD930" s="7">
        <f t="shared" si="51"/>
        <v>0</v>
      </c>
      <c r="AE930" s="8" cm="1">
        <f t="array" ref="AE930">IFERROR(_xlfn.XLOOKUP(H930,Sheet1!$G:$G,Sheet1!$F:$F),IFERROR(_xlfn.XLOOKUP(1,(--($X$2:$X$1074=X930))*(--ISNUMBER(MATCH($H$2:$H$1074,Sheet1!$G:$G,0))),_xlfn.XLOOKUP($H$2:$H$1074,Sheet1!$G:$G,Sheet1!$F:$F,"")),"NOT FOUND"))</f>
        <v>0</v>
      </c>
      <c r="AF930" s="9" t="str">
        <f t="shared" si="56"/>
        <v/>
      </c>
      <c r="AG930" s="10" t="str">
        <f t="shared" si="57"/>
        <v/>
      </c>
      <c r="AH930" s="8" t="str" cm="1">
        <f t="array" ref="AH930">IF(OR(J930="",AE930="",AE930="NOT FOUND"),"",IF(Y930="RP",_xlfn.LET(_xlpm.desc,_xlfn.XLOOKUP(1,(--(Sheet1!$F$2:$F$754=AE930))*(--ISNUMBER(FIND("-",Sheet1!$W$2:$W$754,FIND("-",Sheet1!$W$2:$W$754)+1))),Sheet1!$W$2:$W$754,""),IF(_xlpm.desc="","NOT FOUND",LEFT(_xlpm.desc,FIND("-",_xlpm.desc,FIND("-",_xlpm.desc)+1))&amp;AE930)),LEFT(J930,FIND("-",J930,FIND("-",J930)+1))&amp;AE930))</f>
        <v/>
      </c>
    </row>
    <row r="931" spans="1:34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X931" s="6" t="e">
        <f t="shared" si="45"/>
        <v>#VALUE!</v>
      </c>
      <c r="Y931" s="7" t="str">
        <f t="shared" si="46"/>
        <v>DC</v>
      </c>
      <c r="Z931" s="7">
        <f t="shared" si="47"/>
        <v>0</v>
      </c>
      <c r="AA931" s="7">
        <f t="shared" si="48"/>
        <v>0</v>
      </c>
      <c r="AB931" s="7">
        <f t="shared" si="49"/>
        <v>0</v>
      </c>
      <c r="AC931" s="7">
        <f t="shared" si="50"/>
        <v>0</v>
      </c>
      <c r="AD931" s="7">
        <f t="shared" si="51"/>
        <v>0</v>
      </c>
      <c r="AE931" s="8" cm="1">
        <f t="array" ref="AE931">IFERROR(_xlfn.XLOOKUP(H931,Sheet1!$G:$G,Sheet1!$F:$F),IFERROR(_xlfn.XLOOKUP(1,(--($X$2:$X$1074=X931))*(--ISNUMBER(MATCH($H$2:$H$1074,Sheet1!$G:$G,0))),_xlfn.XLOOKUP($H$2:$H$1074,Sheet1!$G:$G,Sheet1!$F:$F,"")),"NOT FOUND"))</f>
        <v>0</v>
      </c>
      <c r="AF931" s="9" t="str">
        <f t="shared" si="56"/>
        <v/>
      </c>
      <c r="AG931" s="10" t="str">
        <f t="shared" si="57"/>
        <v/>
      </c>
      <c r="AH931" s="8" t="str" cm="1">
        <f t="array" ref="AH931">IF(OR(J931="",AE931="",AE931="NOT FOUND"),"",IF(Y931="RP",_xlfn.LET(_xlpm.desc,_xlfn.XLOOKUP(1,(--(Sheet1!$F$2:$F$754=AE931))*(--ISNUMBER(FIND("-",Sheet1!$W$2:$W$754,FIND("-",Sheet1!$W$2:$W$754)+1))),Sheet1!$W$2:$W$754,""),IF(_xlpm.desc="","NOT FOUND",LEFT(_xlpm.desc,FIND("-",_xlpm.desc,FIND("-",_xlpm.desc)+1))&amp;AE931)),LEFT(J931,FIND("-",J931,FIND("-",J931)+1))&amp;AE931))</f>
        <v/>
      </c>
    </row>
    <row r="932" spans="1:34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X932" s="6" t="e">
        <f t="shared" si="45"/>
        <v>#VALUE!</v>
      </c>
      <c r="Y932" s="7" t="str">
        <f t="shared" si="46"/>
        <v>DC</v>
      </c>
      <c r="Z932" s="7">
        <f t="shared" si="47"/>
        <v>0</v>
      </c>
      <c r="AA932" s="7">
        <f t="shared" si="48"/>
        <v>0</v>
      </c>
      <c r="AB932" s="7">
        <f t="shared" si="49"/>
        <v>0</v>
      </c>
      <c r="AC932" s="7">
        <f t="shared" si="50"/>
        <v>0</v>
      </c>
      <c r="AD932" s="7">
        <f t="shared" si="51"/>
        <v>0</v>
      </c>
      <c r="AE932" s="8" cm="1">
        <f t="array" ref="AE932">IFERROR(_xlfn.XLOOKUP(H932,Sheet1!$G:$G,Sheet1!$F:$F),IFERROR(_xlfn.XLOOKUP(1,(--($X$2:$X$1074=X932))*(--ISNUMBER(MATCH($H$2:$H$1074,Sheet1!$G:$G,0))),_xlfn.XLOOKUP($H$2:$H$1074,Sheet1!$G:$G,Sheet1!$F:$F,"")),"NOT FOUND"))</f>
        <v>0</v>
      </c>
      <c r="AF932" s="9" t="str">
        <f t="shared" si="56"/>
        <v/>
      </c>
      <c r="AG932" s="10" t="str">
        <f t="shared" si="57"/>
        <v/>
      </c>
      <c r="AH932" s="8" t="str" cm="1">
        <f t="array" ref="AH932">IF(OR(J932="",AE932="",AE932="NOT FOUND"),"",IF(Y932="RP",_xlfn.LET(_xlpm.desc,_xlfn.XLOOKUP(1,(--(Sheet1!$F$2:$F$754=AE932))*(--ISNUMBER(FIND("-",Sheet1!$W$2:$W$754,FIND("-",Sheet1!$W$2:$W$754)+1))),Sheet1!$W$2:$W$754,""),IF(_xlpm.desc="","NOT FOUND",LEFT(_xlpm.desc,FIND("-",_xlpm.desc,FIND("-",_xlpm.desc)+1))&amp;AE932)),LEFT(J932,FIND("-",J932,FIND("-",J932)+1))&amp;AE932))</f>
        <v/>
      </c>
    </row>
    <row r="933" spans="1:34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X933" s="6" t="e">
        <f t="shared" si="45"/>
        <v>#VALUE!</v>
      </c>
      <c r="Y933" s="7" t="str">
        <f t="shared" si="46"/>
        <v>DC</v>
      </c>
      <c r="Z933" s="7">
        <f t="shared" si="47"/>
        <v>0</v>
      </c>
      <c r="AA933" s="7">
        <f t="shared" si="48"/>
        <v>0</v>
      </c>
      <c r="AB933" s="7">
        <f t="shared" si="49"/>
        <v>0</v>
      </c>
      <c r="AC933" s="7">
        <f t="shared" si="50"/>
        <v>0</v>
      </c>
      <c r="AD933" s="7">
        <f t="shared" si="51"/>
        <v>0</v>
      </c>
      <c r="AE933" s="8" cm="1">
        <f t="array" ref="AE933">IFERROR(_xlfn.XLOOKUP(H933,Sheet1!$G:$G,Sheet1!$F:$F),IFERROR(_xlfn.XLOOKUP(1,(--($X$2:$X$1074=X933))*(--ISNUMBER(MATCH($H$2:$H$1074,Sheet1!$G:$G,0))),_xlfn.XLOOKUP($H$2:$H$1074,Sheet1!$G:$G,Sheet1!$F:$F,"")),"NOT FOUND"))</f>
        <v>0</v>
      </c>
      <c r="AF933" s="9" t="str">
        <f t="shared" si="56"/>
        <v/>
      </c>
      <c r="AG933" s="10" t="str">
        <f t="shared" si="57"/>
        <v/>
      </c>
      <c r="AH933" s="8" t="str" cm="1">
        <f t="array" ref="AH933">IF(OR(J933="",AE933="",AE933="NOT FOUND"),"",IF(Y933="RP",_xlfn.LET(_xlpm.desc,_xlfn.XLOOKUP(1,(--(Sheet1!$F$2:$F$754=AE933))*(--ISNUMBER(FIND("-",Sheet1!$W$2:$W$754,FIND("-",Sheet1!$W$2:$W$754)+1))),Sheet1!$W$2:$W$754,""),IF(_xlpm.desc="","NOT FOUND",LEFT(_xlpm.desc,FIND("-",_xlpm.desc,FIND("-",_xlpm.desc)+1))&amp;AE933)),LEFT(J933,FIND("-",J933,FIND("-",J933)+1))&amp;AE933))</f>
        <v/>
      </c>
    </row>
    <row r="934" spans="1:34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X934" s="6" t="e">
        <f t="shared" si="45"/>
        <v>#VALUE!</v>
      </c>
      <c r="Y934" s="7" t="str">
        <f t="shared" si="46"/>
        <v>DC</v>
      </c>
      <c r="Z934" s="7">
        <f t="shared" si="47"/>
        <v>0</v>
      </c>
      <c r="AA934" s="7">
        <f t="shared" si="48"/>
        <v>0</v>
      </c>
      <c r="AB934" s="7">
        <f t="shared" si="49"/>
        <v>0</v>
      </c>
      <c r="AC934" s="7">
        <f t="shared" si="50"/>
        <v>0</v>
      </c>
      <c r="AD934" s="7">
        <f t="shared" si="51"/>
        <v>0</v>
      </c>
      <c r="AE934" s="8" cm="1">
        <f t="array" ref="AE934">IFERROR(_xlfn.XLOOKUP(H934,Sheet1!$G:$G,Sheet1!$F:$F),IFERROR(_xlfn.XLOOKUP(1,(--($X$2:$X$1074=X934))*(--ISNUMBER(MATCH($H$2:$H$1074,Sheet1!$G:$G,0))),_xlfn.XLOOKUP($H$2:$H$1074,Sheet1!$G:$G,Sheet1!$F:$F,"")),"NOT FOUND"))</f>
        <v>0</v>
      </c>
      <c r="AF934" s="9" t="str">
        <f t="shared" si="56"/>
        <v/>
      </c>
      <c r="AG934" s="10" t="str">
        <f t="shared" si="57"/>
        <v/>
      </c>
      <c r="AH934" s="8" t="str" cm="1">
        <f t="array" ref="AH934">IF(OR(J934="",AE934="",AE934="NOT FOUND"),"",IF(Y934="RP",_xlfn.LET(_xlpm.desc,_xlfn.XLOOKUP(1,(--(Sheet1!$F$2:$F$754=AE934))*(--ISNUMBER(FIND("-",Sheet1!$W$2:$W$754,FIND("-",Sheet1!$W$2:$W$754)+1))),Sheet1!$W$2:$W$754,""),IF(_xlpm.desc="","NOT FOUND",LEFT(_xlpm.desc,FIND("-",_xlpm.desc,FIND("-",_xlpm.desc)+1))&amp;AE934)),LEFT(J934,FIND("-",J934,FIND("-",J934)+1))&amp;AE934))</f>
        <v/>
      </c>
    </row>
    <row r="935" spans="1:34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X935" s="6" t="e">
        <f t="shared" si="45"/>
        <v>#VALUE!</v>
      </c>
      <c r="Y935" s="7" t="str">
        <f t="shared" si="46"/>
        <v>DC</v>
      </c>
      <c r="Z935" s="7">
        <f t="shared" si="47"/>
        <v>0</v>
      </c>
      <c r="AA935" s="7">
        <f t="shared" si="48"/>
        <v>0</v>
      </c>
      <c r="AB935" s="7">
        <f t="shared" si="49"/>
        <v>0</v>
      </c>
      <c r="AC935" s="7">
        <f t="shared" si="50"/>
        <v>0</v>
      </c>
      <c r="AD935" s="7">
        <f t="shared" si="51"/>
        <v>0</v>
      </c>
      <c r="AE935" s="8" cm="1">
        <f t="array" ref="AE935">IFERROR(_xlfn.XLOOKUP(H935,Sheet1!$G:$G,Sheet1!$F:$F),IFERROR(_xlfn.XLOOKUP(1,(--($X$2:$X$1074=X935))*(--ISNUMBER(MATCH($H$2:$H$1074,Sheet1!$G:$G,0))),_xlfn.XLOOKUP($H$2:$H$1074,Sheet1!$G:$G,Sheet1!$F:$F,"")),"NOT FOUND"))</f>
        <v>0</v>
      </c>
      <c r="AF935" s="9" t="str">
        <f t="shared" si="56"/>
        <v/>
      </c>
      <c r="AG935" s="10" t="str">
        <f t="shared" si="57"/>
        <v/>
      </c>
      <c r="AH935" s="8" t="str" cm="1">
        <f t="array" ref="AH935">IF(OR(J935="",AE935="",AE935="NOT FOUND"),"",IF(Y935="RP",_xlfn.LET(_xlpm.desc,_xlfn.XLOOKUP(1,(--(Sheet1!$F$2:$F$754=AE935))*(--ISNUMBER(FIND("-",Sheet1!$W$2:$W$754,FIND("-",Sheet1!$W$2:$W$754)+1))),Sheet1!$W$2:$W$754,""),IF(_xlpm.desc="","NOT FOUND",LEFT(_xlpm.desc,FIND("-",_xlpm.desc,FIND("-",_xlpm.desc)+1))&amp;AE935)),LEFT(J935,FIND("-",J935,FIND("-",J935)+1))&amp;AE935))</f>
        <v/>
      </c>
    </row>
    <row r="936" spans="1:34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X936" s="6" t="e">
        <f t="shared" si="45"/>
        <v>#VALUE!</v>
      </c>
      <c r="Y936" s="7" t="str">
        <f t="shared" si="46"/>
        <v>DC</v>
      </c>
      <c r="Z936" s="7">
        <f t="shared" si="47"/>
        <v>0</v>
      </c>
      <c r="AA936" s="7">
        <f t="shared" si="48"/>
        <v>0</v>
      </c>
      <c r="AB936" s="7">
        <f t="shared" si="49"/>
        <v>0</v>
      </c>
      <c r="AC936" s="7">
        <f t="shared" si="50"/>
        <v>0</v>
      </c>
      <c r="AD936" s="7">
        <f t="shared" si="51"/>
        <v>0</v>
      </c>
      <c r="AE936" s="8" cm="1">
        <f t="array" ref="AE936">IFERROR(_xlfn.XLOOKUP(H936,Sheet1!$G:$G,Sheet1!$F:$F),IFERROR(_xlfn.XLOOKUP(1,(--($X$2:$X$1074=X936))*(--ISNUMBER(MATCH($H$2:$H$1074,Sheet1!$G:$G,0))),_xlfn.XLOOKUP($H$2:$H$1074,Sheet1!$G:$G,Sheet1!$F:$F,"")),"NOT FOUND"))</f>
        <v>0</v>
      </c>
      <c r="AF936" s="9" t="str">
        <f t="shared" si="56"/>
        <v/>
      </c>
      <c r="AG936" s="10" t="str">
        <f t="shared" si="57"/>
        <v/>
      </c>
      <c r="AH936" s="8" t="str" cm="1">
        <f t="array" ref="AH936">IF(OR(J936="",AE936="",AE936="NOT FOUND"),"",IF(Y936="RP",_xlfn.LET(_xlpm.desc,_xlfn.XLOOKUP(1,(--(Sheet1!$F$2:$F$754=AE936))*(--ISNUMBER(FIND("-",Sheet1!$W$2:$W$754,FIND("-",Sheet1!$W$2:$W$754)+1))),Sheet1!$W$2:$W$754,""),IF(_xlpm.desc="","NOT FOUND",LEFT(_xlpm.desc,FIND("-",_xlpm.desc,FIND("-",_xlpm.desc)+1))&amp;AE936)),LEFT(J936,FIND("-",J936,FIND("-",J936)+1))&amp;AE936))</f>
        <v/>
      </c>
    </row>
    <row r="937" spans="1:34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X937" s="6" t="e">
        <f t="shared" si="45"/>
        <v>#VALUE!</v>
      </c>
      <c r="Y937" s="7" t="str">
        <f t="shared" si="46"/>
        <v>DC</v>
      </c>
      <c r="Z937" s="7">
        <f t="shared" si="47"/>
        <v>0</v>
      </c>
      <c r="AA937" s="7">
        <f t="shared" si="48"/>
        <v>0</v>
      </c>
      <c r="AB937" s="7">
        <f t="shared" si="49"/>
        <v>0</v>
      </c>
      <c r="AC937" s="7">
        <f t="shared" si="50"/>
        <v>0</v>
      </c>
      <c r="AD937" s="7">
        <f t="shared" si="51"/>
        <v>0</v>
      </c>
      <c r="AE937" s="8" cm="1">
        <f t="array" ref="AE937">IFERROR(_xlfn.XLOOKUP(H937,Sheet1!$G:$G,Sheet1!$F:$F),IFERROR(_xlfn.XLOOKUP(1,(--($X$2:$X$1074=X937))*(--ISNUMBER(MATCH($H$2:$H$1074,Sheet1!$G:$G,0))),_xlfn.XLOOKUP($H$2:$H$1074,Sheet1!$G:$G,Sheet1!$F:$F,"")),"NOT FOUND"))</f>
        <v>0</v>
      </c>
      <c r="AF937" s="9" t="str">
        <f t="shared" si="56"/>
        <v/>
      </c>
      <c r="AG937" s="10" t="str">
        <f t="shared" si="57"/>
        <v/>
      </c>
      <c r="AH937" s="8" t="str" cm="1">
        <f t="array" ref="AH937">IF(OR(J937="",AE937="",AE937="NOT FOUND"),"",IF(Y937="RP",_xlfn.LET(_xlpm.desc,_xlfn.XLOOKUP(1,(--(Sheet1!$F$2:$F$754=AE937))*(--ISNUMBER(FIND("-",Sheet1!$W$2:$W$754,FIND("-",Sheet1!$W$2:$W$754)+1))),Sheet1!$W$2:$W$754,""),IF(_xlpm.desc="","NOT FOUND",LEFT(_xlpm.desc,FIND("-",_xlpm.desc,FIND("-",_xlpm.desc)+1))&amp;AE937)),LEFT(J937,FIND("-",J937,FIND("-",J937)+1))&amp;AE937))</f>
        <v/>
      </c>
    </row>
    <row r="938" spans="1:34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X938" s="6" t="e">
        <f t="shared" si="45"/>
        <v>#VALUE!</v>
      </c>
      <c r="Y938" s="7" t="str">
        <f t="shared" si="46"/>
        <v>DC</v>
      </c>
      <c r="Z938" s="7">
        <f t="shared" si="47"/>
        <v>0</v>
      </c>
      <c r="AA938" s="7">
        <f t="shared" si="48"/>
        <v>0</v>
      </c>
      <c r="AB938" s="7">
        <f t="shared" si="49"/>
        <v>0</v>
      </c>
      <c r="AC938" s="7">
        <f t="shared" si="50"/>
        <v>0</v>
      </c>
      <c r="AD938" s="7">
        <f t="shared" si="51"/>
        <v>0</v>
      </c>
      <c r="AE938" s="8" cm="1">
        <f t="array" ref="AE938">IFERROR(_xlfn.XLOOKUP(H938,Sheet1!$G:$G,Sheet1!$F:$F),IFERROR(_xlfn.XLOOKUP(1,(--($X$2:$X$1074=X938))*(--ISNUMBER(MATCH($H$2:$H$1074,Sheet1!$G:$G,0))),_xlfn.XLOOKUP($H$2:$H$1074,Sheet1!$G:$G,Sheet1!$F:$F,"")),"NOT FOUND"))</f>
        <v>0</v>
      </c>
      <c r="AF938" s="9" t="str">
        <f t="shared" si="56"/>
        <v/>
      </c>
      <c r="AG938" s="10" t="str">
        <f t="shared" si="57"/>
        <v/>
      </c>
      <c r="AH938" s="8" t="str" cm="1">
        <f t="array" ref="AH938">IF(OR(J938="",AE938="",AE938="NOT FOUND"),"",IF(Y938="RP",_xlfn.LET(_xlpm.desc,_xlfn.XLOOKUP(1,(--(Sheet1!$F$2:$F$754=AE938))*(--ISNUMBER(FIND("-",Sheet1!$W$2:$W$754,FIND("-",Sheet1!$W$2:$W$754)+1))),Sheet1!$W$2:$W$754,""),IF(_xlpm.desc="","NOT FOUND",LEFT(_xlpm.desc,FIND("-",_xlpm.desc,FIND("-",_xlpm.desc)+1))&amp;AE938)),LEFT(J938,FIND("-",J938,FIND("-",J938)+1))&amp;AE938))</f>
        <v/>
      </c>
    </row>
    <row r="939" spans="1:34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X939" s="6" t="e">
        <f t="shared" si="45"/>
        <v>#VALUE!</v>
      </c>
      <c r="Y939" s="7" t="str">
        <f t="shared" si="46"/>
        <v>DC</v>
      </c>
      <c r="Z939" s="7">
        <f t="shared" si="47"/>
        <v>0</v>
      </c>
      <c r="AA939" s="7">
        <f t="shared" si="48"/>
        <v>0</v>
      </c>
      <c r="AB939" s="7">
        <f t="shared" si="49"/>
        <v>0</v>
      </c>
      <c r="AC939" s="7">
        <f t="shared" si="50"/>
        <v>0</v>
      </c>
      <c r="AD939" s="7">
        <f t="shared" si="51"/>
        <v>0</v>
      </c>
      <c r="AE939" s="8" cm="1">
        <f t="array" ref="AE939">IFERROR(_xlfn.XLOOKUP(H939,Sheet1!$G:$G,Sheet1!$F:$F),IFERROR(_xlfn.XLOOKUP(1,(--($X$2:$X$1074=X939))*(--ISNUMBER(MATCH($H$2:$H$1074,Sheet1!$G:$G,0))),_xlfn.XLOOKUP($H$2:$H$1074,Sheet1!$G:$G,Sheet1!$F:$F,"")),"NOT FOUND"))</f>
        <v>0</v>
      </c>
      <c r="AF939" s="9" t="str">
        <f t="shared" si="56"/>
        <v/>
      </c>
      <c r="AG939" s="10" t="str">
        <f t="shared" si="57"/>
        <v/>
      </c>
      <c r="AH939" s="8" t="str" cm="1">
        <f t="array" ref="AH939">IF(OR(J939="",AE939="",AE939="NOT FOUND"),"",IF(Y939="RP",_xlfn.LET(_xlpm.desc,_xlfn.XLOOKUP(1,(--(Sheet1!$F$2:$F$754=AE939))*(--ISNUMBER(FIND("-",Sheet1!$W$2:$W$754,FIND("-",Sheet1!$W$2:$W$754)+1))),Sheet1!$W$2:$W$754,""),IF(_xlpm.desc="","NOT FOUND",LEFT(_xlpm.desc,FIND("-",_xlpm.desc,FIND("-",_xlpm.desc)+1))&amp;AE939)),LEFT(J939,FIND("-",J939,FIND("-",J939)+1))&amp;AE939))</f>
        <v/>
      </c>
    </row>
    <row r="940" spans="1:34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X940" s="6" t="e">
        <f t="shared" si="45"/>
        <v>#VALUE!</v>
      </c>
      <c r="Y940" s="7" t="str">
        <f t="shared" si="46"/>
        <v>DC</v>
      </c>
      <c r="Z940" s="7">
        <f t="shared" si="47"/>
        <v>0</v>
      </c>
      <c r="AA940" s="7">
        <f t="shared" si="48"/>
        <v>0</v>
      </c>
      <c r="AB940" s="7">
        <f t="shared" si="49"/>
        <v>0</v>
      </c>
      <c r="AC940" s="7">
        <f t="shared" si="50"/>
        <v>0</v>
      </c>
      <c r="AD940" s="7">
        <f t="shared" si="51"/>
        <v>0</v>
      </c>
      <c r="AE940" s="8" cm="1">
        <f t="array" ref="AE940">IFERROR(_xlfn.XLOOKUP(H940,Sheet1!$G:$G,Sheet1!$F:$F),IFERROR(_xlfn.XLOOKUP(1,(--($X$2:$X$1074=X940))*(--ISNUMBER(MATCH($H$2:$H$1074,Sheet1!$G:$G,0))),_xlfn.XLOOKUP($H$2:$H$1074,Sheet1!$G:$G,Sheet1!$F:$F,"")),"NOT FOUND"))</f>
        <v>0</v>
      </c>
      <c r="AF940" s="9" t="str">
        <f t="shared" si="56"/>
        <v/>
      </c>
      <c r="AG940" s="10" t="str">
        <f t="shared" si="57"/>
        <v/>
      </c>
      <c r="AH940" s="8" t="str" cm="1">
        <f t="array" ref="AH940">IF(OR(J940="",AE940="",AE940="NOT FOUND"),"",IF(Y940="RP",_xlfn.LET(_xlpm.desc,_xlfn.XLOOKUP(1,(--(Sheet1!$F$2:$F$754=AE940))*(--ISNUMBER(FIND("-",Sheet1!$W$2:$W$754,FIND("-",Sheet1!$W$2:$W$754)+1))),Sheet1!$W$2:$W$754,""),IF(_xlpm.desc="","NOT FOUND",LEFT(_xlpm.desc,FIND("-",_xlpm.desc,FIND("-",_xlpm.desc)+1))&amp;AE940)),LEFT(J940,FIND("-",J940,FIND("-",J940)+1))&amp;AE940))</f>
        <v/>
      </c>
    </row>
    <row r="941" spans="1:34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X941" s="6" t="e">
        <f t="shared" si="45"/>
        <v>#VALUE!</v>
      </c>
      <c r="Y941" s="7" t="str">
        <f t="shared" si="46"/>
        <v>DC</v>
      </c>
      <c r="Z941" s="7">
        <f t="shared" si="47"/>
        <v>0</v>
      </c>
      <c r="AA941" s="7">
        <f t="shared" si="48"/>
        <v>0</v>
      </c>
      <c r="AB941" s="7">
        <f t="shared" si="49"/>
        <v>0</v>
      </c>
      <c r="AC941" s="7">
        <f t="shared" si="50"/>
        <v>0</v>
      </c>
      <c r="AD941" s="7">
        <f t="shared" si="51"/>
        <v>0</v>
      </c>
      <c r="AE941" s="8" cm="1">
        <f t="array" ref="AE941">IFERROR(_xlfn.XLOOKUP(H941,Sheet1!$G:$G,Sheet1!$F:$F),IFERROR(_xlfn.XLOOKUP(1,(--($X$2:$X$1074=X941))*(--ISNUMBER(MATCH($H$2:$H$1074,Sheet1!$G:$G,0))),_xlfn.XLOOKUP($H$2:$H$1074,Sheet1!$G:$G,Sheet1!$F:$F,"")),"NOT FOUND"))</f>
        <v>0</v>
      </c>
      <c r="AF941" s="9" t="str">
        <f t="shared" si="56"/>
        <v/>
      </c>
      <c r="AG941" s="10" t="str">
        <f t="shared" si="57"/>
        <v/>
      </c>
      <c r="AH941" s="8" t="str" cm="1">
        <f t="array" ref="AH941">IF(OR(J941="",AE941="",AE941="NOT FOUND"),"",IF(Y941="RP",_xlfn.LET(_xlpm.desc,_xlfn.XLOOKUP(1,(--(Sheet1!$F$2:$F$754=AE941))*(--ISNUMBER(FIND("-",Sheet1!$W$2:$W$754,FIND("-",Sheet1!$W$2:$W$754)+1))),Sheet1!$W$2:$W$754,""),IF(_xlpm.desc="","NOT FOUND",LEFT(_xlpm.desc,FIND("-",_xlpm.desc,FIND("-",_xlpm.desc)+1))&amp;AE941)),LEFT(J941,FIND("-",J941,FIND("-",J941)+1))&amp;AE941))</f>
        <v/>
      </c>
    </row>
    <row r="942" spans="1:34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X942" s="6" t="e">
        <f t="shared" si="45"/>
        <v>#VALUE!</v>
      </c>
      <c r="Y942" s="7" t="str">
        <f t="shared" si="46"/>
        <v>DC</v>
      </c>
      <c r="Z942" s="7">
        <f t="shared" si="47"/>
        <v>0</v>
      </c>
      <c r="AA942" s="7">
        <f t="shared" si="48"/>
        <v>0</v>
      </c>
      <c r="AB942" s="7">
        <f t="shared" si="49"/>
        <v>0</v>
      </c>
      <c r="AC942" s="7">
        <f t="shared" si="50"/>
        <v>0</v>
      </c>
      <c r="AD942" s="7">
        <f t="shared" si="51"/>
        <v>0</v>
      </c>
      <c r="AE942" s="8" cm="1">
        <f t="array" ref="AE942">IFERROR(_xlfn.XLOOKUP(H942,Sheet1!$G:$G,Sheet1!$F:$F),IFERROR(_xlfn.XLOOKUP(1,(--($X$2:$X$1074=X942))*(--ISNUMBER(MATCH($H$2:$H$1074,Sheet1!$G:$G,0))),_xlfn.XLOOKUP($H$2:$H$1074,Sheet1!$G:$G,Sheet1!$F:$F,"")),"NOT FOUND"))</f>
        <v>0</v>
      </c>
      <c r="AF942" s="9" t="str">
        <f t="shared" si="56"/>
        <v/>
      </c>
      <c r="AG942" s="10" t="str">
        <f t="shared" si="57"/>
        <v/>
      </c>
      <c r="AH942" s="8" t="str" cm="1">
        <f t="array" ref="AH942">IF(OR(J942="",AE942="",AE942="NOT FOUND"),"",IF(Y942="RP",_xlfn.LET(_xlpm.desc,_xlfn.XLOOKUP(1,(--(Sheet1!$F$2:$F$754=AE942))*(--ISNUMBER(FIND("-",Sheet1!$W$2:$W$754,FIND("-",Sheet1!$W$2:$W$754)+1))),Sheet1!$W$2:$W$754,""),IF(_xlpm.desc="","NOT FOUND",LEFT(_xlpm.desc,FIND("-",_xlpm.desc,FIND("-",_xlpm.desc)+1))&amp;AE942)),LEFT(J942,FIND("-",J942,FIND("-",J942)+1))&amp;AE942))</f>
        <v/>
      </c>
    </row>
    <row r="943" spans="1:34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X943" s="6" t="e">
        <f t="shared" si="45"/>
        <v>#VALUE!</v>
      </c>
      <c r="Y943" s="7" t="str">
        <f t="shared" si="46"/>
        <v>DC</v>
      </c>
      <c r="Z943" s="7">
        <f t="shared" si="47"/>
        <v>0</v>
      </c>
      <c r="AA943" s="7">
        <f t="shared" si="48"/>
        <v>0</v>
      </c>
      <c r="AB943" s="7">
        <f t="shared" si="49"/>
        <v>0</v>
      </c>
      <c r="AC943" s="7">
        <f t="shared" si="50"/>
        <v>0</v>
      </c>
      <c r="AD943" s="7">
        <f t="shared" si="51"/>
        <v>0</v>
      </c>
      <c r="AE943" s="8" cm="1">
        <f t="array" ref="AE943">IFERROR(_xlfn.XLOOKUP(H943,Sheet1!$G:$G,Sheet1!$F:$F),IFERROR(_xlfn.XLOOKUP(1,(--($X$2:$X$1074=X943))*(--ISNUMBER(MATCH($H$2:$H$1074,Sheet1!$G:$G,0))),_xlfn.XLOOKUP($H$2:$H$1074,Sheet1!$G:$G,Sheet1!$F:$F,"")),"NOT FOUND"))</f>
        <v>0</v>
      </c>
      <c r="AF943" s="9" t="str">
        <f t="shared" si="56"/>
        <v/>
      </c>
      <c r="AG943" s="10" t="str">
        <f t="shared" si="57"/>
        <v/>
      </c>
      <c r="AH943" s="8" t="str" cm="1">
        <f t="array" ref="AH943">IF(OR(J943="",AE943="",AE943="NOT FOUND"),"",IF(Y943="RP",_xlfn.LET(_xlpm.desc,_xlfn.XLOOKUP(1,(--(Sheet1!$F$2:$F$754=AE943))*(--ISNUMBER(FIND("-",Sheet1!$W$2:$W$754,FIND("-",Sheet1!$W$2:$W$754)+1))),Sheet1!$W$2:$W$754,""),IF(_xlpm.desc="","NOT FOUND",LEFT(_xlpm.desc,FIND("-",_xlpm.desc,FIND("-",_xlpm.desc)+1))&amp;AE943)),LEFT(J943,FIND("-",J943,FIND("-",J943)+1))&amp;AE943))</f>
        <v/>
      </c>
    </row>
    <row r="944" spans="1:34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X944" s="6" t="e">
        <f t="shared" si="45"/>
        <v>#VALUE!</v>
      </c>
      <c r="Y944" s="7" t="str">
        <f t="shared" si="46"/>
        <v>DC</v>
      </c>
      <c r="Z944" s="7">
        <f t="shared" si="47"/>
        <v>0</v>
      </c>
      <c r="AA944" s="7">
        <f t="shared" si="48"/>
        <v>0</v>
      </c>
      <c r="AB944" s="7">
        <f t="shared" si="49"/>
        <v>0</v>
      </c>
      <c r="AC944" s="7">
        <f t="shared" si="50"/>
        <v>0</v>
      </c>
      <c r="AD944" s="7">
        <f t="shared" si="51"/>
        <v>0</v>
      </c>
      <c r="AE944" s="8" cm="1">
        <f t="array" ref="AE944">IFERROR(_xlfn.XLOOKUP(H944,Sheet1!$G:$G,Sheet1!$F:$F),IFERROR(_xlfn.XLOOKUP(1,(--($X$2:$X$1074=X944))*(--ISNUMBER(MATCH($H$2:$H$1074,Sheet1!$G:$G,0))),_xlfn.XLOOKUP($H$2:$H$1074,Sheet1!$G:$G,Sheet1!$F:$F,"")),"NOT FOUND"))</f>
        <v>0</v>
      </c>
      <c r="AF944" s="9" t="str">
        <f t="shared" si="56"/>
        <v/>
      </c>
      <c r="AG944" s="10" t="str">
        <f t="shared" si="57"/>
        <v/>
      </c>
      <c r="AH944" s="8" t="str" cm="1">
        <f t="array" ref="AH944">IF(OR(J944="",AE944="",AE944="NOT FOUND"),"",IF(Y944="RP",_xlfn.LET(_xlpm.desc,_xlfn.XLOOKUP(1,(--(Sheet1!$F$2:$F$754=AE944))*(--ISNUMBER(FIND("-",Sheet1!$W$2:$W$754,FIND("-",Sheet1!$W$2:$W$754)+1))),Sheet1!$W$2:$W$754,""),IF(_xlpm.desc="","NOT FOUND",LEFT(_xlpm.desc,FIND("-",_xlpm.desc,FIND("-",_xlpm.desc)+1))&amp;AE944)),LEFT(J944,FIND("-",J944,FIND("-",J944)+1))&amp;AE944))</f>
        <v/>
      </c>
    </row>
    <row r="945" spans="1:34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X945" s="6" t="e">
        <f t="shared" si="45"/>
        <v>#VALUE!</v>
      </c>
      <c r="Y945" s="7" t="str">
        <f t="shared" si="46"/>
        <v>DC</v>
      </c>
      <c r="Z945" s="7">
        <f t="shared" si="47"/>
        <v>0</v>
      </c>
      <c r="AA945" s="7">
        <f t="shared" si="48"/>
        <v>0</v>
      </c>
      <c r="AB945" s="7">
        <f t="shared" si="49"/>
        <v>0</v>
      </c>
      <c r="AC945" s="7">
        <f t="shared" si="50"/>
        <v>0</v>
      </c>
      <c r="AD945" s="7">
        <f t="shared" si="51"/>
        <v>0</v>
      </c>
      <c r="AE945" s="8" cm="1">
        <f t="array" ref="AE945">IFERROR(_xlfn.XLOOKUP(H945,Sheet1!$G:$G,Sheet1!$F:$F),IFERROR(_xlfn.XLOOKUP(1,(--($X$2:$X$1074=X945))*(--ISNUMBER(MATCH($H$2:$H$1074,Sheet1!$G:$G,0))),_xlfn.XLOOKUP($H$2:$H$1074,Sheet1!$G:$G,Sheet1!$F:$F,"")),"NOT FOUND"))</f>
        <v>0</v>
      </c>
      <c r="AF945" s="9" t="str">
        <f t="shared" si="56"/>
        <v/>
      </c>
      <c r="AG945" s="10" t="str">
        <f t="shared" si="57"/>
        <v/>
      </c>
      <c r="AH945" s="8" t="str" cm="1">
        <f t="array" ref="AH945">IF(OR(J945="",AE945="",AE945="NOT FOUND"),"",IF(Y945="RP",_xlfn.LET(_xlpm.desc,_xlfn.XLOOKUP(1,(--(Sheet1!$F$2:$F$754=AE945))*(--ISNUMBER(FIND("-",Sheet1!$W$2:$W$754,FIND("-",Sheet1!$W$2:$W$754)+1))),Sheet1!$W$2:$W$754,""),IF(_xlpm.desc="","NOT FOUND",LEFT(_xlpm.desc,FIND("-",_xlpm.desc,FIND("-",_xlpm.desc)+1))&amp;AE945)),LEFT(J945,FIND("-",J945,FIND("-",J945)+1))&amp;AE945))</f>
        <v/>
      </c>
    </row>
    <row r="946" spans="1:34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X946" s="6" t="e">
        <f t="shared" si="45"/>
        <v>#VALUE!</v>
      </c>
      <c r="Y946" s="7" t="str">
        <f t="shared" si="46"/>
        <v>DC</v>
      </c>
      <c r="Z946" s="7">
        <f t="shared" si="47"/>
        <v>0</v>
      </c>
      <c r="AA946" s="7">
        <f t="shared" si="48"/>
        <v>0</v>
      </c>
      <c r="AB946" s="7">
        <f t="shared" si="49"/>
        <v>0</v>
      </c>
      <c r="AC946" s="7">
        <f t="shared" si="50"/>
        <v>0</v>
      </c>
      <c r="AD946" s="7">
        <f t="shared" si="51"/>
        <v>0</v>
      </c>
      <c r="AE946" s="8" cm="1">
        <f t="array" ref="AE946">IFERROR(_xlfn.XLOOKUP(H946,Sheet1!$G:$G,Sheet1!$F:$F),IFERROR(_xlfn.XLOOKUP(1,(--($X$2:$X$1074=X946))*(--ISNUMBER(MATCH($H$2:$H$1074,Sheet1!$G:$G,0))),_xlfn.XLOOKUP($H$2:$H$1074,Sheet1!$G:$G,Sheet1!$F:$F,"")),"NOT FOUND"))</f>
        <v>0</v>
      </c>
      <c r="AF946" s="9" t="str">
        <f t="shared" si="56"/>
        <v/>
      </c>
      <c r="AG946" s="10" t="str">
        <f t="shared" si="57"/>
        <v/>
      </c>
      <c r="AH946" s="8" t="str" cm="1">
        <f t="array" ref="AH946">IF(OR(J946="",AE946="",AE946="NOT FOUND"),"",IF(Y946="RP",_xlfn.LET(_xlpm.desc,_xlfn.XLOOKUP(1,(--(Sheet1!$F$2:$F$754=AE946))*(--ISNUMBER(FIND("-",Sheet1!$W$2:$W$754,FIND("-",Sheet1!$W$2:$W$754)+1))),Sheet1!$W$2:$W$754,""),IF(_xlpm.desc="","NOT FOUND",LEFT(_xlpm.desc,FIND("-",_xlpm.desc,FIND("-",_xlpm.desc)+1))&amp;AE946)),LEFT(J946,FIND("-",J946,FIND("-",J946)+1))&amp;AE946))</f>
        <v/>
      </c>
    </row>
    <row r="947" spans="1:34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X947" s="6" t="e">
        <f t="shared" si="45"/>
        <v>#VALUE!</v>
      </c>
      <c r="Y947" s="7" t="str">
        <f t="shared" si="46"/>
        <v>DC</v>
      </c>
      <c r="Z947" s="7">
        <f t="shared" si="47"/>
        <v>0</v>
      </c>
      <c r="AA947" s="7">
        <f t="shared" si="48"/>
        <v>0</v>
      </c>
      <c r="AB947" s="7">
        <f t="shared" si="49"/>
        <v>0</v>
      </c>
      <c r="AC947" s="7">
        <f t="shared" si="50"/>
        <v>0</v>
      </c>
      <c r="AD947" s="7">
        <f t="shared" si="51"/>
        <v>0</v>
      </c>
      <c r="AE947" s="8" cm="1">
        <f t="array" ref="AE947">IFERROR(_xlfn.XLOOKUP(H947,Sheet1!$G:$G,Sheet1!$F:$F),IFERROR(_xlfn.XLOOKUP(1,(--($X$2:$X$1074=X947))*(--ISNUMBER(MATCH($H$2:$H$1074,Sheet1!$G:$G,0))),_xlfn.XLOOKUP($H$2:$H$1074,Sheet1!$G:$G,Sheet1!$F:$F,"")),"NOT FOUND"))</f>
        <v>0</v>
      </c>
      <c r="AF947" s="9" t="str">
        <f t="shared" si="56"/>
        <v/>
      </c>
      <c r="AG947" s="10" t="str">
        <f t="shared" si="57"/>
        <v/>
      </c>
      <c r="AH947" s="8" t="str" cm="1">
        <f t="array" ref="AH947">IF(OR(J947="",AE947="",AE947="NOT FOUND"),"",IF(Y947="RP",_xlfn.LET(_xlpm.desc,_xlfn.XLOOKUP(1,(--(Sheet1!$F$2:$F$754=AE947))*(--ISNUMBER(FIND("-",Sheet1!$W$2:$W$754,FIND("-",Sheet1!$W$2:$W$754)+1))),Sheet1!$W$2:$W$754,""),IF(_xlpm.desc="","NOT FOUND",LEFT(_xlpm.desc,FIND("-",_xlpm.desc,FIND("-",_xlpm.desc)+1))&amp;AE947)),LEFT(J947,FIND("-",J947,FIND("-",J947)+1))&amp;AE947))</f>
        <v/>
      </c>
    </row>
    <row r="948" spans="1:34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X948" s="6" t="e">
        <f t="shared" si="45"/>
        <v>#VALUE!</v>
      </c>
      <c r="Y948" s="7" t="str">
        <f t="shared" si="46"/>
        <v>DC</v>
      </c>
      <c r="Z948" s="7">
        <f t="shared" si="47"/>
        <v>0</v>
      </c>
      <c r="AA948" s="7">
        <f t="shared" si="48"/>
        <v>0</v>
      </c>
      <c r="AB948" s="7">
        <f t="shared" si="49"/>
        <v>0</v>
      </c>
      <c r="AC948" s="7">
        <f t="shared" si="50"/>
        <v>0</v>
      </c>
      <c r="AD948" s="7">
        <f t="shared" si="51"/>
        <v>0</v>
      </c>
      <c r="AE948" s="8" cm="1">
        <f t="array" ref="AE948">IFERROR(_xlfn.XLOOKUP(H948,Sheet1!$G:$G,Sheet1!$F:$F),IFERROR(_xlfn.XLOOKUP(1,(--($X$2:$X$1074=X948))*(--ISNUMBER(MATCH($H$2:$H$1074,Sheet1!$G:$G,0))),_xlfn.XLOOKUP($H$2:$H$1074,Sheet1!$G:$G,Sheet1!$F:$F,"")),"NOT FOUND"))</f>
        <v>0</v>
      </c>
      <c r="AF948" s="9" t="str">
        <f t="shared" si="56"/>
        <v/>
      </c>
      <c r="AG948" s="10" t="str">
        <f t="shared" si="57"/>
        <v/>
      </c>
      <c r="AH948" s="8" t="str" cm="1">
        <f t="array" ref="AH948">IF(OR(J948="",AE948="",AE948="NOT FOUND"),"",IF(Y948="RP",_xlfn.LET(_xlpm.desc,_xlfn.XLOOKUP(1,(--(Sheet1!$F$2:$F$754=AE948))*(--ISNUMBER(FIND("-",Sheet1!$W$2:$W$754,FIND("-",Sheet1!$W$2:$W$754)+1))),Sheet1!$W$2:$W$754,""),IF(_xlpm.desc="","NOT FOUND",LEFT(_xlpm.desc,FIND("-",_xlpm.desc,FIND("-",_xlpm.desc)+1))&amp;AE948)),LEFT(J948,FIND("-",J948,FIND("-",J948)+1))&amp;AE948))</f>
        <v/>
      </c>
    </row>
    <row r="949" spans="1:34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X949" s="6" t="e">
        <f t="shared" si="45"/>
        <v>#VALUE!</v>
      </c>
      <c r="Y949" s="7" t="str">
        <f t="shared" si="46"/>
        <v>DC</v>
      </c>
      <c r="Z949" s="7">
        <f t="shared" si="47"/>
        <v>0</v>
      </c>
      <c r="AA949" s="7">
        <f t="shared" si="48"/>
        <v>0</v>
      </c>
      <c r="AB949" s="7">
        <f t="shared" si="49"/>
        <v>0</v>
      </c>
      <c r="AC949" s="7">
        <f t="shared" si="50"/>
        <v>0</v>
      </c>
      <c r="AD949" s="7">
        <f t="shared" si="51"/>
        <v>0</v>
      </c>
      <c r="AE949" s="8" cm="1">
        <f t="array" ref="AE949">IFERROR(_xlfn.XLOOKUP(H949,Sheet1!$G:$G,Sheet1!$F:$F),IFERROR(_xlfn.XLOOKUP(1,(--($X$2:$X$1074=X949))*(--ISNUMBER(MATCH($H$2:$H$1074,Sheet1!$G:$G,0))),_xlfn.XLOOKUP($H$2:$H$1074,Sheet1!$G:$G,Sheet1!$F:$F,"")),"NOT FOUND"))</f>
        <v>0</v>
      </c>
      <c r="AF949" s="9" t="str">
        <f t="shared" si="56"/>
        <v/>
      </c>
      <c r="AG949" s="10" t="str">
        <f t="shared" si="57"/>
        <v/>
      </c>
      <c r="AH949" s="8" t="str" cm="1">
        <f t="array" ref="AH949">IF(OR(J949="",AE949="",AE949="NOT FOUND"),"",IF(Y949="RP",_xlfn.LET(_xlpm.desc,_xlfn.XLOOKUP(1,(--(Sheet1!$F$2:$F$754=AE949))*(--ISNUMBER(FIND("-",Sheet1!$W$2:$W$754,FIND("-",Sheet1!$W$2:$W$754)+1))),Sheet1!$W$2:$W$754,""),IF(_xlpm.desc="","NOT FOUND",LEFT(_xlpm.desc,FIND("-",_xlpm.desc,FIND("-",_xlpm.desc)+1))&amp;AE949)),LEFT(J949,FIND("-",J949,FIND("-",J949)+1))&amp;AE949))</f>
        <v/>
      </c>
    </row>
    <row r="950" spans="1:34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X950" s="6" t="e">
        <f t="shared" si="45"/>
        <v>#VALUE!</v>
      </c>
      <c r="Y950" s="7" t="str">
        <f t="shared" si="46"/>
        <v>DC</v>
      </c>
      <c r="Z950" s="7">
        <f t="shared" si="47"/>
        <v>0</v>
      </c>
      <c r="AA950" s="7">
        <f t="shared" si="48"/>
        <v>0</v>
      </c>
      <c r="AB950" s="7">
        <f t="shared" si="49"/>
        <v>0</v>
      </c>
      <c r="AC950" s="7">
        <f t="shared" si="50"/>
        <v>0</v>
      </c>
      <c r="AD950" s="7">
        <f t="shared" si="51"/>
        <v>0</v>
      </c>
      <c r="AE950" s="8" cm="1">
        <f t="array" ref="AE950">IFERROR(_xlfn.XLOOKUP(H950,Sheet1!$G:$G,Sheet1!$F:$F),IFERROR(_xlfn.XLOOKUP(1,(--($X$2:$X$1074=X950))*(--ISNUMBER(MATCH($H$2:$H$1074,Sheet1!$G:$G,0))),_xlfn.XLOOKUP($H$2:$H$1074,Sheet1!$G:$G,Sheet1!$F:$F,"")),"NOT FOUND"))</f>
        <v>0</v>
      </c>
      <c r="AF950" s="9" t="str">
        <f t="shared" si="56"/>
        <v/>
      </c>
      <c r="AG950" s="10" t="str">
        <f t="shared" si="57"/>
        <v/>
      </c>
      <c r="AH950" s="8" t="str" cm="1">
        <f t="array" ref="AH950">IF(OR(J950="",AE950="",AE950="NOT FOUND"),"",IF(Y950="RP",_xlfn.LET(_xlpm.desc,_xlfn.XLOOKUP(1,(--(Sheet1!$F$2:$F$754=AE950))*(--ISNUMBER(FIND("-",Sheet1!$W$2:$W$754,FIND("-",Sheet1!$W$2:$W$754)+1))),Sheet1!$W$2:$W$754,""),IF(_xlpm.desc="","NOT FOUND",LEFT(_xlpm.desc,FIND("-",_xlpm.desc,FIND("-",_xlpm.desc)+1))&amp;AE950)),LEFT(J950,FIND("-",J950,FIND("-",J950)+1))&amp;AE950))</f>
        <v/>
      </c>
    </row>
    <row r="951" spans="1:34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X951" s="6" t="e">
        <f t="shared" si="45"/>
        <v>#VALUE!</v>
      </c>
      <c r="Y951" s="7" t="str">
        <f t="shared" si="46"/>
        <v>DC</v>
      </c>
      <c r="Z951" s="7">
        <f t="shared" si="47"/>
        <v>0</v>
      </c>
      <c r="AA951" s="7">
        <f t="shared" si="48"/>
        <v>0</v>
      </c>
      <c r="AB951" s="7">
        <f t="shared" si="49"/>
        <v>0</v>
      </c>
      <c r="AC951" s="7">
        <f t="shared" si="50"/>
        <v>0</v>
      </c>
      <c r="AD951" s="7">
        <f t="shared" si="51"/>
        <v>0</v>
      </c>
      <c r="AE951" s="8" cm="1">
        <f t="array" ref="AE951">IFERROR(_xlfn.XLOOKUP(H951,Sheet1!$G:$G,Sheet1!$F:$F),IFERROR(_xlfn.XLOOKUP(1,(--($X$2:$X$1074=X951))*(--ISNUMBER(MATCH($H$2:$H$1074,Sheet1!$G:$G,0))),_xlfn.XLOOKUP($H$2:$H$1074,Sheet1!$G:$G,Sheet1!$F:$F,"")),"NOT FOUND"))</f>
        <v>0</v>
      </c>
      <c r="AF951" s="9" t="str">
        <f t="shared" si="56"/>
        <v/>
      </c>
      <c r="AG951" s="10" t="str">
        <f t="shared" si="57"/>
        <v/>
      </c>
      <c r="AH951" s="8" t="str" cm="1">
        <f t="array" ref="AH951">IF(OR(J951="",AE951="",AE951="NOT FOUND"),"",IF(Y951="RP",_xlfn.LET(_xlpm.desc,_xlfn.XLOOKUP(1,(--(Sheet1!$F$2:$F$754=AE951))*(--ISNUMBER(FIND("-",Sheet1!$W$2:$W$754,FIND("-",Sheet1!$W$2:$W$754)+1))),Sheet1!$W$2:$W$754,""),IF(_xlpm.desc="","NOT FOUND",LEFT(_xlpm.desc,FIND("-",_xlpm.desc,FIND("-",_xlpm.desc)+1))&amp;AE951)),LEFT(J951,FIND("-",J951,FIND("-",J951)+1))&amp;AE951))</f>
        <v/>
      </c>
    </row>
    <row r="952" spans="1:34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X952" s="6" t="e">
        <f t="shared" si="45"/>
        <v>#VALUE!</v>
      </c>
      <c r="Y952" s="7" t="str">
        <f t="shared" si="46"/>
        <v>DC</v>
      </c>
      <c r="Z952" s="7">
        <f t="shared" si="47"/>
        <v>0</v>
      </c>
      <c r="AA952" s="7">
        <f t="shared" si="48"/>
        <v>0</v>
      </c>
      <c r="AB952" s="7">
        <f t="shared" si="49"/>
        <v>0</v>
      </c>
      <c r="AC952" s="7">
        <f t="shared" si="50"/>
        <v>0</v>
      </c>
      <c r="AD952" s="7">
        <f t="shared" si="51"/>
        <v>0</v>
      </c>
      <c r="AE952" s="8" cm="1">
        <f t="array" ref="AE952">IFERROR(_xlfn.XLOOKUP(H952,Sheet1!$G:$G,Sheet1!$F:$F),IFERROR(_xlfn.XLOOKUP(1,(--($X$2:$X$1074=X952))*(--ISNUMBER(MATCH($H$2:$H$1074,Sheet1!$G:$G,0))),_xlfn.XLOOKUP($H$2:$H$1074,Sheet1!$G:$G,Sheet1!$F:$F,"")),"NOT FOUND"))</f>
        <v>0</v>
      </c>
      <c r="AF952" s="9" t="str">
        <f t="shared" si="56"/>
        <v/>
      </c>
      <c r="AG952" s="10" t="str">
        <f t="shared" si="57"/>
        <v/>
      </c>
      <c r="AH952" s="8" t="str" cm="1">
        <f t="array" ref="AH952">IF(OR(J952="",AE952="",AE952="NOT FOUND"),"",IF(Y952="RP",_xlfn.LET(_xlpm.desc,_xlfn.XLOOKUP(1,(--(Sheet1!$F$2:$F$754=AE952))*(--ISNUMBER(FIND("-",Sheet1!$W$2:$W$754,FIND("-",Sheet1!$W$2:$W$754)+1))),Sheet1!$W$2:$W$754,""),IF(_xlpm.desc="","NOT FOUND",LEFT(_xlpm.desc,FIND("-",_xlpm.desc,FIND("-",_xlpm.desc)+1))&amp;AE952)),LEFT(J952,FIND("-",J952,FIND("-",J952)+1))&amp;AE952))</f>
        <v/>
      </c>
    </row>
    <row r="953" spans="1:34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X953" s="6" t="e">
        <f t="shared" si="45"/>
        <v>#VALUE!</v>
      </c>
      <c r="Y953" s="7" t="str">
        <f t="shared" si="46"/>
        <v>DC</v>
      </c>
      <c r="Z953" s="7">
        <f t="shared" si="47"/>
        <v>0</v>
      </c>
      <c r="AA953" s="7">
        <f t="shared" si="48"/>
        <v>0</v>
      </c>
      <c r="AB953" s="7">
        <f t="shared" si="49"/>
        <v>0</v>
      </c>
      <c r="AC953" s="7">
        <f t="shared" si="50"/>
        <v>0</v>
      </c>
      <c r="AD953" s="7">
        <f t="shared" si="51"/>
        <v>0</v>
      </c>
      <c r="AE953" s="8" cm="1">
        <f t="array" ref="AE953">IFERROR(_xlfn.XLOOKUP(H953,Sheet1!$G:$G,Sheet1!$F:$F),IFERROR(_xlfn.XLOOKUP(1,(--($X$2:$X$1074=X953))*(--ISNUMBER(MATCH($H$2:$H$1074,Sheet1!$G:$G,0))),_xlfn.XLOOKUP($H$2:$H$1074,Sheet1!$G:$G,Sheet1!$F:$F,"")),"NOT FOUND"))</f>
        <v>0</v>
      </c>
      <c r="AF953" s="9" t="str">
        <f t="shared" si="56"/>
        <v/>
      </c>
      <c r="AG953" s="10" t="str">
        <f t="shared" si="57"/>
        <v/>
      </c>
      <c r="AH953" s="8" t="str" cm="1">
        <f t="array" ref="AH953">IF(OR(J953="",AE953="",AE953="NOT FOUND"),"",IF(Y953="RP",_xlfn.LET(_xlpm.desc,_xlfn.XLOOKUP(1,(--(Sheet1!$F$2:$F$754=AE953))*(--ISNUMBER(FIND("-",Sheet1!$W$2:$W$754,FIND("-",Sheet1!$W$2:$W$754)+1))),Sheet1!$W$2:$W$754,""),IF(_xlpm.desc="","NOT FOUND",LEFT(_xlpm.desc,FIND("-",_xlpm.desc,FIND("-",_xlpm.desc)+1))&amp;AE953)),LEFT(J953,FIND("-",J953,FIND("-",J953)+1))&amp;AE953))</f>
        <v/>
      </c>
    </row>
    <row r="954" spans="1:34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X954" s="6" t="e">
        <f t="shared" si="45"/>
        <v>#VALUE!</v>
      </c>
      <c r="Y954" s="7" t="str">
        <f t="shared" si="46"/>
        <v>DC</v>
      </c>
      <c r="Z954" s="7">
        <f t="shared" si="47"/>
        <v>0</v>
      </c>
      <c r="AA954" s="7">
        <f t="shared" si="48"/>
        <v>0</v>
      </c>
      <c r="AB954" s="7">
        <f t="shared" si="49"/>
        <v>0</v>
      </c>
      <c r="AC954" s="7">
        <f t="shared" si="50"/>
        <v>0</v>
      </c>
      <c r="AD954" s="7">
        <f t="shared" si="51"/>
        <v>0</v>
      </c>
      <c r="AE954" s="8" cm="1">
        <f t="array" ref="AE954">IFERROR(_xlfn.XLOOKUP(H954,Sheet1!$G:$G,Sheet1!$F:$F),IFERROR(_xlfn.XLOOKUP(1,(--($X$2:$X$1074=X954))*(--ISNUMBER(MATCH($H$2:$H$1074,Sheet1!$G:$G,0))),_xlfn.XLOOKUP($H$2:$H$1074,Sheet1!$G:$G,Sheet1!$F:$F,"")),"NOT FOUND"))</f>
        <v>0</v>
      </c>
      <c r="AF954" s="9" t="str">
        <f t="shared" si="56"/>
        <v/>
      </c>
      <c r="AG954" s="10" t="str">
        <f t="shared" si="57"/>
        <v/>
      </c>
      <c r="AH954" s="8" t="str" cm="1">
        <f t="array" ref="AH954">IF(OR(J954="",AE954="",AE954="NOT FOUND"),"",IF(Y954="RP",_xlfn.LET(_xlpm.desc,_xlfn.XLOOKUP(1,(--(Sheet1!$F$2:$F$754=AE954))*(--ISNUMBER(FIND("-",Sheet1!$W$2:$W$754,FIND("-",Sheet1!$W$2:$W$754)+1))),Sheet1!$W$2:$W$754,""),IF(_xlpm.desc="","NOT FOUND",LEFT(_xlpm.desc,FIND("-",_xlpm.desc,FIND("-",_xlpm.desc)+1))&amp;AE954)),LEFT(J954,FIND("-",J954,FIND("-",J954)+1))&amp;AE954))</f>
        <v/>
      </c>
    </row>
    <row r="955" spans="1:34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X955" s="6" t="e">
        <f t="shared" si="45"/>
        <v>#VALUE!</v>
      </c>
      <c r="Y955" s="7" t="str">
        <f t="shared" si="46"/>
        <v>DC</v>
      </c>
      <c r="Z955" s="7">
        <f t="shared" si="47"/>
        <v>0</v>
      </c>
      <c r="AA955" s="7">
        <f t="shared" si="48"/>
        <v>0</v>
      </c>
      <c r="AB955" s="7">
        <f t="shared" si="49"/>
        <v>0</v>
      </c>
      <c r="AC955" s="7">
        <f t="shared" si="50"/>
        <v>0</v>
      </c>
      <c r="AD955" s="7">
        <f t="shared" si="51"/>
        <v>0</v>
      </c>
      <c r="AE955" s="8" cm="1">
        <f t="array" ref="AE955">IFERROR(_xlfn.XLOOKUP(H955,Sheet1!$G:$G,Sheet1!$F:$F),IFERROR(_xlfn.XLOOKUP(1,(--($X$2:$X$1074=X955))*(--ISNUMBER(MATCH($H$2:$H$1074,Sheet1!$G:$G,0))),_xlfn.XLOOKUP($H$2:$H$1074,Sheet1!$G:$G,Sheet1!$F:$F,"")),"NOT FOUND"))</f>
        <v>0</v>
      </c>
      <c r="AF955" s="9" t="str">
        <f t="shared" si="56"/>
        <v/>
      </c>
      <c r="AG955" s="10" t="str">
        <f t="shared" si="57"/>
        <v/>
      </c>
      <c r="AH955" s="8" t="str" cm="1">
        <f t="array" ref="AH955">IF(OR(J955="",AE955="",AE955="NOT FOUND"),"",IF(Y955="RP",_xlfn.LET(_xlpm.desc,_xlfn.XLOOKUP(1,(--(Sheet1!$F$2:$F$754=AE955))*(--ISNUMBER(FIND("-",Sheet1!$W$2:$W$754,FIND("-",Sheet1!$W$2:$W$754)+1))),Sheet1!$W$2:$W$754,""),IF(_xlpm.desc="","NOT FOUND",LEFT(_xlpm.desc,FIND("-",_xlpm.desc,FIND("-",_xlpm.desc)+1))&amp;AE955)),LEFT(J955,FIND("-",J955,FIND("-",J955)+1))&amp;AE955))</f>
        <v/>
      </c>
    </row>
    <row r="956" spans="1:34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X956" s="6" t="e">
        <f t="shared" si="45"/>
        <v>#VALUE!</v>
      </c>
      <c r="Y956" s="7" t="str">
        <f t="shared" si="46"/>
        <v>DC</v>
      </c>
      <c r="Z956" s="7">
        <f t="shared" si="47"/>
        <v>0</v>
      </c>
      <c r="AA956" s="7">
        <f t="shared" si="48"/>
        <v>0</v>
      </c>
      <c r="AB956" s="7">
        <f t="shared" si="49"/>
        <v>0</v>
      </c>
      <c r="AC956" s="7">
        <f t="shared" si="50"/>
        <v>0</v>
      </c>
      <c r="AD956" s="7">
        <f t="shared" si="51"/>
        <v>0</v>
      </c>
      <c r="AE956" s="8" cm="1">
        <f t="array" ref="AE956">IFERROR(_xlfn.XLOOKUP(H956,Sheet1!$G:$G,Sheet1!$F:$F),IFERROR(_xlfn.XLOOKUP(1,(--($X$2:$X$1074=X956))*(--ISNUMBER(MATCH($H$2:$H$1074,Sheet1!$G:$G,0))),_xlfn.XLOOKUP($H$2:$H$1074,Sheet1!$G:$G,Sheet1!$F:$F,"")),"NOT FOUND"))</f>
        <v>0</v>
      </c>
      <c r="AF956" s="9" t="str">
        <f t="shared" si="56"/>
        <v/>
      </c>
      <c r="AG956" s="10" t="str">
        <f t="shared" si="57"/>
        <v/>
      </c>
      <c r="AH956" s="8" t="str" cm="1">
        <f t="array" ref="AH956">IF(OR(J956="",AE956="",AE956="NOT FOUND"),"",IF(Y956="RP",_xlfn.LET(_xlpm.desc,_xlfn.XLOOKUP(1,(--(Sheet1!$F$2:$F$754=AE956))*(--ISNUMBER(FIND("-",Sheet1!$W$2:$W$754,FIND("-",Sheet1!$W$2:$W$754)+1))),Sheet1!$W$2:$W$754,""),IF(_xlpm.desc="","NOT FOUND",LEFT(_xlpm.desc,FIND("-",_xlpm.desc,FIND("-",_xlpm.desc)+1))&amp;AE956)),LEFT(J956,FIND("-",J956,FIND("-",J956)+1))&amp;AE956))</f>
        <v/>
      </c>
    </row>
    <row r="957" spans="1:34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X957" s="6" t="e">
        <f t="shared" si="45"/>
        <v>#VALUE!</v>
      </c>
      <c r="Y957" s="7" t="str">
        <f t="shared" si="46"/>
        <v>DC</v>
      </c>
      <c r="Z957" s="7">
        <f t="shared" si="47"/>
        <v>0</v>
      </c>
      <c r="AA957" s="7">
        <f t="shared" si="48"/>
        <v>0</v>
      </c>
      <c r="AB957" s="7">
        <f t="shared" si="49"/>
        <v>0</v>
      </c>
      <c r="AC957" s="7">
        <f t="shared" si="50"/>
        <v>0</v>
      </c>
      <c r="AD957" s="7">
        <f t="shared" si="51"/>
        <v>0</v>
      </c>
      <c r="AE957" s="8" cm="1">
        <f t="array" ref="AE957">IFERROR(_xlfn.XLOOKUP(H957,Sheet1!$G:$G,Sheet1!$F:$F),IFERROR(_xlfn.XLOOKUP(1,(--($X$2:$X$1074=X957))*(--ISNUMBER(MATCH($H$2:$H$1074,Sheet1!$G:$G,0))),_xlfn.XLOOKUP($H$2:$H$1074,Sheet1!$G:$G,Sheet1!$F:$F,"")),"NOT FOUND"))</f>
        <v>0</v>
      </c>
      <c r="AF957" s="9" t="str">
        <f t="shared" si="56"/>
        <v/>
      </c>
      <c r="AG957" s="10" t="str">
        <f t="shared" si="57"/>
        <v/>
      </c>
      <c r="AH957" s="8" t="str" cm="1">
        <f t="array" ref="AH957">IF(OR(J957="",AE957="",AE957="NOT FOUND"),"",IF(Y957="RP",_xlfn.LET(_xlpm.desc,_xlfn.XLOOKUP(1,(--(Sheet1!$F$2:$F$754=AE957))*(--ISNUMBER(FIND("-",Sheet1!$W$2:$W$754,FIND("-",Sheet1!$W$2:$W$754)+1))),Sheet1!$W$2:$W$754,""),IF(_xlpm.desc="","NOT FOUND",LEFT(_xlpm.desc,FIND("-",_xlpm.desc,FIND("-",_xlpm.desc)+1))&amp;AE957)),LEFT(J957,FIND("-",J957,FIND("-",J957)+1))&amp;AE957))</f>
        <v/>
      </c>
    </row>
    <row r="958" spans="1:34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X958" s="6" t="e">
        <f t="shared" si="45"/>
        <v>#VALUE!</v>
      </c>
      <c r="Y958" s="7" t="str">
        <f t="shared" si="46"/>
        <v>DC</v>
      </c>
      <c r="Z958" s="7">
        <f t="shared" si="47"/>
        <v>0</v>
      </c>
      <c r="AA958" s="7">
        <f t="shared" si="48"/>
        <v>0</v>
      </c>
      <c r="AB958" s="7">
        <f t="shared" si="49"/>
        <v>0</v>
      </c>
      <c r="AC958" s="7">
        <f t="shared" si="50"/>
        <v>0</v>
      </c>
      <c r="AD958" s="7">
        <f t="shared" si="51"/>
        <v>0</v>
      </c>
      <c r="AE958" s="8" cm="1">
        <f t="array" ref="AE958">IFERROR(_xlfn.XLOOKUP(H958,Sheet1!$G:$G,Sheet1!$F:$F),IFERROR(_xlfn.XLOOKUP(1,(--($X$2:$X$1074=X958))*(--ISNUMBER(MATCH($H$2:$H$1074,Sheet1!$G:$G,0))),_xlfn.XLOOKUP($H$2:$H$1074,Sheet1!$G:$G,Sheet1!$F:$F,"")),"NOT FOUND"))</f>
        <v>0</v>
      </c>
      <c r="AF958" s="9" t="str">
        <f t="shared" si="56"/>
        <v/>
      </c>
      <c r="AG958" s="10" t="str">
        <f t="shared" si="57"/>
        <v/>
      </c>
      <c r="AH958" s="8" t="str" cm="1">
        <f t="array" ref="AH958">IF(OR(J958="",AE958="",AE958="NOT FOUND"),"",IF(Y958="RP",_xlfn.LET(_xlpm.desc,_xlfn.XLOOKUP(1,(--(Sheet1!$F$2:$F$754=AE958))*(--ISNUMBER(FIND("-",Sheet1!$W$2:$W$754,FIND("-",Sheet1!$W$2:$W$754)+1))),Sheet1!$W$2:$W$754,""),IF(_xlpm.desc="","NOT FOUND",LEFT(_xlpm.desc,FIND("-",_xlpm.desc,FIND("-",_xlpm.desc)+1))&amp;AE958)),LEFT(J958,FIND("-",J958,FIND("-",J958)+1))&amp;AE958))</f>
        <v/>
      </c>
    </row>
    <row r="959" spans="1:34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X959" s="6" t="e">
        <f t="shared" si="45"/>
        <v>#VALUE!</v>
      </c>
      <c r="Y959" s="7" t="str">
        <f t="shared" si="46"/>
        <v>DC</v>
      </c>
      <c r="Z959" s="7">
        <f t="shared" si="47"/>
        <v>0</v>
      </c>
      <c r="AA959" s="7">
        <f t="shared" si="48"/>
        <v>0</v>
      </c>
      <c r="AB959" s="7">
        <f t="shared" si="49"/>
        <v>0</v>
      </c>
      <c r="AC959" s="7">
        <f t="shared" si="50"/>
        <v>0</v>
      </c>
      <c r="AD959" s="7">
        <f t="shared" si="51"/>
        <v>0</v>
      </c>
      <c r="AE959" s="8" cm="1">
        <f t="array" ref="AE959">IFERROR(_xlfn.XLOOKUP(H959,Sheet1!$G:$G,Sheet1!$F:$F),IFERROR(_xlfn.XLOOKUP(1,(--($X$2:$X$1074=X959))*(--ISNUMBER(MATCH($H$2:$H$1074,Sheet1!$G:$G,0))),_xlfn.XLOOKUP($H$2:$H$1074,Sheet1!$G:$G,Sheet1!$F:$F,"")),"NOT FOUND"))</f>
        <v>0</v>
      </c>
      <c r="AF959" s="9" t="str">
        <f t="shared" si="56"/>
        <v/>
      </c>
      <c r="AG959" s="10" t="str">
        <f t="shared" si="57"/>
        <v/>
      </c>
      <c r="AH959" s="8" t="str" cm="1">
        <f t="array" ref="AH959">IF(OR(J959="",AE959="",AE959="NOT FOUND"),"",IF(Y959="RP",_xlfn.LET(_xlpm.desc,_xlfn.XLOOKUP(1,(--(Sheet1!$F$2:$F$754=AE959))*(--ISNUMBER(FIND("-",Sheet1!$W$2:$W$754,FIND("-",Sheet1!$W$2:$W$754)+1))),Sheet1!$W$2:$W$754,""),IF(_xlpm.desc="","NOT FOUND",LEFT(_xlpm.desc,FIND("-",_xlpm.desc,FIND("-",_xlpm.desc)+1))&amp;AE959)),LEFT(J959,FIND("-",J959,FIND("-",J959)+1))&amp;AE959))</f>
        <v/>
      </c>
    </row>
    <row r="960" spans="1:34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X960" s="6" t="e">
        <f t="shared" si="45"/>
        <v>#VALUE!</v>
      </c>
      <c r="Y960" s="7" t="str">
        <f t="shared" si="46"/>
        <v>DC</v>
      </c>
      <c r="Z960" s="7">
        <f t="shared" si="47"/>
        <v>0</v>
      </c>
      <c r="AA960" s="7">
        <f t="shared" si="48"/>
        <v>0</v>
      </c>
      <c r="AB960" s="7">
        <f t="shared" si="49"/>
        <v>0</v>
      </c>
      <c r="AC960" s="7">
        <f t="shared" si="50"/>
        <v>0</v>
      </c>
      <c r="AD960" s="7">
        <f t="shared" si="51"/>
        <v>0</v>
      </c>
      <c r="AE960" s="8" cm="1">
        <f t="array" ref="AE960">IFERROR(_xlfn.XLOOKUP(H960,Sheet1!$G:$G,Sheet1!$F:$F),IFERROR(_xlfn.XLOOKUP(1,(--($X$2:$X$1074=X960))*(--ISNUMBER(MATCH($H$2:$H$1074,Sheet1!$G:$G,0))),_xlfn.XLOOKUP($H$2:$H$1074,Sheet1!$G:$G,Sheet1!$F:$F,"")),"NOT FOUND"))</f>
        <v>0</v>
      </c>
      <c r="AF960" s="9" t="str">
        <f t="shared" si="56"/>
        <v/>
      </c>
      <c r="AG960" s="10" t="str">
        <f t="shared" si="57"/>
        <v/>
      </c>
      <c r="AH960" s="8" t="str" cm="1">
        <f t="array" ref="AH960">IF(OR(J960="",AE960="",AE960="NOT FOUND"),"",IF(Y960="RP",_xlfn.LET(_xlpm.desc,_xlfn.XLOOKUP(1,(--(Sheet1!$F$2:$F$754=AE960))*(--ISNUMBER(FIND("-",Sheet1!$W$2:$W$754,FIND("-",Sheet1!$W$2:$W$754)+1))),Sheet1!$W$2:$W$754,""),IF(_xlpm.desc="","NOT FOUND",LEFT(_xlpm.desc,FIND("-",_xlpm.desc,FIND("-",_xlpm.desc)+1))&amp;AE960)),LEFT(J960,FIND("-",J960,FIND("-",J960)+1))&amp;AE960))</f>
        <v/>
      </c>
    </row>
    <row r="961" spans="1:34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X961" s="6" t="e">
        <f t="shared" si="45"/>
        <v>#VALUE!</v>
      </c>
      <c r="Y961" s="7" t="str">
        <f t="shared" si="46"/>
        <v>DC</v>
      </c>
      <c r="Z961" s="7">
        <f t="shared" si="47"/>
        <v>0</v>
      </c>
      <c r="AA961" s="7">
        <f t="shared" si="48"/>
        <v>0</v>
      </c>
      <c r="AB961" s="7">
        <f t="shared" si="49"/>
        <v>0</v>
      </c>
      <c r="AC961" s="7">
        <f t="shared" si="50"/>
        <v>0</v>
      </c>
      <c r="AD961" s="7">
        <f t="shared" si="51"/>
        <v>0</v>
      </c>
      <c r="AE961" s="8" cm="1">
        <f t="array" ref="AE961">IFERROR(_xlfn.XLOOKUP(H961,Sheet1!$G:$G,Sheet1!$F:$F),IFERROR(_xlfn.XLOOKUP(1,(--($X$2:$X$1074=X961))*(--ISNUMBER(MATCH($H$2:$H$1074,Sheet1!$G:$G,0))),_xlfn.XLOOKUP($H$2:$H$1074,Sheet1!$G:$G,Sheet1!$F:$F,"")),"NOT FOUND"))</f>
        <v>0</v>
      </c>
      <c r="AF961" s="9" t="str">
        <f t="shared" si="56"/>
        <v/>
      </c>
      <c r="AG961" s="10" t="str">
        <f t="shared" si="57"/>
        <v/>
      </c>
      <c r="AH961" s="8" t="str" cm="1">
        <f t="array" ref="AH961">IF(OR(J961="",AE961="",AE961="NOT FOUND"),"",IF(Y961="RP",_xlfn.LET(_xlpm.desc,_xlfn.XLOOKUP(1,(--(Sheet1!$F$2:$F$754=AE961))*(--ISNUMBER(FIND("-",Sheet1!$W$2:$W$754,FIND("-",Sheet1!$W$2:$W$754)+1))),Sheet1!$W$2:$W$754,""),IF(_xlpm.desc="","NOT FOUND",LEFT(_xlpm.desc,FIND("-",_xlpm.desc,FIND("-",_xlpm.desc)+1))&amp;AE961)),LEFT(J961,FIND("-",J961,FIND("-",J961)+1))&amp;AE961))</f>
        <v/>
      </c>
    </row>
    <row r="962" spans="1:34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X962" s="6" t="e">
        <f t="shared" si="45"/>
        <v>#VALUE!</v>
      </c>
      <c r="Y962" s="7" t="str">
        <f t="shared" si="46"/>
        <v>DC</v>
      </c>
      <c r="Z962" s="7">
        <f t="shared" si="47"/>
        <v>0</v>
      </c>
      <c r="AA962" s="7">
        <f t="shared" si="48"/>
        <v>0</v>
      </c>
      <c r="AB962" s="7">
        <f t="shared" si="49"/>
        <v>0</v>
      </c>
      <c r="AC962" s="7">
        <f t="shared" si="50"/>
        <v>0</v>
      </c>
      <c r="AD962" s="7">
        <f t="shared" si="51"/>
        <v>0</v>
      </c>
      <c r="AE962" s="8" cm="1">
        <f t="array" ref="AE962">IFERROR(_xlfn.XLOOKUP(H962,Sheet1!$G:$G,Sheet1!$F:$F),IFERROR(_xlfn.XLOOKUP(1,(--($X$2:$X$1074=X962))*(--ISNUMBER(MATCH($H$2:$H$1074,Sheet1!$G:$G,0))),_xlfn.XLOOKUP($H$2:$H$1074,Sheet1!$G:$G,Sheet1!$F:$F,"")),"NOT FOUND"))</f>
        <v>0</v>
      </c>
      <c r="AF962" s="9" t="str">
        <f t="shared" si="56"/>
        <v/>
      </c>
      <c r="AG962" s="10" t="str">
        <f t="shared" si="57"/>
        <v/>
      </c>
      <c r="AH962" s="8" t="str" cm="1">
        <f t="array" ref="AH962">IF(OR(J962="",AE962="",AE962="NOT FOUND"),"",IF(Y962="RP",_xlfn.LET(_xlpm.desc,_xlfn.XLOOKUP(1,(--(Sheet1!$F$2:$F$754=AE962))*(--ISNUMBER(FIND("-",Sheet1!$W$2:$W$754,FIND("-",Sheet1!$W$2:$W$754)+1))),Sheet1!$W$2:$W$754,""),IF(_xlpm.desc="","NOT FOUND",LEFT(_xlpm.desc,FIND("-",_xlpm.desc,FIND("-",_xlpm.desc)+1))&amp;AE962)),LEFT(J962,FIND("-",J962,FIND("-",J962)+1))&amp;AE962))</f>
        <v/>
      </c>
    </row>
    <row r="963" spans="1:34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X963" s="6" t="e">
        <f t="shared" si="45"/>
        <v>#VALUE!</v>
      </c>
      <c r="Y963" s="7" t="str">
        <f t="shared" si="46"/>
        <v>DC</v>
      </c>
      <c r="Z963" s="7">
        <f t="shared" si="47"/>
        <v>0</v>
      </c>
      <c r="AA963" s="7">
        <f t="shared" si="48"/>
        <v>0</v>
      </c>
      <c r="AB963" s="7">
        <f t="shared" si="49"/>
        <v>0</v>
      </c>
      <c r="AC963" s="7">
        <f t="shared" si="50"/>
        <v>0</v>
      </c>
      <c r="AD963" s="7">
        <f t="shared" si="51"/>
        <v>0</v>
      </c>
      <c r="AE963" s="8" cm="1">
        <f t="array" ref="AE963">IFERROR(_xlfn.XLOOKUP(H963,Sheet1!$G:$G,Sheet1!$F:$F),IFERROR(_xlfn.XLOOKUP(1,(--($X$2:$X$1074=X963))*(--ISNUMBER(MATCH($H$2:$H$1074,Sheet1!$G:$G,0))),_xlfn.XLOOKUP($H$2:$H$1074,Sheet1!$G:$G,Sheet1!$F:$F,"")),"NOT FOUND"))</f>
        <v>0</v>
      </c>
      <c r="AF963" s="9" t="str">
        <f t="shared" ref="AF963:AF1026" si="58">IFERROR(IF(ISNUMBER(SEARCH("(RP)",J963)),TRIM(SUBSTITUTE(MID(J963,10,LEN(J963)),"(RP)","")),TRIM(MID(J963,FIND(",",J963)+1,FIND(",",J963,FIND(",",J963)+1)-FIND(",",J963)-1))),"")</f>
        <v/>
      </c>
      <c r="AG963" s="10" t="str">
        <f t="shared" ref="AG963:AG1026" si="59">IF(A963="SZAF","Bangalore",IF(A963="SAEX","JHAJJAR",IF(A963="S0EU","HARIPAL","")))</f>
        <v/>
      </c>
      <c r="AH963" s="8" t="str" cm="1">
        <f t="array" ref="AH963">IF(OR(J963="",AE963="",AE963="NOT FOUND"),"",IF(Y963="RP",_xlfn.LET(_xlpm.desc,_xlfn.XLOOKUP(1,(--(Sheet1!$F$2:$F$754=AE963))*(--ISNUMBER(FIND("-",Sheet1!$W$2:$W$754,FIND("-",Sheet1!$W$2:$W$754)+1))),Sheet1!$W$2:$W$754,""),IF(_xlpm.desc="","NOT FOUND",LEFT(_xlpm.desc,FIND("-",_xlpm.desc,FIND("-",_xlpm.desc)+1))&amp;AE963)),LEFT(J963,FIND("-",J963,FIND("-",J963)+1))&amp;AE963))</f>
        <v/>
      </c>
    </row>
    <row r="964" spans="1:34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X964" s="6" t="e">
        <f t="shared" si="45"/>
        <v>#VALUE!</v>
      </c>
      <c r="Y964" s="7" t="str">
        <f t="shared" si="46"/>
        <v>DC</v>
      </c>
      <c r="Z964" s="7">
        <f t="shared" si="47"/>
        <v>0</v>
      </c>
      <c r="AA964" s="7">
        <f t="shared" si="48"/>
        <v>0</v>
      </c>
      <c r="AB964" s="7">
        <f t="shared" si="49"/>
        <v>0</v>
      </c>
      <c r="AC964" s="7">
        <f t="shared" si="50"/>
        <v>0</v>
      </c>
      <c r="AD964" s="7">
        <f t="shared" si="51"/>
        <v>0</v>
      </c>
      <c r="AE964" s="8" cm="1">
        <f t="array" ref="AE964">IFERROR(_xlfn.XLOOKUP(H964,Sheet1!$G:$G,Sheet1!$F:$F),IFERROR(_xlfn.XLOOKUP(1,(--($X$2:$X$1074=X964))*(--ISNUMBER(MATCH($H$2:$H$1074,Sheet1!$G:$G,0))),_xlfn.XLOOKUP($H$2:$H$1074,Sheet1!$G:$G,Sheet1!$F:$F,"")),"NOT FOUND"))</f>
        <v>0</v>
      </c>
      <c r="AF964" s="9" t="str">
        <f t="shared" si="58"/>
        <v/>
      </c>
      <c r="AG964" s="10" t="str">
        <f t="shared" si="59"/>
        <v/>
      </c>
      <c r="AH964" s="8" t="str" cm="1">
        <f t="array" ref="AH964">IF(OR(J964="",AE964="",AE964="NOT FOUND"),"",IF(Y964="RP",_xlfn.LET(_xlpm.desc,_xlfn.XLOOKUP(1,(--(Sheet1!$F$2:$F$754=AE964))*(--ISNUMBER(FIND("-",Sheet1!$W$2:$W$754,FIND("-",Sheet1!$W$2:$W$754)+1))),Sheet1!$W$2:$W$754,""),IF(_xlpm.desc="","NOT FOUND",LEFT(_xlpm.desc,FIND("-",_xlpm.desc,FIND("-",_xlpm.desc)+1))&amp;AE964)),LEFT(J964,FIND("-",J964,FIND("-",J964)+1))&amp;AE964))</f>
        <v/>
      </c>
    </row>
    <row r="965" spans="1:34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X965" s="6" t="e">
        <f t="shared" si="45"/>
        <v>#VALUE!</v>
      </c>
      <c r="Y965" s="7" t="str">
        <f t="shared" si="46"/>
        <v>DC</v>
      </c>
      <c r="Z965" s="7">
        <f t="shared" si="47"/>
        <v>0</v>
      </c>
      <c r="AA965" s="7">
        <f t="shared" si="48"/>
        <v>0</v>
      </c>
      <c r="AB965" s="7">
        <f t="shared" si="49"/>
        <v>0</v>
      </c>
      <c r="AC965" s="7">
        <f t="shared" si="50"/>
        <v>0</v>
      </c>
      <c r="AD965" s="7">
        <f t="shared" si="51"/>
        <v>0</v>
      </c>
      <c r="AE965" s="8" cm="1">
        <f t="array" ref="AE965">IFERROR(_xlfn.XLOOKUP(H965,Sheet1!$G:$G,Sheet1!$F:$F),IFERROR(_xlfn.XLOOKUP(1,(--($X$2:$X$1074=X965))*(--ISNUMBER(MATCH($H$2:$H$1074,Sheet1!$G:$G,0))),_xlfn.XLOOKUP($H$2:$H$1074,Sheet1!$G:$G,Sheet1!$F:$F,"")),"NOT FOUND"))</f>
        <v>0</v>
      </c>
      <c r="AF965" s="9" t="str">
        <f t="shared" si="58"/>
        <v/>
      </c>
      <c r="AG965" s="10" t="str">
        <f t="shared" si="59"/>
        <v/>
      </c>
      <c r="AH965" s="8" t="str" cm="1">
        <f t="array" ref="AH965">IF(OR(J965="",AE965="",AE965="NOT FOUND"),"",IF(Y965="RP",_xlfn.LET(_xlpm.desc,_xlfn.XLOOKUP(1,(--(Sheet1!$F$2:$F$754=AE965))*(--ISNUMBER(FIND("-",Sheet1!$W$2:$W$754,FIND("-",Sheet1!$W$2:$W$754)+1))),Sheet1!$W$2:$W$754,""),IF(_xlpm.desc="","NOT FOUND",LEFT(_xlpm.desc,FIND("-",_xlpm.desc,FIND("-",_xlpm.desc)+1))&amp;AE965)),LEFT(J965,FIND("-",J965,FIND("-",J965)+1))&amp;AE965))</f>
        <v/>
      </c>
    </row>
    <row r="966" spans="1:34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X966" s="6" t="e">
        <f t="shared" si="45"/>
        <v>#VALUE!</v>
      </c>
      <c r="Y966" s="7" t="str">
        <f t="shared" si="46"/>
        <v>DC</v>
      </c>
      <c r="Z966" s="7">
        <f t="shared" si="47"/>
        <v>0</v>
      </c>
      <c r="AA966" s="7">
        <f t="shared" si="48"/>
        <v>0</v>
      </c>
      <c r="AB966" s="7">
        <f t="shared" si="49"/>
        <v>0</v>
      </c>
      <c r="AC966" s="7">
        <f t="shared" si="50"/>
        <v>0</v>
      </c>
      <c r="AD966" s="7">
        <f t="shared" si="51"/>
        <v>0</v>
      </c>
      <c r="AE966" s="8" cm="1">
        <f t="array" ref="AE966">IFERROR(_xlfn.XLOOKUP(H966,Sheet1!$G:$G,Sheet1!$F:$F),IFERROR(_xlfn.XLOOKUP(1,(--($X$2:$X$1074=X966))*(--ISNUMBER(MATCH($H$2:$H$1074,Sheet1!$G:$G,0))),_xlfn.XLOOKUP($H$2:$H$1074,Sheet1!$G:$G,Sheet1!$F:$F,"")),"NOT FOUND"))</f>
        <v>0</v>
      </c>
      <c r="AF966" s="9" t="str">
        <f t="shared" si="58"/>
        <v/>
      </c>
      <c r="AG966" s="10" t="str">
        <f t="shared" si="59"/>
        <v/>
      </c>
      <c r="AH966" s="8" t="str" cm="1">
        <f t="array" ref="AH966">IF(OR(J966="",AE966="",AE966="NOT FOUND"),"",IF(Y966="RP",_xlfn.LET(_xlpm.desc,_xlfn.XLOOKUP(1,(--(Sheet1!$F$2:$F$754=AE966))*(--ISNUMBER(FIND("-",Sheet1!$W$2:$W$754,FIND("-",Sheet1!$W$2:$W$754)+1))),Sheet1!$W$2:$W$754,""),IF(_xlpm.desc="","NOT FOUND",LEFT(_xlpm.desc,FIND("-",_xlpm.desc,FIND("-",_xlpm.desc)+1))&amp;AE966)),LEFT(J966,FIND("-",J966,FIND("-",J966)+1))&amp;AE966))</f>
        <v/>
      </c>
    </row>
    <row r="967" spans="1:34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X967" s="6" t="e">
        <f t="shared" si="45"/>
        <v>#VALUE!</v>
      </c>
      <c r="Y967" s="7" t="str">
        <f t="shared" si="46"/>
        <v>DC</v>
      </c>
      <c r="Z967" s="7">
        <f t="shared" si="47"/>
        <v>0</v>
      </c>
      <c r="AA967" s="7">
        <f t="shared" si="48"/>
        <v>0</v>
      </c>
      <c r="AB967" s="7">
        <f t="shared" si="49"/>
        <v>0</v>
      </c>
      <c r="AC967" s="7">
        <f t="shared" si="50"/>
        <v>0</v>
      </c>
      <c r="AD967" s="7">
        <f t="shared" si="51"/>
        <v>0</v>
      </c>
      <c r="AE967" s="8" cm="1">
        <f t="array" ref="AE967">IFERROR(_xlfn.XLOOKUP(H967,Sheet1!$G:$G,Sheet1!$F:$F),IFERROR(_xlfn.XLOOKUP(1,(--($X$2:$X$1074=X967))*(--ISNUMBER(MATCH($H$2:$H$1074,Sheet1!$G:$G,0))),_xlfn.XLOOKUP($H$2:$H$1074,Sheet1!$G:$G,Sheet1!$F:$F,"")),"NOT FOUND"))</f>
        <v>0</v>
      </c>
      <c r="AF967" s="9" t="str">
        <f t="shared" si="58"/>
        <v/>
      </c>
      <c r="AG967" s="10" t="str">
        <f t="shared" si="59"/>
        <v/>
      </c>
      <c r="AH967" s="8" t="str" cm="1">
        <f t="array" ref="AH967">IF(OR(J967="",AE967="",AE967="NOT FOUND"),"",IF(Y967="RP",_xlfn.LET(_xlpm.desc,_xlfn.XLOOKUP(1,(--(Sheet1!$F$2:$F$754=AE967))*(--ISNUMBER(FIND("-",Sheet1!$W$2:$W$754,FIND("-",Sheet1!$W$2:$W$754)+1))),Sheet1!$W$2:$W$754,""),IF(_xlpm.desc="","NOT FOUND",LEFT(_xlpm.desc,FIND("-",_xlpm.desc,FIND("-",_xlpm.desc)+1))&amp;AE967)),LEFT(J967,FIND("-",J967,FIND("-",J967)+1))&amp;AE967))</f>
        <v/>
      </c>
    </row>
    <row r="968" spans="1:34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X968" s="6" t="e">
        <f t="shared" si="45"/>
        <v>#VALUE!</v>
      </c>
      <c r="Y968" s="7" t="str">
        <f t="shared" si="46"/>
        <v>DC</v>
      </c>
      <c r="Z968" s="7">
        <f t="shared" si="47"/>
        <v>0</v>
      </c>
      <c r="AA968" s="7">
        <f t="shared" si="48"/>
        <v>0</v>
      </c>
      <c r="AB968" s="7">
        <f t="shared" si="49"/>
        <v>0</v>
      </c>
      <c r="AC968" s="7">
        <f t="shared" si="50"/>
        <v>0</v>
      </c>
      <c r="AD968" s="7">
        <f t="shared" si="51"/>
        <v>0</v>
      </c>
      <c r="AE968" s="8" cm="1">
        <f t="array" ref="AE968">IFERROR(_xlfn.XLOOKUP(H968,Sheet1!$G:$G,Sheet1!$F:$F),IFERROR(_xlfn.XLOOKUP(1,(--($X$2:$X$1074=X968))*(--ISNUMBER(MATCH($H$2:$H$1074,Sheet1!$G:$G,0))),_xlfn.XLOOKUP($H$2:$H$1074,Sheet1!$G:$G,Sheet1!$F:$F,"")),"NOT FOUND"))</f>
        <v>0</v>
      </c>
      <c r="AF968" s="9" t="str">
        <f t="shared" si="58"/>
        <v/>
      </c>
      <c r="AG968" s="10" t="str">
        <f t="shared" si="59"/>
        <v/>
      </c>
      <c r="AH968" s="8" t="str" cm="1">
        <f t="array" ref="AH968">IF(OR(J968="",AE968="",AE968="NOT FOUND"),"",IF(Y968="RP",_xlfn.LET(_xlpm.desc,_xlfn.XLOOKUP(1,(--(Sheet1!$F$2:$F$754=AE968))*(--ISNUMBER(FIND("-",Sheet1!$W$2:$W$754,FIND("-",Sheet1!$W$2:$W$754)+1))),Sheet1!$W$2:$W$754,""),IF(_xlpm.desc="","NOT FOUND",LEFT(_xlpm.desc,FIND("-",_xlpm.desc,FIND("-",_xlpm.desc)+1))&amp;AE968)),LEFT(J968,FIND("-",J968,FIND("-",J968)+1))&amp;AE968))</f>
        <v/>
      </c>
    </row>
    <row r="969" spans="1:34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X969" s="6" t="e">
        <f t="shared" si="45"/>
        <v>#VALUE!</v>
      </c>
      <c r="Y969" s="7" t="str">
        <f t="shared" si="46"/>
        <v>DC</v>
      </c>
      <c r="Z969" s="7">
        <f t="shared" si="47"/>
        <v>0</v>
      </c>
      <c r="AA969" s="7">
        <f t="shared" si="48"/>
        <v>0</v>
      </c>
      <c r="AB969" s="7">
        <f t="shared" si="49"/>
        <v>0</v>
      </c>
      <c r="AC969" s="7">
        <f t="shared" si="50"/>
        <v>0</v>
      </c>
      <c r="AD969" s="7">
        <f t="shared" si="51"/>
        <v>0</v>
      </c>
      <c r="AE969" s="8" cm="1">
        <f t="array" ref="AE969">IFERROR(_xlfn.XLOOKUP(H969,Sheet1!$G:$G,Sheet1!$F:$F),IFERROR(_xlfn.XLOOKUP(1,(--($X$2:$X$1074=X969))*(--ISNUMBER(MATCH($H$2:$H$1074,Sheet1!$G:$G,0))),_xlfn.XLOOKUP($H$2:$H$1074,Sheet1!$G:$G,Sheet1!$F:$F,"")),"NOT FOUND"))</f>
        <v>0</v>
      </c>
      <c r="AF969" s="9" t="str">
        <f t="shared" si="58"/>
        <v/>
      </c>
      <c r="AG969" s="10" t="str">
        <f t="shared" si="59"/>
        <v/>
      </c>
      <c r="AH969" s="8" t="str" cm="1">
        <f t="array" ref="AH969">IF(OR(J969="",AE969="",AE969="NOT FOUND"),"",IF(Y969="RP",_xlfn.LET(_xlpm.desc,_xlfn.XLOOKUP(1,(--(Sheet1!$F$2:$F$754=AE969))*(--ISNUMBER(FIND("-",Sheet1!$W$2:$W$754,FIND("-",Sheet1!$W$2:$W$754)+1))),Sheet1!$W$2:$W$754,""),IF(_xlpm.desc="","NOT FOUND",LEFT(_xlpm.desc,FIND("-",_xlpm.desc,FIND("-",_xlpm.desc)+1))&amp;AE969)),LEFT(J969,FIND("-",J969,FIND("-",J969)+1))&amp;AE969))</f>
        <v/>
      </c>
    </row>
    <row r="970" spans="1:34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X970" s="6" t="e">
        <f t="shared" si="45"/>
        <v>#VALUE!</v>
      </c>
      <c r="Y970" s="7" t="str">
        <f t="shared" si="46"/>
        <v>DC</v>
      </c>
      <c r="Z970" s="7">
        <f t="shared" si="47"/>
        <v>0</v>
      </c>
      <c r="AA970" s="7">
        <f t="shared" si="48"/>
        <v>0</v>
      </c>
      <c r="AB970" s="7">
        <f t="shared" si="49"/>
        <v>0</v>
      </c>
      <c r="AC970" s="7">
        <f t="shared" si="50"/>
        <v>0</v>
      </c>
      <c r="AD970" s="7">
        <f t="shared" si="51"/>
        <v>0</v>
      </c>
      <c r="AE970" s="8" cm="1">
        <f t="array" ref="AE970">IFERROR(_xlfn.XLOOKUP(H970,Sheet1!$G:$G,Sheet1!$F:$F),IFERROR(_xlfn.XLOOKUP(1,(--($X$2:$X$1074=X970))*(--ISNUMBER(MATCH($H$2:$H$1074,Sheet1!$G:$G,0))),_xlfn.XLOOKUP($H$2:$H$1074,Sheet1!$G:$G,Sheet1!$F:$F,"")),"NOT FOUND"))</f>
        <v>0</v>
      </c>
      <c r="AF970" s="9" t="str">
        <f t="shared" si="58"/>
        <v/>
      </c>
      <c r="AG970" s="10" t="str">
        <f t="shared" si="59"/>
        <v/>
      </c>
      <c r="AH970" s="8" t="str" cm="1">
        <f t="array" ref="AH970">IF(OR(J970="",AE970="",AE970="NOT FOUND"),"",IF(Y970="RP",_xlfn.LET(_xlpm.desc,_xlfn.XLOOKUP(1,(--(Sheet1!$F$2:$F$754=AE970))*(--ISNUMBER(FIND("-",Sheet1!$W$2:$W$754,FIND("-",Sheet1!$W$2:$W$754)+1))),Sheet1!$W$2:$W$754,""),IF(_xlpm.desc="","NOT FOUND",LEFT(_xlpm.desc,FIND("-",_xlpm.desc,FIND("-",_xlpm.desc)+1))&amp;AE970)),LEFT(J970,FIND("-",J970,FIND("-",J970)+1))&amp;AE970))</f>
        <v/>
      </c>
    </row>
    <row r="971" spans="1:34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X971" s="6" t="e">
        <f t="shared" si="45"/>
        <v>#VALUE!</v>
      </c>
      <c r="Y971" s="7" t="str">
        <f t="shared" si="46"/>
        <v>DC</v>
      </c>
      <c r="Z971" s="7">
        <f t="shared" si="47"/>
        <v>0</v>
      </c>
      <c r="AA971" s="7">
        <f t="shared" si="48"/>
        <v>0</v>
      </c>
      <c r="AB971" s="7">
        <f t="shared" si="49"/>
        <v>0</v>
      </c>
      <c r="AC971" s="7">
        <f t="shared" si="50"/>
        <v>0</v>
      </c>
      <c r="AD971" s="7">
        <f t="shared" si="51"/>
        <v>0</v>
      </c>
      <c r="AE971" s="8" cm="1">
        <f t="array" ref="AE971">IFERROR(_xlfn.XLOOKUP(H971,Sheet1!$G:$G,Sheet1!$F:$F),IFERROR(_xlfn.XLOOKUP(1,(--($X$2:$X$1074=X971))*(--ISNUMBER(MATCH($H$2:$H$1074,Sheet1!$G:$G,0))),_xlfn.XLOOKUP($H$2:$H$1074,Sheet1!$G:$G,Sheet1!$F:$F,"")),"NOT FOUND"))</f>
        <v>0</v>
      </c>
      <c r="AF971" s="9" t="str">
        <f t="shared" si="58"/>
        <v/>
      </c>
      <c r="AG971" s="10" t="str">
        <f t="shared" si="59"/>
        <v/>
      </c>
      <c r="AH971" s="8" t="str" cm="1">
        <f t="array" ref="AH971">IF(OR(J971="",AE971="",AE971="NOT FOUND"),"",IF(Y971="RP",_xlfn.LET(_xlpm.desc,_xlfn.XLOOKUP(1,(--(Sheet1!$F$2:$F$754=AE971))*(--ISNUMBER(FIND("-",Sheet1!$W$2:$W$754,FIND("-",Sheet1!$W$2:$W$754)+1))),Sheet1!$W$2:$W$754,""),IF(_xlpm.desc="","NOT FOUND",LEFT(_xlpm.desc,FIND("-",_xlpm.desc,FIND("-",_xlpm.desc)+1))&amp;AE971)),LEFT(J971,FIND("-",J971,FIND("-",J971)+1))&amp;AE971))</f>
        <v/>
      </c>
    </row>
    <row r="972" spans="1:34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X972" s="6" t="e">
        <f t="shared" si="45"/>
        <v>#VALUE!</v>
      </c>
      <c r="Y972" s="7" t="str">
        <f t="shared" si="46"/>
        <v>DC</v>
      </c>
      <c r="Z972" s="7">
        <f t="shared" si="47"/>
        <v>0</v>
      </c>
      <c r="AA972" s="7">
        <f t="shared" si="48"/>
        <v>0</v>
      </c>
      <c r="AB972" s="7">
        <f t="shared" si="49"/>
        <v>0</v>
      </c>
      <c r="AC972" s="7">
        <f t="shared" si="50"/>
        <v>0</v>
      </c>
      <c r="AD972" s="7">
        <f t="shared" si="51"/>
        <v>0</v>
      </c>
      <c r="AE972" s="8" cm="1">
        <f t="array" ref="AE972">IFERROR(_xlfn.XLOOKUP(H972,Sheet1!$G:$G,Sheet1!$F:$F),IFERROR(_xlfn.XLOOKUP(1,(--($X$2:$X$1074=X972))*(--ISNUMBER(MATCH($H$2:$H$1074,Sheet1!$G:$G,0))),_xlfn.XLOOKUP($H$2:$H$1074,Sheet1!$G:$G,Sheet1!$F:$F,"")),"NOT FOUND"))</f>
        <v>0</v>
      </c>
      <c r="AF972" s="9" t="str">
        <f t="shared" si="58"/>
        <v/>
      </c>
      <c r="AG972" s="10" t="str">
        <f t="shared" si="59"/>
        <v/>
      </c>
      <c r="AH972" s="8" t="str" cm="1">
        <f t="array" ref="AH972">IF(OR(J972="",AE972="",AE972="NOT FOUND"),"",IF(Y972="RP",_xlfn.LET(_xlpm.desc,_xlfn.XLOOKUP(1,(--(Sheet1!$F$2:$F$754=AE972))*(--ISNUMBER(FIND("-",Sheet1!$W$2:$W$754,FIND("-",Sheet1!$W$2:$W$754)+1))),Sheet1!$W$2:$W$754,""),IF(_xlpm.desc="","NOT FOUND",LEFT(_xlpm.desc,FIND("-",_xlpm.desc,FIND("-",_xlpm.desc)+1))&amp;AE972)),LEFT(J972,FIND("-",J972,FIND("-",J972)+1))&amp;AE972))</f>
        <v/>
      </c>
    </row>
    <row r="973" spans="1:34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X973" s="6" t="e">
        <f t="shared" si="45"/>
        <v>#VALUE!</v>
      </c>
      <c r="Y973" s="7" t="str">
        <f t="shared" si="46"/>
        <v>DC</v>
      </c>
      <c r="Z973" s="7">
        <f t="shared" si="47"/>
        <v>0</v>
      </c>
      <c r="AA973" s="7">
        <f t="shared" si="48"/>
        <v>0</v>
      </c>
      <c r="AB973" s="7">
        <f t="shared" si="49"/>
        <v>0</v>
      </c>
      <c r="AC973" s="7">
        <f t="shared" si="50"/>
        <v>0</v>
      </c>
      <c r="AD973" s="7">
        <f t="shared" si="51"/>
        <v>0</v>
      </c>
      <c r="AE973" s="8" cm="1">
        <f t="array" ref="AE973">IFERROR(_xlfn.XLOOKUP(H973,Sheet1!$G:$G,Sheet1!$F:$F),IFERROR(_xlfn.XLOOKUP(1,(--($X$2:$X$1074=X973))*(--ISNUMBER(MATCH($H$2:$H$1074,Sheet1!$G:$G,0))),_xlfn.XLOOKUP($H$2:$H$1074,Sheet1!$G:$G,Sheet1!$F:$F,"")),"NOT FOUND"))</f>
        <v>0</v>
      </c>
      <c r="AF973" s="9" t="str">
        <f t="shared" si="58"/>
        <v/>
      </c>
      <c r="AG973" s="10" t="str">
        <f t="shared" si="59"/>
        <v/>
      </c>
      <c r="AH973" s="8" t="str" cm="1">
        <f t="array" ref="AH973">IF(OR(J973="",AE973="",AE973="NOT FOUND"),"",IF(Y973="RP",_xlfn.LET(_xlpm.desc,_xlfn.XLOOKUP(1,(--(Sheet1!$F$2:$F$754=AE973))*(--ISNUMBER(FIND("-",Sheet1!$W$2:$W$754,FIND("-",Sheet1!$W$2:$W$754)+1))),Sheet1!$W$2:$W$754,""),IF(_xlpm.desc="","NOT FOUND",LEFT(_xlpm.desc,FIND("-",_xlpm.desc,FIND("-",_xlpm.desc)+1))&amp;AE973)),LEFT(J973,FIND("-",J973,FIND("-",J973)+1))&amp;AE973))</f>
        <v/>
      </c>
    </row>
    <row r="974" spans="1:34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X974" s="6" t="e">
        <f t="shared" si="45"/>
        <v>#VALUE!</v>
      </c>
      <c r="Y974" s="7" t="str">
        <f t="shared" si="46"/>
        <v>DC</v>
      </c>
      <c r="Z974" s="7">
        <f t="shared" si="47"/>
        <v>0</v>
      </c>
      <c r="AA974" s="7">
        <f t="shared" si="48"/>
        <v>0</v>
      </c>
      <c r="AB974" s="7">
        <f t="shared" si="49"/>
        <v>0</v>
      </c>
      <c r="AC974" s="7">
        <f t="shared" si="50"/>
        <v>0</v>
      </c>
      <c r="AD974" s="7">
        <f t="shared" si="51"/>
        <v>0</v>
      </c>
      <c r="AE974" s="8" cm="1">
        <f t="array" ref="AE974">IFERROR(_xlfn.XLOOKUP(H974,Sheet1!$G:$G,Sheet1!$F:$F),IFERROR(_xlfn.XLOOKUP(1,(--($X$2:$X$1074=X974))*(--ISNUMBER(MATCH($H$2:$H$1074,Sheet1!$G:$G,0))),_xlfn.XLOOKUP($H$2:$H$1074,Sheet1!$G:$G,Sheet1!$F:$F,"")),"NOT FOUND"))</f>
        <v>0</v>
      </c>
      <c r="AF974" s="9" t="str">
        <f t="shared" si="58"/>
        <v/>
      </c>
      <c r="AG974" s="10" t="str">
        <f t="shared" si="59"/>
        <v/>
      </c>
      <c r="AH974" s="8" t="str" cm="1">
        <f t="array" ref="AH974">IF(OR(J974="",AE974="",AE974="NOT FOUND"),"",IF(Y974="RP",_xlfn.LET(_xlpm.desc,_xlfn.XLOOKUP(1,(--(Sheet1!$F$2:$F$754=AE974))*(--ISNUMBER(FIND("-",Sheet1!$W$2:$W$754,FIND("-",Sheet1!$W$2:$W$754)+1))),Sheet1!$W$2:$W$754,""),IF(_xlpm.desc="","NOT FOUND",LEFT(_xlpm.desc,FIND("-",_xlpm.desc,FIND("-",_xlpm.desc)+1))&amp;AE974)),LEFT(J974,FIND("-",J974,FIND("-",J974)+1))&amp;AE974))</f>
        <v/>
      </c>
    </row>
    <row r="975" spans="1:34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X975" s="6" t="e">
        <f t="shared" si="45"/>
        <v>#VALUE!</v>
      </c>
      <c r="Y975" s="7" t="str">
        <f t="shared" si="46"/>
        <v>DC</v>
      </c>
      <c r="Z975" s="7">
        <f t="shared" si="47"/>
        <v>0</v>
      </c>
      <c r="AA975" s="7">
        <f t="shared" si="48"/>
        <v>0</v>
      </c>
      <c r="AB975" s="7">
        <f t="shared" si="49"/>
        <v>0</v>
      </c>
      <c r="AC975" s="7">
        <f t="shared" si="50"/>
        <v>0</v>
      </c>
      <c r="AD975" s="7">
        <f t="shared" si="51"/>
        <v>0</v>
      </c>
      <c r="AE975" s="8" cm="1">
        <f t="array" ref="AE975">IFERROR(_xlfn.XLOOKUP(H975,Sheet1!$G:$G,Sheet1!$F:$F),IFERROR(_xlfn.XLOOKUP(1,(--($X$2:$X$1074=X975))*(--ISNUMBER(MATCH($H$2:$H$1074,Sheet1!$G:$G,0))),_xlfn.XLOOKUP($H$2:$H$1074,Sheet1!$G:$G,Sheet1!$F:$F,"")),"NOT FOUND"))</f>
        <v>0</v>
      </c>
      <c r="AF975" s="9" t="str">
        <f t="shared" si="58"/>
        <v/>
      </c>
      <c r="AG975" s="10" t="str">
        <f t="shared" si="59"/>
        <v/>
      </c>
      <c r="AH975" s="8" t="str" cm="1">
        <f t="array" ref="AH975">IF(OR(J975="",AE975="",AE975="NOT FOUND"),"",IF(Y975="RP",_xlfn.LET(_xlpm.desc,_xlfn.XLOOKUP(1,(--(Sheet1!$F$2:$F$754=AE975))*(--ISNUMBER(FIND("-",Sheet1!$W$2:$W$754,FIND("-",Sheet1!$W$2:$W$754)+1))),Sheet1!$W$2:$W$754,""),IF(_xlpm.desc="","NOT FOUND",LEFT(_xlpm.desc,FIND("-",_xlpm.desc,FIND("-",_xlpm.desc)+1))&amp;AE975)),LEFT(J975,FIND("-",J975,FIND("-",J975)+1))&amp;AE975))</f>
        <v/>
      </c>
    </row>
    <row r="976" spans="1:34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X976" s="6" t="e">
        <f t="shared" si="45"/>
        <v>#VALUE!</v>
      </c>
      <c r="Y976" s="7" t="str">
        <f t="shared" si="46"/>
        <v>DC</v>
      </c>
      <c r="Z976" s="7">
        <f t="shared" si="47"/>
        <v>0</v>
      </c>
      <c r="AA976" s="7">
        <f t="shared" si="48"/>
        <v>0</v>
      </c>
      <c r="AB976" s="7">
        <f t="shared" si="49"/>
        <v>0</v>
      </c>
      <c r="AC976" s="7">
        <f t="shared" si="50"/>
        <v>0</v>
      </c>
      <c r="AD976" s="7">
        <f t="shared" si="51"/>
        <v>0</v>
      </c>
      <c r="AE976" s="8" cm="1">
        <f t="array" ref="AE976">IFERROR(_xlfn.XLOOKUP(H976,Sheet1!$G:$G,Sheet1!$F:$F),IFERROR(_xlfn.XLOOKUP(1,(--($X$2:$X$1074=X976))*(--ISNUMBER(MATCH($H$2:$H$1074,Sheet1!$G:$G,0))),_xlfn.XLOOKUP($H$2:$H$1074,Sheet1!$G:$G,Sheet1!$F:$F,"")),"NOT FOUND"))</f>
        <v>0</v>
      </c>
      <c r="AF976" s="9" t="str">
        <f t="shared" si="58"/>
        <v/>
      </c>
      <c r="AG976" s="10" t="str">
        <f t="shared" si="59"/>
        <v/>
      </c>
      <c r="AH976" s="8" t="str" cm="1">
        <f t="array" ref="AH976">IF(OR(J976="",AE976="",AE976="NOT FOUND"),"",IF(Y976="RP",_xlfn.LET(_xlpm.desc,_xlfn.XLOOKUP(1,(--(Sheet1!$F$2:$F$754=AE976))*(--ISNUMBER(FIND("-",Sheet1!$W$2:$W$754,FIND("-",Sheet1!$W$2:$W$754)+1))),Sheet1!$W$2:$W$754,""),IF(_xlpm.desc="","NOT FOUND",LEFT(_xlpm.desc,FIND("-",_xlpm.desc,FIND("-",_xlpm.desc)+1))&amp;AE976)),LEFT(J976,FIND("-",J976,FIND("-",J976)+1))&amp;AE976))</f>
        <v/>
      </c>
    </row>
    <row r="977" spans="1:34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X977" s="6" t="e">
        <f t="shared" si="45"/>
        <v>#VALUE!</v>
      </c>
      <c r="Y977" s="7" t="str">
        <f t="shared" si="46"/>
        <v>DC</v>
      </c>
      <c r="Z977" s="7">
        <f t="shared" si="47"/>
        <v>0</v>
      </c>
      <c r="AA977" s="7">
        <f t="shared" si="48"/>
        <v>0</v>
      </c>
      <c r="AB977" s="7">
        <f t="shared" si="49"/>
        <v>0</v>
      </c>
      <c r="AC977" s="7">
        <f t="shared" si="50"/>
        <v>0</v>
      </c>
      <c r="AD977" s="7">
        <f t="shared" si="51"/>
        <v>0</v>
      </c>
      <c r="AE977" s="8" cm="1">
        <f t="array" ref="AE977">IFERROR(_xlfn.XLOOKUP(H977,Sheet1!$G:$G,Sheet1!$F:$F),IFERROR(_xlfn.XLOOKUP(1,(--($X$2:$X$1074=X977))*(--ISNUMBER(MATCH($H$2:$H$1074,Sheet1!$G:$G,0))),_xlfn.XLOOKUP($H$2:$H$1074,Sheet1!$G:$G,Sheet1!$F:$F,"")),"NOT FOUND"))</f>
        <v>0</v>
      </c>
      <c r="AF977" s="9" t="str">
        <f t="shared" si="58"/>
        <v/>
      </c>
      <c r="AG977" s="10" t="str">
        <f t="shared" si="59"/>
        <v/>
      </c>
      <c r="AH977" s="8" t="str" cm="1">
        <f t="array" ref="AH977">IF(OR(J977="",AE977="",AE977="NOT FOUND"),"",IF(Y977="RP",_xlfn.LET(_xlpm.desc,_xlfn.XLOOKUP(1,(--(Sheet1!$F$2:$F$754=AE977))*(--ISNUMBER(FIND("-",Sheet1!$W$2:$W$754,FIND("-",Sheet1!$W$2:$W$754)+1))),Sheet1!$W$2:$W$754,""),IF(_xlpm.desc="","NOT FOUND",LEFT(_xlpm.desc,FIND("-",_xlpm.desc,FIND("-",_xlpm.desc)+1))&amp;AE977)),LEFT(J977,FIND("-",J977,FIND("-",J977)+1))&amp;AE977))</f>
        <v/>
      </c>
    </row>
    <row r="978" spans="1:34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X978" s="6" t="e">
        <f t="shared" si="45"/>
        <v>#VALUE!</v>
      </c>
      <c r="Y978" s="7" t="str">
        <f t="shared" si="46"/>
        <v>DC</v>
      </c>
      <c r="Z978" s="7">
        <f t="shared" si="47"/>
        <v>0</v>
      </c>
      <c r="AA978" s="7">
        <f t="shared" si="48"/>
        <v>0</v>
      </c>
      <c r="AB978" s="7">
        <f t="shared" si="49"/>
        <v>0</v>
      </c>
      <c r="AC978" s="7">
        <f t="shared" si="50"/>
        <v>0</v>
      </c>
      <c r="AD978" s="7">
        <f t="shared" si="51"/>
        <v>0</v>
      </c>
      <c r="AE978" s="8" cm="1">
        <f t="array" ref="AE978">IFERROR(_xlfn.XLOOKUP(H978,Sheet1!$G:$G,Sheet1!$F:$F),IFERROR(_xlfn.XLOOKUP(1,(--($X$2:$X$1074=X978))*(--ISNUMBER(MATCH($H$2:$H$1074,Sheet1!$G:$G,0))),_xlfn.XLOOKUP($H$2:$H$1074,Sheet1!$G:$G,Sheet1!$F:$F,"")),"NOT FOUND"))</f>
        <v>0</v>
      </c>
      <c r="AF978" s="9" t="str">
        <f t="shared" si="58"/>
        <v/>
      </c>
      <c r="AG978" s="10" t="str">
        <f t="shared" si="59"/>
        <v/>
      </c>
      <c r="AH978" s="8" t="str" cm="1">
        <f t="array" ref="AH978">IF(OR(J978="",AE978="",AE978="NOT FOUND"),"",IF(Y978="RP",_xlfn.LET(_xlpm.desc,_xlfn.XLOOKUP(1,(--(Sheet1!$F$2:$F$754=AE978))*(--ISNUMBER(FIND("-",Sheet1!$W$2:$W$754,FIND("-",Sheet1!$W$2:$W$754)+1))),Sheet1!$W$2:$W$754,""),IF(_xlpm.desc="","NOT FOUND",LEFT(_xlpm.desc,FIND("-",_xlpm.desc,FIND("-",_xlpm.desc)+1))&amp;AE978)),LEFT(J978,FIND("-",J978,FIND("-",J978)+1))&amp;AE978))</f>
        <v/>
      </c>
    </row>
    <row r="979" spans="1:34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X979" s="6" t="e">
        <f t="shared" si="45"/>
        <v>#VALUE!</v>
      </c>
      <c r="Y979" s="7" t="str">
        <f t="shared" si="46"/>
        <v>DC</v>
      </c>
      <c r="Z979" s="7">
        <f t="shared" si="47"/>
        <v>0</v>
      </c>
      <c r="AA979" s="7">
        <f t="shared" si="48"/>
        <v>0</v>
      </c>
      <c r="AB979" s="7">
        <f t="shared" si="49"/>
        <v>0</v>
      </c>
      <c r="AC979" s="7">
        <f t="shared" si="50"/>
        <v>0</v>
      </c>
      <c r="AD979" s="7">
        <f t="shared" si="51"/>
        <v>0</v>
      </c>
      <c r="AE979" s="8" cm="1">
        <f t="array" ref="AE979">IFERROR(_xlfn.XLOOKUP(H979,Sheet1!$G:$G,Sheet1!$F:$F),IFERROR(_xlfn.XLOOKUP(1,(--($X$2:$X$1074=X979))*(--ISNUMBER(MATCH($H$2:$H$1074,Sheet1!$G:$G,0))),_xlfn.XLOOKUP($H$2:$H$1074,Sheet1!$G:$G,Sheet1!$F:$F,"")),"NOT FOUND"))</f>
        <v>0</v>
      </c>
      <c r="AF979" s="9" t="str">
        <f t="shared" si="58"/>
        <v/>
      </c>
      <c r="AG979" s="10" t="str">
        <f t="shared" si="59"/>
        <v/>
      </c>
      <c r="AH979" s="8" t="str" cm="1">
        <f t="array" ref="AH979">IF(OR(J979="",AE979="",AE979="NOT FOUND"),"",IF(Y979="RP",_xlfn.LET(_xlpm.desc,_xlfn.XLOOKUP(1,(--(Sheet1!$F$2:$F$754=AE979))*(--ISNUMBER(FIND("-",Sheet1!$W$2:$W$754,FIND("-",Sheet1!$W$2:$W$754)+1))),Sheet1!$W$2:$W$754,""),IF(_xlpm.desc="","NOT FOUND",LEFT(_xlpm.desc,FIND("-",_xlpm.desc,FIND("-",_xlpm.desc)+1))&amp;AE979)),LEFT(J979,FIND("-",J979,FIND("-",J979)+1))&amp;AE979))</f>
        <v/>
      </c>
    </row>
    <row r="980" spans="1:34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X980" s="6" t="e">
        <f t="shared" si="45"/>
        <v>#VALUE!</v>
      </c>
      <c r="Y980" s="7" t="str">
        <f t="shared" si="46"/>
        <v>DC</v>
      </c>
      <c r="Z980" s="7">
        <f t="shared" si="47"/>
        <v>0</v>
      </c>
      <c r="AA980" s="7">
        <f t="shared" si="48"/>
        <v>0</v>
      </c>
      <c r="AB980" s="7">
        <f t="shared" si="49"/>
        <v>0</v>
      </c>
      <c r="AC980" s="7">
        <f t="shared" si="50"/>
        <v>0</v>
      </c>
      <c r="AD980" s="7">
        <f t="shared" si="51"/>
        <v>0</v>
      </c>
      <c r="AE980" s="8" cm="1">
        <f t="array" ref="AE980">IFERROR(_xlfn.XLOOKUP(H980,Sheet1!$G:$G,Sheet1!$F:$F),IFERROR(_xlfn.XLOOKUP(1,(--($X$2:$X$1074=X980))*(--ISNUMBER(MATCH($H$2:$H$1074,Sheet1!$G:$G,0))),_xlfn.XLOOKUP($H$2:$H$1074,Sheet1!$G:$G,Sheet1!$F:$F,"")),"NOT FOUND"))</f>
        <v>0</v>
      </c>
      <c r="AF980" s="9" t="str">
        <f t="shared" si="58"/>
        <v/>
      </c>
      <c r="AG980" s="10" t="str">
        <f t="shared" si="59"/>
        <v/>
      </c>
      <c r="AH980" s="8" t="str" cm="1">
        <f t="array" ref="AH980">IF(OR(J980="",AE980="",AE980="NOT FOUND"),"",IF(Y980="RP",_xlfn.LET(_xlpm.desc,_xlfn.XLOOKUP(1,(--(Sheet1!$F$2:$F$754=AE980))*(--ISNUMBER(FIND("-",Sheet1!$W$2:$W$754,FIND("-",Sheet1!$W$2:$W$754)+1))),Sheet1!$W$2:$W$754,""),IF(_xlpm.desc="","NOT FOUND",LEFT(_xlpm.desc,FIND("-",_xlpm.desc,FIND("-",_xlpm.desc)+1))&amp;AE980)),LEFT(J980,FIND("-",J980,FIND("-",J980)+1))&amp;AE980))</f>
        <v/>
      </c>
    </row>
    <row r="981" spans="1:34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X981" s="6" t="e">
        <f t="shared" si="45"/>
        <v>#VALUE!</v>
      </c>
      <c r="Y981" s="7" t="str">
        <f t="shared" si="46"/>
        <v>DC</v>
      </c>
      <c r="Z981" s="7">
        <f t="shared" si="47"/>
        <v>0</v>
      </c>
      <c r="AA981" s="7">
        <f t="shared" si="48"/>
        <v>0</v>
      </c>
      <c r="AB981" s="7">
        <f t="shared" si="49"/>
        <v>0</v>
      </c>
      <c r="AC981" s="7">
        <f t="shared" si="50"/>
        <v>0</v>
      </c>
      <c r="AD981" s="7">
        <f t="shared" si="51"/>
        <v>0</v>
      </c>
      <c r="AE981" s="8" cm="1">
        <f t="array" ref="AE981">IFERROR(_xlfn.XLOOKUP(H981,Sheet1!$G:$G,Sheet1!$F:$F),IFERROR(_xlfn.XLOOKUP(1,(--($X$2:$X$1074=X981))*(--ISNUMBER(MATCH($H$2:$H$1074,Sheet1!$G:$G,0))),_xlfn.XLOOKUP($H$2:$H$1074,Sheet1!$G:$G,Sheet1!$F:$F,"")),"NOT FOUND"))</f>
        <v>0</v>
      </c>
      <c r="AF981" s="9" t="str">
        <f t="shared" si="58"/>
        <v/>
      </c>
      <c r="AG981" s="10" t="str">
        <f t="shared" si="59"/>
        <v/>
      </c>
      <c r="AH981" s="8" t="str" cm="1">
        <f t="array" ref="AH981">IF(OR(J981="",AE981="",AE981="NOT FOUND"),"",IF(Y981="RP",_xlfn.LET(_xlpm.desc,_xlfn.XLOOKUP(1,(--(Sheet1!$F$2:$F$754=AE981))*(--ISNUMBER(FIND("-",Sheet1!$W$2:$W$754,FIND("-",Sheet1!$W$2:$W$754)+1))),Sheet1!$W$2:$W$754,""),IF(_xlpm.desc="","NOT FOUND",LEFT(_xlpm.desc,FIND("-",_xlpm.desc,FIND("-",_xlpm.desc)+1))&amp;AE981)),LEFT(J981,FIND("-",J981,FIND("-",J981)+1))&amp;AE981))</f>
        <v/>
      </c>
    </row>
    <row r="982" spans="1:34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X982" s="6" t="e">
        <f t="shared" si="45"/>
        <v>#VALUE!</v>
      </c>
      <c r="Y982" s="7" t="str">
        <f t="shared" si="46"/>
        <v>DC</v>
      </c>
      <c r="Z982" s="7">
        <f t="shared" si="47"/>
        <v>0</v>
      </c>
      <c r="AA982" s="7">
        <f t="shared" si="48"/>
        <v>0</v>
      </c>
      <c r="AB982" s="7">
        <f t="shared" si="49"/>
        <v>0</v>
      </c>
      <c r="AC982" s="7">
        <f t="shared" si="50"/>
        <v>0</v>
      </c>
      <c r="AD982" s="7">
        <f t="shared" si="51"/>
        <v>0</v>
      </c>
      <c r="AE982" s="8" cm="1">
        <f t="array" ref="AE982">IFERROR(_xlfn.XLOOKUP(H982,Sheet1!$G:$G,Sheet1!$F:$F),IFERROR(_xlfn.XLOOKUP(1,(--($X$2:$X$1074=X982))*(--ISNUMBER(MATCH($H$2:$H$1074,Sheet1!$G:$G,0))),_xlfn.XLOOKUP($H$2:$H$1074,Sheet1!$G:$G,Sheet1!$F:$F,"")),"NOT FOUND"))</f>
        <v>0</v>
      </c>
      <c r="AF982" s="9" t="str">
        <f t="shared" si="58"/>
        <v/>
      </c>
      <c r="AG982" s="10" t="str">
        <f t="shared" si="59"/>
        <v/>
      </c>
      <c r="AH982" s="8" t="str" cm="1">
        <f t="array" ref="AH982">IF(OR(J982="",AE982="",AE982="NOT FOUND"),"",IF(Y982="RP",_xlfn.LET(_xlpm.desc,_xlfn.XLOOKUP(1,(--(Sheet1!$F$2:$F$754=AE982))*(--ISNUMBER(FIND("-",Sheet1!$W$2:$W$754,FIND("-",Sheet1!$W$2:$W$754)+1))),Sheet1!$W$2:$W$754,""),IF(_xlpm.desc="","NOT FOUND",LEFT(_xlpm.desc,FIND("-",_xlpm.desc,FIND("-",_xlpm.desc)+1))&amp;AE982)),LEFT(J982,FIND("-",J982,FIND("-",J982)+1))&amp;AE982))</f>
        <v/>
      </c>
    </row>
    <row r="983" spans="1:34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X983" s="6" t="e">
        <f t="shared" si="45"/>
        <v>#VALUE!</v>
      </c>
      <c r="Y983" s="7" t="str">
        <f t="shared" si="46"/>
        <v>DC</v>
      </c>
      <c r="Z983" s="7">
        <f t="shared" si="47"/>
        <v>0</v>
      </c>
      <c r="AA983" s="7">
        <f t="shared" si="48"/>
        <v>0</v>
      </c>
      <c r="AB983" s="7">
        <f t="shared" si="49"/>
        <v>0</v>
      </c>
      <c r="AC983" s="7">
        <f t="shared" si="50"/>
        <v>0</v>
      </c>
      <c r="AD983" s="7">
        <f t="shared" si="51"/>
        <v>0</v>
      </c>
      <c r="AE983" s="8" cm="1">
        <f t="array" ref="AE983">IFERROR(_xlfn.XLOOKUP(H983,Sheet1!$G:$G,Sheet1!$F:$F),IFERROR(_xlfn.XLOOKUP(1,(--($X$2:$X$1074=X983))*(--ISNUMBER(MATCH($H$2:$H$1074,Sheet1!$G:$G,0))),_xlfn.XLOOKUP($H$2:$H$1074,Sheet1!$G:$G,Sheet1!$F:$F,"")),"NOT FOUND"))</f>
        <v>0</v>
      </c>
      <c r="AF983" s="9" t="str">
        <f t="shared" si="58"/>
        <v/>
      </c>
      <c r="AG983" s="10" t="str">
        <f t="shared" si="59"/>
        <v/>
      </c>
      <c r="AH983" s="8" t="str" cm="1">
        <f t="array" ref="AH983">IF(OR(J983="",AE983="",AE983="NOT FOUND"),"",IF(Y983="RP",_xlfn.LET(_xlpm.desc,_xlfn.XLOOKUP(1,(--(Sheet1!$F$2:$F$754=AE983))*(--ISNUMBER(FIND("-",Sheet1!$W$2:$W$754,FIND("-",Sheet1!$W$2:$W$754)+1))),Sheet1!$W$2:$W$754,""),IF(_xlpm.desc="","NOT FOUND",LEFT(_xlpm.desc,FIND("-",_xlpm.desc,FIND("-",_xlpm.desc)+1))&amp;AE983)),LEFT(J983,FIND("-",J983,FIND("-",J983)+1))&amp;AE983))</f>
        <v/>
      </c>
    </row>
    <row r="984" spans="1:34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X984" s="6" t="e">
        <f t="shared" si="45"/>
        <v>#VALUE!</v>
      </c>
      <c r="Y984" s="7" t="str">
        <f t="shared" si="46"/>
        <v>DC</v>
      </c>
      <c r="Z984" s="7">
        <f t="shared" si="47"/>
        <v>0</v>
      </c>
      <c r="AA984" s="7">
        <f t="shared" si="48"/>
        <v>0</v>
      </c>
      <c r="AB984" s="7">
        <f t="shared" si="49"/>
        <v>0</v>
      </c>
      <c r="AC984" s="7">
        <f t="shared" si="50"/>
        <v>0</v>
      </c>
      <c r="AD984" s="7">
        <f t="shared" si="51"/>
        <v>0</v>
      </c>
      <c r="AE984" s="8" cm="1">
        <f t="array" ref="AE984">IFERROR(_xlfn.XLOOKUP(H984,Sheet1!$G:$G,Sheet1!$F:$F),IFERROR(_xlfn.XLOOKUP(1,(--($X$2:$X$1074=X984))*(--ISNUMBER(MATCH($H$2:$H$1074,Sheet1!$G:$G,0))),_xlfn.XLOOKUP($H$2:$H$1074,Sheet1!$G:$G,Sheet1!$F:$F,"")),"NOT FOUND"))</f>
        <v>0</v>
      </c>
      <c r="AF984" s="9" t="str">
        <f t="shared" si="58"/>
        <v/>
      </c>
      <c r="AG984" s="10" t="str">
        <f t="shared" si="59"/>
        <v/>
      </c>
      <c r="AH984" s="8" t="str" cm="1">
        <f t="array" ref="AH984">IF(OR(J984="",AE984="",AE984="NOT FOUND"),"",IF(Y984="RP",_xlfn.LET(_xlpm.desc,_xlfn.XLOOKUP(1,(--(Sheet1!$F$2:$F$754=AE984))*(--ISNUMBER(FIND("-",Sheet1!$W$2:$W$754,FIND("-",Sheet1!$W$2:$W$754)+1))),Sheet1!$W$2:$W$754,""),IF(_xlpm.desc="","NOT FOUND",LEFT(_xlpm.desc,FIND("-",_xlpm.desc,FIND("-",_xlpm.desc)+1))&amp;AE984)),LEFT(J984,FIND("-",J984,FIND("-",J984)+1))&amp;AE984))</f>
        <v/>
      </c>
    </row>
    <row r="985" spans="1:34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X985" s="6" t="e">
        <f t="shared" si="45"/>
        <v>#VALUE!</v>
      </c>
      <c r="Y985" s="7" t="str">
        <f t="shared" si="46"/>
        <v>DC</v>
      </c>
      <c r="Z985" s="7">
        <f t="shared" si="47"/>
        <v>0</v>
      </c>
      <c r="AA985" s="7">
        <f t="shared" si="48"/>
        <v>0</v>
      </c>
      <c r="AB985" s="7">
        <f t="shared" si="49"/>
        <v>0</v>
      </c>
      <c r="AC985" s="7">
        <f t="shared" si="50"/>
        <v>0</v>
      </c>
      <c r="AD985" s="7">
        <f t="shared" si="51"/>
        <v>0</v>
      </c>
      <c r="AE985" s="8" cm="1">
        <f t="array" ref="AE985">IFERROR(_xlfn.XLOOKUP(H985,Sheet1!$G:$G,Sheet1!$F:$F),IFERROR(_xlfn.XLOOKUP(1,(--($X$2:$X$1074=X985))*(--ISNUMBER(MATCH($H$2:$H$1074,Sheet1!$G:$G,0))),_xlfn.XLOOKUP($H$2:$H$1074,Sheet1!$G:$G,Sheet1!$F:$F,"")),"NOT FOUND"))</f>
        <v>0</v>
      </c>
      <c r="AF985" s="9" t="str">
        <f t="shared" si="58"/>
        <v/>
      </c>
      <c r="AG985" s="10" t="str">
        <f t="shared" si="59"/>
        <v/>
      </c>
      <c r="AH985" s="8" t="str" cm="1">
        <f t="array" ref="AH985">IF(OR(J985="",AE985="",AE985="NOT FOUND"),"",IF(Y985="RP",_xlfn.LET(_xlpm.desc,_xlfn.XLOOKUP(1,(--(Sheet1!$F$2:$F$754=AE985))*(--ISNUMBER(FIND("-",Sheet1!$W$2:$W$754,FIND("-",Sheet1!$W$2:$W$754)+1))),Sheet1!$W$2:$W$754,""),IF(_xlpm.desc="","NOT FOUND",LEFT(_xlpm.desc,FIND("-",_xlpm.desc,FIND("-",_xlpm.desc)+1))&amp;AE985)),LEFT(J985,FIND("-",J985,FIND("-",J985)+1))&amp;AE985))</f>
        <v/>
      </c>
    </row>
    <row r="986" spans="1:34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X986" s="6" t="e">
        <f t="shared" si="45"/>
        <v>#VALUE!</v>
      </c>
      <c r="Y986" s="7" t="str">
        <f t="shared" si="46"/>
        <v>DC</v>
      </c>
      <c r="Z986" s="7">
        <f t="shared" si="47"/>
        <v>0</v>
      </c>
      <c r="AA986" s="7">
        <f t="shared" si="48"/>
        <v>0</v>
      </c>
      <c r="AB986" s="7">
        <f t="shared" si="49"/>
        <v>0</v>
      </c>
      <c r="AC986" s="7">
        <f t="shared" si="50"/>
        <v>0</v>
      </c>
      <c r="AD986" s="7">
        <f t="shared" si="51"/>
        <v>0</v>
      </c>
      <c r="AE986" s="8" cm="1">
        <f t="array" ref="AE986">IFERROR(_xlfn.XLOOKUP(H986,Sheet1!$G:$G,Sheet1!$F:$F),IFERROR(_xlfn.XLOOKUP(1,(--($X$2:$X$1074=X986))*(--ISNUMBER(MATCH($H$2:$H$1074,Sheet1!$G:$G,0))),_xlfn.XLOOKUP($H$2:$H$1074,Sheet1!$G:$G,Sheet1!$F:$F,"")),"NOT FOUND"))</f>
        <v>0</v>
      </c>
      <c r="AF986" s="9" t="str">
        <f t="shared" si="58"/>
        <v/>
      </c>
      <c r="AG986" s="10" t="str">
        <f t="shared" si="59"/>
        <v/>
      </c>
      <c r="AH986" s="8" t="str" cm="1">
        <f t="array" ref="AH986">IF(OR(J986="",AE986="",AE986="NOT FOUND"),"",IF(Y986="RP",_xlfn.LET(_xlpm.desc,_xlfn.XLOOKUP(1,(--(Sheet1!$F$2:$F$754=AE986))*(--ISNUMBER(FIND("-",Sheet1!$W$2:$W$754,FIND("-",Sheet1!$W$2:$W$754)+1))),Sheet1!$W$2:$W$754,""),IF(_xlpm.desc="","NOT FOUND",LEFT(_xlpm.desc,FIND("-",_xlpm.desc,FIND("-",_xlpm.desc)+1))&amp;AE986)),LEFT(J986,FIND("-",J986,FIND("-",J986)+1))&amp;AE986))</f>
        <v/>
      </c>
    </row>
    <row r="987" spans="1:34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X987" s="6" t="e">
        <f t="shared" si="45"/>
        <v>#VALUE!</v>
      </c>
      <c r="Y987" s="7" t="str">
        <f t="shared" si="46"/>
        <v>DC</v>
      </c>
      <c r="Z987" s="7">
        <f t="shared" si="47"/>
        <v>0</v>
      </c>
      <c r="AA987" s="7">
        <f t="shared" si="48"/>
        <v>0</v>
      </c>
      <c r="AB987" s="7">
        <f t="shared" si="49"/>
        <v>0</v>
      </c>
      <c r="AC987" s="7">
        <f t="shared" si="50"/>
        <v>0</v>
      </c>
      <c r="AD987" s="7">
        <f t="shared" si="51"/>
        <v>0</v>
      </c>
      <c r="AE987" s="8" cm="1">
        <f t="array" ref="AE987">IFERROR(_xlfn.XLOOKUP(H987,Sheet1!$G:$G,Sheet1!$F:$F),IFERROR(_xlfn.XLOOKUP(1,(--($X$2:$X$1074=X987))*(--ISNUMBER(MATCH($H$2:$H$1074,Sheet1!$G:$G,0))),_xlfn.XLOOKUP($H$2:$H$1074,Sheet1!$G:$G,Sheet1!$F:$F,"")),"NOT FOUND"))</f>
        <v>0</v>
      </c>
      <c r="AF987" s="9" t="str">
        <f t="shared" si="58"/>
        <v/>
      </c>
      <c r="AG987" s="10" t="str">
        <f t="shared" si="59"/>
        <v/>
      </c>
      <c r="AH987" s="8" t="str" cm="1">
        <f t="array" ref="AH987">IF(OR(J987="",AE987="",AE987="NOT FOUND"),"",IF(Y987="RP",_xlfn.LET(_xlpm.desc,_xlfn.XLOOKUP(1,(--(Sheet1!$F$2:$F$754=AE987))*(--ISNUMBER(FIND("-",Sheet1!$W$2:$W$754,FIND("-",Sheet1!$W$2:$W$754)+1))),Sheet1!$W$2:$W$754,""),IF(_xlpm.desc="","NOT FOUND",LEFT(_xlpm.desc,FIND("-",_xlpm.desc,FIND("-",_xlpm.desc)+1))&amp;AE987)),LEFT(J987,FIND("-",J987,FIND("-",J987)+1))&amp;AE987))</f>
        <v/>
      </c>
    </row>
    <row r="988" spans="1:34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X988" s="6" t="e">
        <f t="shared" si="45"/>
        <v>#VALUE!</v>
      </c>
      <c r="Y988" s="7" t="str">
        <f t="shared" si="46"/>
        <v>DC</v>
      </c>
      <c r="Z988" s="7">
        <f t="shared" si="47"/>
        <v>0</v>
      </c>
      <c r="AA988" s="7">
        <f t="shared" si="48"/>
        <v>0</v>
      </c>
      <c r="AB988" s="7">
        <f t="shared" si="49"/>
        <v>0</v>
      </c>
      <c r="AC988" s="7">
        <f t="shared" si="50"/>
        <v>0</v>
      </c>
      <c r="AD988" s="7">
        <f t="shared" si="51"/>
        <v>0</v>
      </c>
      <c r="AE988" s="8" cm="1">
        <f t="array" ref="AE988">IFERROR(_xlfn.XLOOKUP(H988,Sheet1!$G:$G,Sheet1!$F:$F),IFERROR(_xlfn.XLOOKUP(1,(--($X$2:$X$1074=X988))*(--ISNUMBER(MATCH($H$2:$H$1074,Sheet1!$G:$G,0))),_xlfn.XLOOKUP($H$2:$H$1074,Sheet1!$G:$G,Sheet1!$F:$F,"")),"NOT FOUND"))</f>
        <v>0</v>
      </c>
      <c r="AF988" s="9" t="str">
        <f t="shared" si="58"/>
        <v/>
      </c>
      <c r="AG988" s="10" t="str">
        <f t="shared" si="59"/>
        <v/>
      </c>
      <c r="AH988" s="8" t="str" cm="1">
        <f t="array" ref="AH988">IF(OR(J988="",AE988="",AE988="NOT FOUND"),"",IF(Y988="RP",_xlfn.LET(_xlpm.desc,_xlfn.XLOOKUP(1,(--(Sheet1!$F$2:$F$754=AE988))*(--ISNUMBER(FIND("-",Sheet1!$W$2:$W$754,FIND("-",Sheet1!$W$2:$W$754)+1))),Sheet1!$W$2:$W$754,""),IF(_xlpm.desc="","NOT FOUND",LEFT(_xlpm.desc,FIND("-",_xlpm.desc,FIND("-",_xlpm.desc)+1))&amp;AE988)),LEFT(J988,FIND("-",J988,FIND("-",J988)+1))&amp;AE988))</f>
        <v/>
      </c>
    </row>
    <row r="989" spans="1:34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X989" s="6" t="e">
        <f t="shared" si="45"/>
        <v>#VALUE!</v>
      </c>
      <c r="Y989" s="7" t="str">
        <f t="shared" si="46"/>
        <v>DC</v>
      </c>
      <c r="Z989" s="7">
        <f t="shared" si="47"/>
        <v>0</v>
      </c>
      <c r="AA989" s="7">
        <f t="shared" si="48"/>
        <v>0</v>
      </c>
      <c r="AB989" s="7">
        <f t="shared" si="49"/>
        <v>0</v>
      </c>
      <c r="AC989" s="7">
        <f t="shared" si="50"/>
        <v>0</v>
      </c>
      <c r="AD989" s="7">
        <f t="shared" si="51"/>
        <v>0</v>
      </c>
      <c r="AE989" s="8" cm="1">
        <f t="array" ref="AE989">IFERROR(_xlfn.XLOOKUP(H989,Sheet1!$G:$G,Sheet1!$F:$F),IFERROR(_xlfn.XLOOKUP(1,(--($X$2:$X$1074=X989))*(--ISNUMBER(MATCH($H$2:$H$1074,Sheet1!$G:$G,0))),_xlfn.XLOOKUP($H$2:$H$1074,Sheet1!$G:$G,Sheet1!$F:$F,"")),"NOT FOUND"))</f>
        <v>0</v>
      </c>
      <c r="AF989" s="9" t="str">
        <f t="shared" si="58"/>
        <v/>
      </c>
      <c r="AG989" s="10" t="str">
        <f t="shared" si="59"/>
        <v/>
      </c>
      <c r="AH989" s="8" t="str" cm="1">
        <f t="array" ref="AH989">IF(OR(J989="",AE989="",AE989="NOT FOUND"),"",IF(Y989="RP",_xlfn.LET(_xlpm.desc,_xlfn.XLOOKUP(1,(--(Sheet1!$F$2:$F$754=AE989))*(--ISNUMBER(FIND("-",Sheet1!$W$2:$W$754,FIND("-",Sheet1!$W$2:$W$754)+1))),Sheet1!$W$2:$W$754,""),IF(_xlpm.desc="","NOT FOUND",LEFT(_xlpm.desc,FIND("-",_xlpm.desc,FIND("-",_xlpm.desc)+1))&amp;AE989)),LEFT(J989,FIND("-",J989,FIND("-",J989)+1))&amp;AE989))</f>
        <v/>
      </c>
    </row>
    <row r="990" spans="1:34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X990" s="6" t="e">
        <f t="shared" si="45"/>
        <v>#VALUE!</v>
      </c>
      <c r="Y990" s="7" t="str">
        <f t="shared" si="46"/>
        <v>DC</v>
      </c>
      <c r="Z990" s="7">
        <f t="shared" si="47"/>
        <v>0</v>
      </c>
      <c r="AA990" s="7">
        <f t="shared" si="48"/>
        <v>0</v>
      </c>
      <c r="AB990" s="7">
        <f t="shared" si="49"/>
        <v>0</v>
      </c>
      <c r="AC990" s="7">
        <f t="shared" si="50"/>
        <v>0</v>
      </c>
      <c r="AD990" s="7">
        <f t="shared" si="51"/>
        <v>0</v>
      </c>
      <c r="AE990" s="8" cm="1">
        <f t="array" ref="AE990">IFERROR(_xlfn.XLOOKUP(H990,Sheet1!$G:$G,Sheet1!$F:$F),IFERROR(_xlfn.XLOOKUP(1,(--($X$2:$X$1074=X990))*(--ISNUMBER(MATCH($H$2:$H$1074,Sheet1!$G:$G,0))),_xlfn.XLOOKUP($H$2:$H$1074,Sheet1!$G:$G,Sheet1!$F:$F,"")),"NOT FOUND"))</f>
        <v>0</v>
      </c>
      <c r="AF990" s="9" t="str">
        <f t="shared" si="58"/>
        <v/>
      </c>
      <c r="AG990" s="10" t="str">
        <f t="shared" si="59"/>
        <v/>
      </c>
      <c r="AH990" s="8" t="str" cm="1">
        <f t="array" ref="AH990">IF(OR(J990="",AE990="",AE990="NOT FOUND"),"",IF(Y990="RP",_xlfn.LET(_xlpm.desc,_xlfn.XLOOKUP(1,(--(Sheet1!$F$2:$F$754=AE990))*(--ISNUMBER(FIND("-",Sheet1!$W$2:$W$754,FIND("-",Sheet1!$W$2:$W$754)+1))),Sheet1!$W$2:$W$754,""),IF(_xlpm.desc="","NOT FOUND",LEFT(_xlpm.desc,FIND("-",_xlpm.desc,FIND("-",_xlpm.desc)+1))&amp;AE990)),LEFT(J990,FIND("-",J990,FIND("-",J990)+1))&amp;AE990))</f>
        <v/>
      </c>
    </row>
    <row r="991" spans="1:34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X991" s="6" t="e">
        <f t="shared" si="45"/>
        <v>#VALUE!</v>
      </c>
      <c r="Y991" s="7" t="str">
        <f t="shared" si="46"/>
        <v>DC</v>
      </c>
      <c r="Z991" s="7">
        <f t="shared" si="47"/>
        <v>0</v>
      </c>
      <c r="AA991" s="7">
        <f t="shared" si="48"/>
        <v>0</v>
      </c>
      <c r="AB991" s="7">
        <f t="shared" si="49"/>
        <v>0</v>
      </c>
      <c r="AC991" s="7">
        <f t="shared" si="50"/>
        <v>0</v>
      </c>
      <c r="AD991" s="7">
        <f t="shared" si="51"/>
        <v>0</v>
      </c>
      <c r="AE991" s="8" cm="1">
        <f t="array" ref="AE991">IFERROR(_xlfn.XLOOKUP(H991,Sheet1!$G:$G,Sheet1!$F:$F),IFERROR(_xlfn.XLOOKUP(1,(--($X$2:$X$1074=X991))*(--ISNUMBER(MATCH($H$2:$H$1074,Sheet1!$G:$G,0))),_xlfn.XLOOKUP($H$2:$H$1074,Sheet1!$G:$G,Sheet1!$F:$F,"")),"NOT FOUND"))</f>
        <v>0</v>
      </c>
      <c r="AF991" s="9" t="str">
        <f t="shared" si="58"/>
        <v/>
      </c>
      <c r="AG991" s="10" t="str">
        <f t="shared" si="59"/>
        <v/>
      </c>
      <c r="AH991" s="8" t="str" cm="1">
        <f t="array" ref="AH991">IF(OR(J991="",AE991="",AE991="NOT FOUND"),"",IF(Y991="RP",_xlfn.LET(_xlpm.desc,_xlfn.XLOOKUP(1,(--(Sheet1!$F$2:$F$754=AE991))*(--ISNUMBER(FIND("-",Sheet1!$W$2:$W$754,FIND("-",Sheet1!$W$2:$W$754)+1))),Sheet1!$W$2:$W$754,""),IF(_xlpm.desc="","NOT FOUND",LEFT(_xlpm.desc,FIND("-",_xlpm.desc,FIND("-",_xlpm.desc)+1))&amp;AE991)),LEFT(J991,FIND("-",J991,FIND("-",J991)+1))&amp;AE991))</f>
        <v/>
      </c>
    </row>
    <row r="992" spans="1:34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X992" s="6" t="e">
        <f t="shared" si="45"/>
        <v>#VALUE!</v>
      </c>
      <c r="Y992" s="7" t="str">
        <f t="shared" si="46"/>
        <v>DC</v>
      </c>
      <c r="Z992" s="7">
        <f t="shared" si="47"/>
        <v>0</v>
      </c>
      <c r="AA992" s="7">
        <f t="shared" si="48"/>
        <v>0</v>
      </c>
      <c r="AB992" s="7">
        <f t="shared" si="49"/>
        <v>0</v>
      </c>
      <c r="AC992" s="7">
        <f t="shared" si="50"/>
        <v>0</v>
      </c>
      <c r="AD992" s="7">
        <f t="shared" si="51"/>
        <v>0</v>
      </c>
      <c r="AE992" s="8" cm="1">
        <f t="array" ref="AE992">IFERROR(_xlfn.XLOOKUP(H992,Sheet1!$G:$G,Sheet1!$F:$F),IFERROR(_xlfn.XLOOKUP(1,(--($X$2:$X$1074=X992))*(--ISNUMBER(MATCH($H$2:$H$1074,Sheet1!$G:$G,0))),_xlfn.XLOOKUP($H$2:$H$1074,Sheet1!$G:$G,Sheet1!$F:$F,"")),"NOT FOUND"))</f>
        <v>0</v>
      </c>
      <c r="AF992" s="9" t="str">
        <f t="shared" si="58"/>
        <v/>
      </c>
      <c r="AG992" s="10" t="str">
        <f t="shared" si="59"/>
        <v/>
      </c>
      <c r="AH992" s="8" t="str" cm="1">
        <f t="array" ref="AH992">IF(OR(J992="",AE992="",AE992="NOT FOUND"),"",IF(Y992="RP",_xlfn.LET(_xlpm.desc,_xlfn.XLOOKUP(1,(--(Sheet1!$F$2:$F$754=AE992))*(--ISNUMBER(FIND("-",Sheet1!$W$2:$W$754,FIND("-",Sheet1!$W$2:$W$754)+1))),Sheet1!$W$2:$W$754,""),IF(_xlpm.desc="","NOT FOUND",LEFT(_xlpm.desc,FIND("-",_xlpm.desc,FIND("-",_xlpm.desc)+1))&amp;AE992)),LEFT(J992,FIND("-",J992,FIND("-",J992)+1))&amp;AE992))</f>
        <v/>
      </c>
    </row>
    <row r="993" spans="1:34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X993" s="6" t="e">
        <f t="shared" si="45"/>
        <v>#VALUE!</v>
      </c>
      <c r="Y993" s="7" t="str">
        <f t="shared" si="46"/>
        <v>DC</v>
      </c>
      <c r="Z993" s="7">
        <f t="shared" si="47"/>
        <v>0</v>
      </c>
      <c r="AA993" s="7">
        <f t="shared" si="48"/>
        <v>0</v>
      </c>
      <c r="AB993" s="7">
        <f t="shared" si="49"/>
        <v>0</v>
      </c>
      <c r="AC993" s="7">
        <f t="shared" si="50"/>
        <v>0</v>
      </c>
      <c r="AD993" s="7">
        <f t="shared" si="51"/>
        <v>0</v>
      </c>
      <c r="AE993" s="8" cm="1">
        <f t="array" ref="AE993">IFERROR(_xlfn.XLOOKUP(H993,Sheet1!$G:$G,Sheet1!$F:$F),IFERROR(_xlfn.XLOOKUP(1,(--($X$2:$X$1074=X993))*(--ISNUMBER(MATCH($H$2:$H$1074,Sheet1!$G:$G,0))),_xlfn.XLOOKUP($H$2:$H$1074,Sheet1!$G:$G,Sheet1!$F:$F,"")),"NOT FOUND"))</f>
        <v>0</v>
      </c>
      <c r="AF993" s="9" t="str">
        <f t="shared" si="58"/>
        <v/>
      </c>
      <c r="AG993" s="10" t="str">
        <f t="shared" si="59"/>
        <v/>
      </c>
      <c r="AH993" s="8" t="str" cm="1">
        <f t="array" ref="AH993">IF(OR(J993="",AE993="",AE993="NOT FOUND"),"",IF(Y993="RP",_xlfn.LET(_xlpm.desc,_xlfn.XLOOKUP(1,(--(Sheet1!$F$2:$F$754=AE993))*(--ISNUMBER(FIND("-",Sheet1!$W$2:$W$754,FIND("-",Sheet1!$W$2:$W$754)+1))),Sheet1!$W$2:$W$754,""),IF(_xlpm.desc="","NOT FOUND",LEFT(_xlpm.desc,FIND("-",_xlpm.desc,FIND("-",_xlpm.desc)+1))&amp;AE993)),LEFT(J993,FIND("-",J993,FIND("-",J993)+1))&amp;AE993))</f>
        <v/>
      </c>
    </row>
    <row r="994" spans="1:34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X994" s="6" t="e">
        <f t="shared" si="45"/>
        <v>#VALUE!</v>
      </c>
      <c r="Y994" s="7" t="str">
        <f t="shared" si="46"/>
        <v>DC</v>
      </c>
      <c r="Z994" s="7">
        <f t="shared" si="47"/>
        <v>0</v>
      </c>
      <c r="AA994" s="7">
        <f t="shared" si="48"/>
        <v>0</v>
      </c>
      <c r="AB994" s="7">
        <f t="shared" si="49"/>
        <v>0</v>
      </c>
      <c r="AC994" s="7">
        <f t="shared" si="50"/>
        <v>0</v>
      </c>
      <c r="AD994" s="7">
        <f t="shared" si="51"/>
        <v>0</v>
      </c>
      <c r="AE994" s="8" cm="1">
        <f t="array" ref="AE994">IFERROR(_xlfn.XLOOKUP(H994,Sheet1!$G:$G,Sheet1!$F:$F),IFERROR(_xlfn.XLOOKUP(1,(--($X$2:$X$1074=X994))*(--ISNUMBER(MATCH($H$2:$H$1074,Sheet1!$G:$G,0))),_xlfn.XLOOKUP($H$2:$H$1074,Sheet1!$G:$G,Sheet1!$F:$F,"")),"NOT FOUND"))</f>
        <v>0</v>
      </c>
      <c r="AF994" s="9" t="str">
        <f t="shared" si="58"/>
        <v/>
      </c>
      <c r="AG994" s="10" t="str">
        <f t="shared" si="59"/>
        <v/>
      </c>
      <c r="AH994" s="8" t="str" cm="1">
        <f t="array" ref="AH994">IF(OR(J994="",AE994="",AE994="NOT FOUND"),"",IF(Y994="RP",_xlfn.LET(_xlpm.desc,_xlfn.XLOOKUP(1,(--(Sheet1!$F$2:$F$754=AE994))*(--ISNUMBER(FIND("-",Sheet1!$W$2:$W$754,FIND("-",Sheet1!$W$2:$W$754)+1))),Sheet1!$W$2:$W$754,""),IF(_xlpm.desc="","NOT FOUND",LEFT(_xlpm.desc,FIND("-",_xlpm.desc,FIND("-",_xlpm.desc)+1))&amp;AE994)),LEFT(J994,FIND("-",J994,FIND("-",J994)+1))&amp;AE994))</f>
        <v/>
      </c>
    </row>
    <row r="995" spans="1:34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X995" s="6" t="e">
        <f t="shared" si="45"/>
        <v>#VALUE!</v>
      </c>
      <c r="Y995" s="7" t="str">
        <f t="shared" si="46"/>
        <v>DC</v>
      </c>
      <c r="Z995" s="7">
        <f t="shared" si="47"/>
        <v>0</v>
      </c>
      <c r="AA995" s="7">
        <f t="shared" si="48"/>
        <v>0</v>
      </c>
      <c r="AB995" s="7">
        <f t="shared" si="49"/>
        <v>0</v>
      </c>
      <c r="AC995" s="7">
        <f t="shared" si="50"/>
        <v>0</v>
      </c>
      <c r="AD995" s="7">
        <f t="shared" si="51"/>
        <v>0</v>
      </c>
      <c r="AE995" s="8" cm="1">
        <f t="array" ref="AE995">IFERROR(_xlfn.XLOOKUP(H995,Sheet1!$G:$G,Sheet1!$F:$F),IFERROR(_xlfn.XLOOKUP(1,(--($X$2:$X$1074=X995))*(--ISNUMBER(MATCH($H$2:$H$1074,Sheet1!$G:$G,0))),_xlfn.XLOOKUP($H$2:$H$1074,Sheet1!$G:$G,Sheet1!$F:$F,"")),"NOT FOUND"))</f>
        <v>0</v>
      </c>
      <c r="AF995" s="9" t="str">
        <f t="shared" si="58"/>
        <v/>
      </c>
      <c r="AG995" s="10" t="str">
        <f t="shared" si="59"/>
        <v/>
      </c>
      <c r="AH995" s="8" t="str" cm="1">
        <f t="array" ref="AH995">IF(OR(J995="",AE995="",AE995="NOT FOUND"),"",IF(Y995="RP",_xlfn.LET(_xlpm.desc,_xlfn.XLOOKUP(1,(--(Sheet1!$F$2:$F$754=AE995))*(--ISNUMBER(FIND("-",Sheet1!$W$2:$W$754,FIND("-",Sheet1!$W$2:$W$754)+1))),Sheet1!$W$2:$W$754,""),IF(_xlpm.desc="","NOT FOUND",LEFT(_xlpm.desc,FIND("-",_xlpm.desc,FIND("-",_xlpm.desc)+1))&amp;AE995)),LEFT(J995,FIND("-",J995,FIND("-",J995)+1))&amp;AE995))</f>
        <v/>
      </c>
    </row>
    <row r="996" spans="1:34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X996" s="6" t="e">
        <f t="shared" si="45"/>
        <v>#VALUE!</v>
      </c>
      <c r="Y996" s="7" t="str">
        <f t="shared" si="46"/>
        <v>DC</v>
      </c>
      <c r="Z996" s="7">
        <f t="shared" si="47"/>
        <v>0</v>
      </c>
      <c r="AA996" s="7">
        <f t="shared" si="48"/>
        <v>0</v>
      </c>
      <c r="AB996" s="7">
        <f t="shared" si="49"/>
        <v>0</v>
      </c>
      <c r="AC996" s="7">
        <f t="shared" si="50"/>
        <v>0</v>
      </c>
      <c r="AD996" s="7">
        <f t="shared" si="51"/>
        <v>0</v>
      </c>
      <c r="AE996" s="8" cm="1">
        <f t="array" ref="AE996">IFERROR(_xlfn.XLOOKUP(H996,Sheet1!$G:$G,Sheet1!$F:$F),IFERROR(_xlfn.XLOOKUP(1,(--($X$2:$X$1074=X996))*(--ISNUMBER(MATCH($H$2:$H$1074,Sheet1!$G:$G,0))),_xlfn.XLOOKUP($H$2:$H$1074,Sheet1!$G:$G,Sheet1!$F:$F,"")),"NOT FOUND"))</f>
        <v>0</v>
      </c>
      <c r="AF996" s="9" t="str">
        <f t="shared" si="58"/>
        <v/>
      </c>
      <c r="AG996" s="10" t="str">
        <f t="shared" si="59"/>
        <v/>
      </c>
      <c r="AH996" s="8" t="str" cm="1">
        <f t="array" ref="AH996">IF(OR(J996="",AE996="",AE996="NOT FOUND"),"",IF(Y996="RP",_xlfn.LET(_xlpm.desc,_xlfn.XLOOKUP(1,(--(Sheet1!$F$2:$F$754=AE996))*(--ISNUMBER(FIND("-",Sheet1!$W$2:$W$754,FIND("-",Sheet1!$W$2:$W$754)+1))),Sheet1!$W$2:$W$754,""),IF(_xlpm.desc="","NOT FOUND",LEFT(_xlpm.desc,FIND("-",_xlpm.desc,FIND("-",_xlpm.desc)+1))&amp;AE996)),LEFT(J996,FIND("-",J996,FIND("-",J996)+1))&amp;AE996))</f>
        <v/>
      </c>
    </row>
    <row r="997" spans="1:34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X997" s="6" t="e">
        <f t="shared" si="45"/>
        <v>#VALUE!</v>
      </c>
      <c r="Y997" s="7" t="str">
        <f t="shared" si="46"/>
        <v>DC</v>
      </c>
      <c r="Z997" s="7">
        <f t="shared" si="47"/>
        <v>0</v>
      </c>
      <c r="AA997" s="7">
        <f t="shared" si="48"/>
        <v>0</v>
      </c>
      <c r="AB997" s="7">
        <f t="shared" si="49"/>
        <v>0</v>
      </c>
      <c r="AC997" s="7">
        <f t="shared" si="50"/>
        <v>0</v>
      </c>
      <c r="AD997" s="7">
        <f t="shared" si="51"/>
        <v>0</v>
      </c>
      <c r="AE997" s="8" cm="1">
        <f t="array" ref="AE997">IFERROR(_xlfn.XLOOKUP(H997,Sheet1!$G:$G,Sheet1!$F:$F),IFERROR(_xlfn.XLOOKUP(1,(--($X$2:$X$1074=X997))*(--ISNUMBER(MATCH($H$2:$H$1074,Sheet1!$G:$G,0))),_xlfn.XLOOKUP($H$2:$H$1074,Sheet1!$G:$G,Sheet1!$F:$F,"")),"NOT FOUND"))</f>
        <v>0</v>
      </c>
      <c r="AF997" s="9" t="str">
        <f t="shared" si="58"/>
        <v/>
      </c>
      <c r="AG997" s="10" t="str">
        <f t="shared" si="59"/>
        <v/>
      </c>
      <c r="AH997" s="8" t="str" cm="1">
        <f t="array" ref="AH997">IF(OR(J997="",AE997="",AE997="NOT FOUND"),"",IF(Y997="RP",_xlfn.LET(_xlpm.desc,_xlfn.XLOOKUP(1,(--(Sheet1!$F$2:$F$754=AE997))*(--ISNUMBER(FIND("-",Sheet1!$W$2:$W$754,FIND("-",Sheet1!$W$2:$W$754)+1))),Sheet1!$W$2:$W$754,""),IF(_xlpm.desc="","NOT FOUND",LEFT(_xlpm.desc,FIND("-",_xlpm.desc,FIND("-",_xlpm.desc)+1))&amp;AE997)),LEFT(J997,FIND("-",J997,FIND("-",J997)+1))&amp;AE997))</f>
        <v/>
      </c>
    </row>
    <row r="998" spans="1:34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X998" s="6" t="e">
        <f t="shared" si="45"/>
        <v>#VALUE!</v>
      </c>
      <c r="Y998" s="7" t="str">
        <f t="shared" si="46"/>
        <v>DC</v>
      </c>
      <c r="Z998" s="7">
        <f t="shared" si="47"/>
        <v>0</v>
      </c>
      <c r="AA998" s="7">
        <f t="shared" si="48"/>
        <v>0</v>
      </c>
      <c r="AB998" s="7">
        <f t="shared" si="49"/>
        <v>0</v>
      </c>
      <c r="AC998" s="7">
        <f t="shared" si="50"/>
        <v>0</v>
      </c>
      <c r="AD998" s="7">
        <f t="shared" si="51"/>
        <v>0</v>
      </c>
      <c r="AE998" s="8" cm="1">
        <f t="array" ref="AE998">IFERROR(_xlfn.XLOOKUP(H998,Sheet1!$G:$G,Sheet1!$F:$F),IFERROR(_xlfn.XLOOKUP(1,(--($X$2:$X$1074=X998))*(--ISNUMBER(MATCH($H$2:$H$1074,Sheet1!$G:$G,0))),_xlfn.XLOOKUP($H$2:$H$1074,Sheet1!$G:$G,Sheet1!$F:$F,"")),"NOT FOUND"))</f>
        <v>0</v>
      </c>
      <c r="AF998" s="9" t="str">
        <f t="shared" si="58"/>
        <v/>
      </c>
      <c r="AG998" s="10" t="str">
        <f t="shared" si="59"/>
        <v/>
      </c>
      <c r="AH998" s="8" t="str" cm="1">
        <f t="array" ref="AH998">IF(OR(J998="",AE998="",AE998="NOT FOUND"),"",IF(Y998="RP",_xlfn.LET(_xlpm.desc,_xlfn.XLOOKUP(1,(--(Sheet1!$F$2:$F$754=AE998))*(--ISNUMBER(FIND("-",Sheet1!$W$2:$W$754,FIND("-",Sheet1!$W$2:$W$754)+1))),Sheet1!$W$2:$W$754,""),IF(_xlpm.desc="","NOT FOUND",LEFT(_xlpm.desc,FIND("-",_xlpm.desc,FIND("-",_xlpm.desc)+1))&amp;AE998)),LEFT(J998,FIND("-",J998,FIND("-",J998)+1))&amp;AE998))</f>
        <v/>
      </c>
    </row>
    <row r="999" spans="1:34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X999" s="6" t="e">
        <f t="shared" si="45"/>
        <v>#VALUE!</v>
      </c>
      <c r="Y999" s="7" t="str">
        <f t="shared" si="46"/>
        <v>DC</v>
      </c>
      <c r="Z999" s="7">
        <f t="shared" si="47"/>
        <v>0</v>
      </c>
      <c r="AA999" s="7">
        <f t="shared" si="48"/>
        <v>0</v>
      </c>
      <c r="AB999" s="7">
        <f t="shared" si="49"/>
        <v>0</v>
      </c>
      <c r="AC999" s="7">
        <f t="shared" si="50"/>
        <v>0</v>
      </c>
      <c r="AD999" s="7">
        <f t="shared" si="51"/>
        <v>0</v>
      </c>
      <c r="AE999" s="8" cm="1">
        <f t="array" ref="AE999">IFERROR(_xlfn.XLOOKUP(H999,Sheet1!$G:$G,Sheet1!$F:$F),IFERROR(_xlfn.XLOOKUP(1,(--($X$2:$X$1074=X999))*(--ISNUMBER(MATCH($H$2:$H$1074,Sheet1!$G:$G,0))),_xlfn.XLOOKUP($H$2:$H$1074,Sheet1!$G:$G,Sheet1!$F:$F,"")),"NOT FOUND"))</f>
        <v>0</v>
      </c>
      <c r="AF999" s="9" t="str">
        <f t="shared" si="58"/>
        <v/>
      </c>
      <c r="AG999" s="10" t="str">
        <f t="shared" si="59"/>
        <v/>
      </c>
      <c r="AH999" s="8" t="str" cm="1">
        <f t="array" ref="AH999">IF(OR(J999="",AE999="",AE999="NOT FOUND"),"",IF(Y999="RP",_xlfn.LET(_xlpm.desc,_xlfn.XLOOKUP(1,(--(Sheet1!$F$2:$F$754=AE999))*(--ISNUMBER(FIND("-",Sheet1!$W$2:$W$754,FIND("-",Sheet1!$W$2:$W$754)+1))),Sheet1!$W$2:$W$754,""),IF(_xlpm.desc="","NOT FOUND",LEFT(_xlpm.desc,FIND("-",_xlpm.desc,FIND("-",_xlpm.desc)+1))&amp;AE999)),LEFT(J999,FIND("-",J999,FIND("-",J999)+1))&amp;AE999))</f>
        <v/>
      </c>
    </row>
    <row r="1000" spans="1:34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X1000" s="6" t="e">
        <f t="shared" si="45"/>
        <v>#VALUE!</v>
      </c>
      <c r="Y1000" s="7" t="str">
        <f t="shared" si="46"/>
        <v>DC</v>
      </c>
      <c r="Z1000" s="7">
        <f t="shared" si="47"/>
        <v>0</v>
      </c>
      <c r="AA1000" s="7">
        <f t="shared" si="48"/>
        <v>0</v>
      </c>
      <c r="AB1000" s="7">
        <f t="shared" si="49"/>
        <v>0</v>
      </c>
      <c r="AC1000" s="7">
        <f t="shared" si="50"/>
        <v>0</v>
      </c>
      <c r="AD1000" s="7">
        <f t="shared" si="51"/>
        <v>0</v>
      </c>
      <c r="AE1000" s="8" cm="1">
        <f t="array" ref="AE1000">IFERROR(_xlfn.XLOOKUP(H1000,Sheet1!$G:$G,Sheet1!$F:$F),IFERROR(_xlfn.XLOOKUP(1,(--($X$2:$X$1074=X1000))*(--ISNUMBER(MATCH($H$2:$H$1074,Sheet1!$G:$G,0))),_xlfn.XLOOKUP($H$2:$H$1074,Sheet1!$G:$G,Sheet1!$F:$F,"")),"NOT FOUND"))</f>
        <v>0</v>
      </c>
      <c r="AF1000" s="9" t="str">
        <f t="shared" si="58"/>
        <v/>
      </c>
      <c r="AG1000" s="10" t="str">
        <f t="shared" si="59"/>
        <v/>
      </c>
      <c r="AH1000" s="8" t="str" cm="1">
        <f t="array" ref="AH1000">IF(OR(J1000="",AE1000="",AE1000="NOT FOUND"),"",IF(Y1000="RP",_xlfn.LET(_xlpm.desc,_xlfn.XLOOKUP(1,(--(Sheet1!$F$2:$F$754=AE1000))*(--ISNUMBER(FIND("-",Sheet1!$W$2:$W$754,FIND("-",Sheet1!$W$2:$W$754)+1))),Sheet1!$W$2:$W$754,""),IF(_xlpm.desc="","NOT FOUND",LEFT(_xlpm.desc,FIND("-",_xlpm.desc,FIND("-",_xlpm.desc)+1))&amp;AE1000)),LEFT(J1000,FIND("-",J1000,FIND("-",J1000)+1))&amp;AE1000))</f>
        <v/>
      </c>
    </row>
    <row r="1001" spans="1:34" ht="15.75" customHeight="1" x14ac:dyDescent="0.2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X1001" s="6" t="e">
        <f t="shared" si="45"/>
        <v>#VALUE!</v>
      </c>
      <c r="Y1001" s="7" t="str">
        <f t="shared" si="46"/>
        <v>DC</v>
      </c>
      <c r="Z1001" s="7">
        <f t="shared" si="47"/>
        <v>0</v>
      </c>
      <c r="AA1001" s="7">
        <f t="shared" si="48"/>
        <v>0</v>
      </c>
      <c r="AB1001" s="7">
        <f t="shared" si="49"/>
        <v>0</v>
      </c>
      <c r="AC1001" s="7">
        <f t="shared" si="50"/>
        <v>0</v>
      </c>
      <c r="AD1001" s="7">
        <f t="shared" si="51"/>
        <v>0</v>
      </c>
      <c r="AE1001" s="8" cm="1">
        <f t="array" ref="AE1001">IFERROR(_xlfn.XLOOKUP(H1001,Sheet1!$G:$G,Sheet1!$F:$F),IFERROR(_xlfn.XLOOKUP(1,(--($X$2:$X$1074=X1001))*(--ISNUMBER(MATCH($H$2:$H$1074,Sheet1!$G:$G,0))),_xlfn.XLOOKUP($H$2:$H$1074,Sheet1!$G:$G,Sheet1!$F:$F,"")),"NOT FOUND"))</f>
        <v>0</v>
      </c>
      <c r="AF1001" s="9" t="str">
        <f t="shared" si="58"/>
        <v/>
      </c>
      <c r="AG1001" s="10" t="str">
        <f t="shared" si="59"/>
        <v/>
      </c>
      <c r="AH1001" s="8" t="str" cm="1">
        <f t="array" ref="AH1001">IF(OR(J1001="",AE1001="",AE1001="NOT FOUND"),"",IF(Y1001="RP",_xlfn.LET(_xlpm.desc,_xlfn.XLOOKUP(1,(--(Sheet1!$F$2:$F$754=AE1001))*(--ISNUMBER(FIND("-",Sheet1!$W$2:$W$754,FIND("-",Sheet1!$W$2:$W$754)+1))),Sheet1!$W$2:$W$754,""),IF(_xlpm.desc="","NOT FOUND",LEFT(_xlpm.desc,FIND("-",_xlpm.desc,FIND("-",_xlpm.desc)+1))&amp;AE1001)),LEFT(J1001,FIND("-",J1001,FIND("-",J1001)+1))&amp;AE1001))</f>
        <v/>
      </c>
    </row>
    <row r="1002" spans="1:34" ht="15.75" customHeight="1" x14ac:dyDescent="0.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X1002" s="6" t="e">
        <f t="shared" si="45"/>
        <v>#VALUE!</v>
      </c>
      <c r="Y1002" s="7" t="str">
        <f t="shared" si="46"/>
        <v>DC</v>
      </c>
      <c r="Z1002" s="7">
        <f t="shared" si="47"/>
        <v>0</v>
      </c>
      <c r="AA1002" s="7">
        <f t="shared" si="48"/>
        <v>0</v>
      </c>
      <c r="AB1002" s="7">
        <f t="shared" si="49"/>
        <v>0</v>
      </c>
      <c r="AC1002" s="7">
        <f t="shared" si="50"/>
        <v>0</v>
      </c>
      <c r="AD1002" s="7">
        <f t="shared" si="51"/>
        <v>0</v>
      </c>
      <c r="AE1002" s="8" cm="1">
        <f t="array" ref="AE1002">IFERROR(_xlfn.XLOOKUP(H1002,Sheet1!$G:$G,Sheet1!$F:$F),IFERROR(_xlfn.XLOOKUP(1,(--($X$2:$X$1074=X1002))*(--ISNUMBER(MATCH($H$2:$H$1074,Sheet1!$G:$G,0))),_xlfn.XLOOKUP($H$2:$H$1074,Sheet1!$G:$G,Sheet1!$F:$F,"")),"NOT FOUND"))</f>
        <v>0</v>
      </c>
      <c r="AF1002" s="9" t="str">
        <f t="shared" si="58"/>
        <v/>
      </c>
      <c r="AG1002" s="10" t="str">
        <f t="shared" si="59"/>
        <v/>
      </c>
      <c r="AH1002" s="8" t="str" cm="1">
        <f t="array" ref="AH1002">IF(OR(J1002="",AE1002="",AE1002="NOT FOUND"),"",IF(Y1002="RP",_xlfn.LET(_xlpm.desc,_xlfn.XLOOKUP(1,(--(Sheet1!$F$2:$F$754=AE1002))*(--ISNUMBER(FIND("-",Sheet1!$W$2:$W$754,FIND("-",Sheet1!$W$2:$W$754)+1))),Sheet1!$W$2:$W$754,""),IF(_xlpm.desc="","NOT FOUND",LEFT(_xlpm.desc,FIND("-",_xlpm.desc,FIND("-",_xlpm.desc)+1))&amp;AE1002)),LEFT(J1002,FIND("-",J1002,FIND("-",J1002)+1))&amp;AE1002))</f>
        <v/>
      </c>
    </row>
    <row r="1003" spans="1:34" ht="15.75" customHeight="1" x14ac:dyDescent="0.2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X1003" s="6" t="e">
        <f t="shared" si="45"/>
        <v>#VALUE!</v>
      </c>
      <c r="Y1003" s="7" t="str">
        <f t="shared" si="46"/>
        <v>DC</v>
      </c>
      <c r="Z1003" s="7">
        <f t="shared" si="47"/>
        <v>0</v>
      </c>
      <c r="AA1003" s="7">
        <f t="shared" si="48"/>
        <v>0</v>
      </c>
      <c r="AB1003" s="7">
        <f t="shared" si="49"/>
        <v>0</v>
      </c>
      <c r="AC1003" s="7">
        <f t="shared" si="50"/>
        <v>0</v>
      </c>
      <c r="AD1003" s="7">
        <f t="shared" si="51"/>
        <v>0</v>
      </c>
      <c r="AE1003" s="8" cm="1">
        <f t="array" ref="AE1003">IFERROR(_xlfn.XLOOKUP(H1003,Sheet1!$G:$G,Sheet1!$F:$F),IFERROR(_xlfn.XLOOKUP(1,(--($X$2:$X$1074=X1003))*(--ISNUMBER(MATCH($H$2:$H$1074,Sheet1!$G:$G,0))),_xlfn.XLOOKUP($H$2:$H$1074,Sheet1!$G:$G,Sheet1!$F:$F,"")),"NOT FOUND"))</f>
        <v>0</v>
      </c>
      <c r="AF1003" s="9" t="str">
        <f t="shared" si="58"/>
        <v/>
      </c>
      <c r="AG1003" s="10" t="str">
        <f t="shared" si="59"/>
        <v/>
      </c>
      <c r="AH1003" s="8" t="str" cm="1">
        <f t="array" ref="AH1003">IF(OR(J1003="",AE1003="",AE1003="NOT FOUND"),"",IF(Y1003="RP",_xlfn.LET(_xlpm.desc,_xlfn.XLOOKUP(1,(--(Sheet1!$F$2:$F$754=AE1003))*(--ISNUMBER(FIND("-",Sheet1!$W$2:$W$754,FIND("-",Sheet1!$W$2:$W$754)+1))),Sheet1!$W$2:$W$754,""),IF(_xlpm.desc="","NOT FOUND",LEFT(_xlpm.desc,FIND("-",_xlpm.desc,FIND("-",_xlpm.desc)+1))&amp;AE1003)),LEFT(J1003,FIND("-",J1003,FIND("-",J1003)+1))&amp;AE1003))</f>
        <v/>
      </c>
    </row>
    <row r="1004" spans="1:34" ht="15.75" customHeight="1" x14ac:dyDescent="0.2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X1004" s="6" t="e">
        <f t="shared" si="45"/>
        <v>#VALUE!</v>
      </c>
      <c r="Y1004" s="7" t="str">
        <f t="shared" si="46"/>
        <v>DC</v>
      </c>
      <c r="Z1004" s="7">
        <f t="shared" si="47"/>
        <v>0</v>
      </c>
      <c r="AA1004" s="7">
        <f t="shared" si="48"/>
        <v>0</v>
      </c>
      <c r="AB1004" s="7">
        <f t="shared" si="49"/>
        <v>0</v>
      </c>
      <c r="AC1004" s="7">
        <f t="shared" si="50"/>
        <v>0</v>
      </c>
      <c r="AD1004" s="7">
        <f t="shared" si="51"/>
        <v>0</v>
      </c>
      <c r="AE1004" s="8" cm="1">
        <f t="array" ref="AE1004">IFERROR(_xlfn.XLOOKUP(H1004,Sheet1!$G:$G,Sheet1!$F:$F),IFERROR(_xlfn.XLOOKUP(1,(--($X$2:$X$1074=X1004))*(--ISNUMBER(MATCH($H$2:$H$1074,Sheet1!$G:$G,0))),_xlfn.XLOOKUP($H$2:$H$1074,Sheet1!$G:$G,Sheet1!$F:$F,"")),"NOT FOUND"))</f>
        <v>0</v>
      </c>
      <c r="AF1004" s="9" t="str">
        <f t="shared" si="58"/>
        <v/>
      </c>
      <c r="AG1004" s="10" t="str">
        <f t="shared" si="59"/>
        <v/>
      </c>
      <c r="AH1004" s="8" t="str" cm="1">
        <f t="array" ref="AH1004">IF(OR(J1004="",AE1004="",AE1004="NOT FOUND"),"",IF(Y1004="RP",_xlfn.LET(_xlpm.desc,_xlfn.XLOOKUP(1,(--(Sheet1!$F$2:$F$754=AE1004))*(--ISNUMBER(FIND("-",Sheet1!$W$2:$W$754,FIND("-",Sheet1!$W$2:$W$754)+1))),Sheet1!$W$2:$W$754,""),IF(_xlpm.desc="","NOT FOUND",LEFT(_xlpm.desc,FIND("-",_xlpm.desc,FIND("-",_xlpm.desc)+1))&amp;AE1004)),LEFT(J1004,FIND("-",J1004,FIND("-",J1004)+1))&amp;AE1004))</f>
        <v/>
      </c>
    </row>
    <row r="1005" spans="1:34" ht="15.75" customHeight="1" x14ac:dyDescent="0.2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X1005" s="6" t="e">
        <f t="shared" si="45"/>
        <v>#VALUE!</v>
      </c>
      <c r="Y1005" s="7" t="str">
        <f t="shared" si="46"/>
        <v>DC</v>
      </c>
      <c r="Z1005" s="7">
        <f t="shared" si="47"/>
        <v>0</v>
      </c>
      <c r="AA1005" s="7">
        <f t="shared" si="48"/>
        <v>0</v>
      </c>
      <c r="AB1005" s="7">
        <f t="shared" si="49"/>
        <v>0</v>
      </c>
      <c r="AC1005" s="7">
        <f t="shared" si="50"/>
        <v>0</v>
      </c>
      <c r="AD1005" s="7">
        <f t="shared" si="51"/>
        <v>0</v>
      </c>
      <c r="AE1005" s="8" cm="1">
        <f t="array" ref="AE1005">IFERROR(_xlfn.XLOOKUP(H1005,Sheet1!$G:$G,Sheet1!$F:$F),IFERROR(_xlfn.XLOOKUP(1,(--($X$2:$X$1074=X1005))*(--ISNUMBER(MATCH($H$2:$H$1074,Sheet1!$G:$G,0))),_xlfn.XLOOKUP($H$2:$H$1074,Sheet1!$G:$G,Sheet1!$F:$F,"")),"NOT FOUND"))</f>
        <v>0</v>
      </c>
      <c r="AF1005" s="9" t="str">
        <f t="shared" si="58"/>
        <v/>
      </c>
      <c r="AG1005" s="10" t="str">
        <f t="shared" si="59"/>
        <v/>
      </c>
      <c r="AH1005" s="8" t="str" cm="1">
        <f t="array" ref="AH1005">IF(OR(J1005="",AE1005="",AE1005="NOT FOUND"),"",IF(Y1005="RP",_xlfn.LET(_xlpm.desc,_xlfn.XLOOKUP(1,(--(Sheet1!$F$2:$F$754=AE1005))*(--ISNUMBER(FIND("-",Sheet1!$W$2:$W$754,FIND("-",Sheet1!$W$2:$W$754)+1))),Sheet1!$W$2:$W$754,""),IF(_xlpm.desc="","NOT FOUND",LEFT(_xlpm.desc,FIND("-",_xlpm.desc,FIND("-",_xlpm.desc)+1))&amp;AE1005)),LEFT(J1005,FIND("-",J1005,FIND("-",J1005)+1))&amp;AE1005))</f>
        <v/>
      </c>
    </row>
    <row r="1006" spans="1:34" ht="15.75" customHeight="1" x14ac:dyDescent="0.2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X1006" s="6" t="e">
        <f t="shared" si="45"/>
        <v>#VALUE!</v>
      </c>
      <c r="Y1006" s="7" t="str">
        <f t="shared" si="46"/>
        <v>DC</v>
      </c>
      <c r="Z1006" s="7">
        <f t="shared" si="47"/>
        <v>0</v>
      </c>
      <c r="AA1006" s="7">
        <f t="shared" si="48"/>
        <v>0</v>
      </c>
      <c r="AB1006" s="7">
        <f t="shared" si="49"/>
        <v>0</v>
      </c>
      <c r="AC1006" s="7">
        <f t="shared" si="50"/>
        <v>0</v>
      </c>
      <c r="AD1006" s="7">
        <f t="shared" si="51"/>
        <v>0</v>
      </c>
      <c r="AE1006" s="8" cm="1">
        <f t="array" ref="AE1006">IFERROR(_xlfn.XLOOKUP(H1006,Sheet1!$G:$G,Sheet1!$F:$F),IFERROR(_xlfn.XLOOKUP(1,(--($X$2:$X$1074=X1006))*(--ISNUMBER(MATCH($H$2:$H$1074,Sheet1!$G:$G,0))),_xlfn.XLOOKUP($H$2:$H$1074,Sheet1!$G:$G,Sheet1!$F:$F,"")),"NOT FOUND"))</f>
        <v>0</v>
      </c>
      <c r="AF1006" s="9" t="str">
        <f t="shared" si="58"/>
        <v/>
      </c>
      <c r="AG1006" s="10" t="str">
        <f t="shared" si="59"/>
        <v/>
      </c>
      <c r="AH1006" s="8" t="str" cm="1">
        <f t="array" ref="AH1006">IF(OR(J1006="",AE1006="",AE1006="NOT FOUND"),"",IF(Y1006="RP",_xlfn.LET(_xlpm.desc,_xlfn.XLOOKUP(1,(--(Sheet1!$F$2:$F$754=AE1006))*(--ISNUMBER(FIND("-",Sheet1!$W$2:$W$754,FIND("-",Sheet1!$W$2:$W$754)+1))),Sheet1!$W$2:$W$754,""),IF(_xlpm.desc="","NOT FOUND",LEFT(_xlpm.desc,FIND("-",_xlpm.desc,FIND("-",_xlpm.desc)+1))&amp;AE1006)),LEFT(J1006,FIND("-",J1006,FIND("-",J1006)+1))&amp;AE1006))</f>
        <v/>
      </c>
    </row>
    <row r="1007" spans="1:34" ht="15.75" customHeight="1" x14ac:dyDescent="0.2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X1007" s="6" t="e">
        <f t="shared" si="45"/>
        <v>#VALUE!</v>
      </c>
      <c r="Y1007" s="7" t="str">
        <f t="shared" si="46"/>
        <v>DC</v>
      </c>
      <c r="Z1007" s="7">
        <f t="shared" si="47"/>
        <v>0</v>
      </c>
      <c r="AA1007" s="7">
        <f t="shared" si="48"/>
        <v>0</v>
      </c>
      <c r="AB1007" s="7">
        <f t="shared" si="49"/>
        <v>0</v>
      </c>
      <c r="AC1007" s="7">
        <f t="shared" si="50"/>
        <v>0</v>
      </c>
      <c r="AD1007" s="7">
        <f t="shared" si="51"/>
        <v>0</v>
      </c>
      <c r="AE1007" s="8" cm="1">
        <f t="array" ref="AE1007">IFERROR(_xlfn.XLOOKUP(H1007,Sheet1!$G:$G,Sheet1!$F:$F),IFERROR(_xlfn.XLOOKUP(1,(--($X$2:$X$1074=X1007))*(--ISNUMBER(MATCH($H$2:$H$1074,Sheet1!$G:$G,0))),_xlfn.XLOOKUP($H$2:$H$1074,Sheet1!$G:$G,Sheet1!$F:$F,"")),"NOT FOUND"))</f>
        <v>0</v>
      </c>
      <c r="AF1007" s="9" t="str">
        <f t="shared" si="58"/>
        <v/>
      </c>
      <c r="AG1007" s="10" t="str">
        <f t="shared" si="59"/>
        <v/>
      </c>
      <c r="AH1007" s="8" t="str" cm="1">
        <f t="array" ref="AH1007">IF(OR(J1007="",AE1007="",AE1007="NOT FOUND"),"",IF(Y1007="RP",_xlfn.LET(_xlpm.desc,_xlfn.XLOOKUP(1,(--(Sheet1!$F$2:$F$754=AE1007))*(--ISNUMBER(FIND("-",Sheet1!$W$2:$W$754,FIND("-",Sheet1!$W$2:$W$754)+1))),Sheet1!$W$2:$W$754,""),IF(_xlpm.desc="","NOT FOUND",LEFT(_xlpm.desc,FIND("-",_xlpm.desc,FIND("-",_xlpm.desc)+1))&amp;AE1007)),LEFT(J1007,FIND("-",J1007,FIND("-",J1007)+1))&amp;AE1007))</f>
        <v/>
      </c>
    </row>
    <row r="1008" spans="1:34" ht="15.75" customHeight="1" x14ac:dyDescent="0.2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X1008" s="6" t="e">
        <f t="shared" si="45"/>
        <v>#VALUE!</v>
      </c>
      <c r="Y1008" s="7" t="str">
        <f t="shared" si="46"/>
        <v>DC</v>
      </c>
      <c r="Z1008" s="7">
        <f t="shared" si="47"/>
        <v>0</v>
      </c>
      <c r="AA1008" s="7">
        <f t="shared" si="48"/>
        <v>0</v>
      </c>
      <c r="AB1008" s="7">
        <f t="shared" si="49"/>
        <v>0</v>
      </c>
      <c r="AC1008" s="7">
        <f t="shared" si="50"/>
        <v>0</v>
      </c>
      <c r="AD1008" s="7">
        <f t="shared" si="51"/>
        <v>0</v>
      </c>
      <c r="AE1008" s="8" cm="1">
        <f t="array" ref="AE1008">IFERROR(_xlfn.XLOOKUP(H1008,Sheet1!$G:$G,Sheet1!$F:$F),IFERROR(_xlfn.XLOOKUP(1,(--($X$2:$X$1074=X1008))*(--ISNUMBER(MATCH($H$2:$H$1074,Sheet1!$G:$G,0))),_xlfn.XLOOKUP($H$2:$H$1074,Sheet1!$G:$G,Sheet1!$F:$F,"")),"NOT FOUND"))</f>
        <v>0</v>
      </c>
      <c r="AF1008" s="9" t="str">
        <f t="shared" si="58"/>
        <v/>
      </c>
      <c r="AG1008" s="10" t="str">
        <f t="shared" si="59"/>
        <v/>
      </c>
      <c r="AH1008" s="8" t="str" cm="1">
        <f t="array" ref="AH1008">IF(OR(J1008="",AE1008="",AE1008="NOT FOUND"),"",IF(Y1008="RP",_xlfn.LET(_xlpm.desc,_xlfn.XLOOKUP(1,(--(Sheet1!$F$2:$F$754=AE1008))*(--ISNUMBER(FIND("-",Sheet1!$W$2:$W$754,FIND("-",Sheet1!$W$2:$W$754)+1))),Sheet1!$W$2:$W$754,""),IF(_xlpm.desc="","NOT FOUND",LEFT(_xlpm.desc,FIND("-",_xlpm.desc,FIND("-",_xlpm.desc)+1))&amp;AE1008)),LEFT(J1008,FIND("-",J1008,FIND("-",J1008)+1))&amp;AE1008))</f>
        <v/>
      </c>
    </row>
    <row r="1009" spans="1:34" ht="15.75" customHeight="1" x14ac:dyDescent="0.2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X1009" s="6" t="e">
        <f t="shared" si="45"/>
        <v>#VALUE!</v>
      </c>
      <c r="Y1009" s="7" t="str">
        <f t="shared" si="46"/>
        <v>DC</v>
      </c>
      <c r="Z1009" s="7">
        <f t="shared" si="47"/>
        <v>0</v>
      </c>
      <c r="AA1009" s="7">
        <f t="shared" si="48"/>
        <v>0</v>
      </c>
      <c r="AB1009" s="7">
        <f t="shared" si="49"/>
        <v>0</v>
      </c>
      <c r="AC1009" s="7">
        <f t="shared" si="50"/>
        <v>0</v>
      </c>
      <c r="AD1009" s="7">
        <f t="shared" si="51"/>
        <v>0</v>
      </c>
      <c r="AE1009" s="8" cm="1">
        <f t="array" ref="AE1009">IFERROR(_xlfn.XLOOKUP(H1009,Sheet1!$G:$G,Sheet1!$F:$F),IFERROR(_xlfn.XLOOKUP(1,(--($X$2:$X$1074=X1009))*(--ISNUMBER(MATCH($H$2:$H$1074,Sheet1!$G:$G,0))),_xlfn.XLOOKUP($H$2:$H$1074,Sheet1!$G:$G,Sheet1!$F:$F,"")),"NOT FOUND"))</f>
        <v>0</v>
      </c>
      <c r="AF1009" s="9" t="str">
        <f t="shared" si="58"/>
        <v/>
      </c>
      <c r="AG1009" s="10" t="str">
        <f t="shared" si="59"/>
        <v/>
      </c>
      <c r="AH1009" s="8" t="str" cm="1">
        <f t="array" ref="AH1009">IF(OR(J1009="",AE1009="",AE1009="NOT FOUND"),"",IF(Y1009="RP",_xlfn.LET(_xlpm.desc,_xlfn.XLOOKUP(1,(--(Sheet1!$F$2:$F$754=AE1009))*(--ISNUMBER(FIND("-",Sheet1!$W$2:$W$754,FIND("-",Sheet1!$W$2:$W$754)+1))),Sheet1!$W$2:$W$754,""),IF(_xlpm.desc="","NOT FOUND",LEFT(_xlpm.desc,FIND("-",_xlpm.desc,FIND("-",_xlpm.desc)+1))&amp;AE1009)),LEFT(J1009,FIND("-",J1009,FIND("-",J1009)+1))&amp;AE1009))</f>
        <v/>
      </c>
    </row>
    <row r="1010" spans="1:34" ht="15.75" customHeight="1" x14ac:dyDescent="0.2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X1010" s="6" t="e">
        <f t="shared" si="45"/>
        <v>#VALUE!</v>
      </c>
      <c r="Y1010" s="7" t="str">
        <f t="shared" si="46"/>
        <v>DC</v>
      </c>
      <c r="Z1010" s="7">
        <f t="shared" si="47"/>
        <v>0</v>
      </c>
      <c r="AA1010" s="7">
        <f t="shared" si="48"/>
        <v>0</v>
      </c>
      <c r="AB1010" s="7">
        <f t="shared" si="49"/>
        <v>0</v>
      </c>
      <c r="AC1010" s="7">
        <f t="shared" si="50"/>
        <v>0</v>
      </c>
      <c r="AD1010" s="7">
        <f t="shared" si="51"/>
        <v>0</v>
      </c>
      <c r="AE1010" s="8" cm="1">
        <f t="array" ref="AE1010">IFERROR(_xlfn.XLOOKUP(H1010,Sheet1!$G:$G,Sheet1!$F:$F),IFERROR(_xlfn.XLOOKUP(1,(--($X$2:$X$1074=X1010))*(--ISNUMBER(MATCH($H$2:$H$1074,Sheet1!$G:$G,0))),_xlfn.XLOOKUP($H$2:$H$1074,Sheet1!$G:$G,Sheet1!$F:$F,"")),"NOT FOUND"))</f>
        <v>0</v>
      </c>
      <c r="AF1010" s="9" t="str">
        <f t="shared" si="58"/>
        <v/>
      </c>
      <c r="AG1010" s="10" t="str">
        <f t="shared" si="59"/>
        <v/>
      </c>
      <c r="AH1010" s="8" t="str" cm="1">
        <f t="array" ref="AH1010">IF(OR(J1010="",AE1010="",AE1010="NOT FOUND"),"",IF(Y1010="RP",_xlfn.LET(_xlpm.desc,_xlfn.XLOOKUP(1,(--(Sheet1!$F$2:$F$754=AE1010))*(--ISNUMBER(FIND("-",Sheet1!$W$2:$W$754,FIND("-",Sheet1!$W$2:$W$754)+1))),Sheet1!$W$2:$W$754,""),IF(_xlpm.desc="","NOT FOUND",LEFT(_xlpm.desc,FIND("-",_xlpm.desc,FIND("-",_xlpm.desc)+1))&amp;AE1010)),LEFT(J1010,FIND("-",J1010,FIND("-",J1010)+1))&amp;AE1010))</f>
        <v/>
      </c>
    </row>
    <row r="1011" spans="1:34" ht="15.75" customHeight="1" x14ac:dyDescent="0.2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X1011" s="6" t="e">
        <f t="shared" si="45"/>
        <v>#VALUE!</v>
      </c>
      <c r="Y1011" s="7" t="str">
        <f t="shared" si="46"/>
        <v>DC</v>
      </c>
      <c r="Z1011" s="7">
        <f t="shared" si="47"/>
        <v>0</v>
      </c>
      <c r="AA1011" s="7">
        <f t="shared" si="48"/>
        <v>0</v>
      </c>
      <c r="AB1011" s="7">
        <f t="shared" si="49"/>
        <v>0</v>
      </c>
      <c r="AC1011" s="7">
        <f t="shared" si="50"/>
        <v>0</v>
      </c>
      <c r="AD1011" s="7">
        <f t="shared" si="51"/>
        <v>0</v>
      </c>
      <c r="AE1011" s="8" cm="1">
        <f t="array" ref="AE1011">IFERROR(_xlfn.XLOOKUP(H1011,Sheet1!$G:$G,Sheet1!$F:$F),IFERROR(_xlfn.XLOOKUP(1,(--($X$2:$X$1074=X1011))*(--ISNUMBER(MATCH($H$2:$H$1074,Sheet1!$G:$G,0))),_xlfn.XLOOKUP($H$2:$H$1074,Sheet1!$G:$G,Sheet1!$F:$F,"")),"NOT FOUND"))</f>
        <v>0</v>
      </c>
      <c r="AF1011" s="9" t="str">
        <f t="shared" si="58"/>
        <v/>
      </c>
      <c r="AG1011" s="10" t="str">
        <f t="shared" si="59"/>
        <v/>
      </c>
      <c r="AH1011" s="8" t="str" cm="1">
        <f t="array" ref="AH1011">IF(OR(J1011="",AE1011="",AE1011="NOT FOUND"),"",IF(Y1011="RP",_xlfn.LET(_xlpm.desc,_xlfn.XLOOKUP(1,(--(Sheet1!$F$2:$F$754=AE1011))*(--ISNUMBER(FIND("-",Sheet1!$W$2:$W$754,FIND("-",Sheet1!$W$2:$W$754)+1))),Sheet1!$W$2:$W$754,""),IF(_xlpm.desc="","NOT FOUND",LEFT(_xlpm.desc,FIND("-",_xlpm.desc,FIND("-",_xlpm.desc)+1))&amp;AE1011)),LEFT(J1011,FIND("-",J1011,FIND("-",J1011)+1))&amp;AE1011))</f>
        <v/>
      </c>
    </row>
    <row r="1012" spans="1:34" ht="15.75" customHeight="1" x14ac:dyDescent="0.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X1012" s="6" t="e">
        <f t="shared" si="45"/>
        <v>#VALUE!</v>
      </c>
      <c r="Y1012" s="7" t="str">
        <f t="shared" si="46"/>
        <v>DC</v>
      </c>
      <c r="Z1012" s="7">
        <f t="shared" si="47"/>
        <v>0</v>
      </c>
      <c r="AA1012" s="7">
        <f t="shared" si="48"/>
        <v>0</v>
      </c>
      <c r="AB1012" s="7">
        <f t="shared" si="49"/>
        <v>0</v>
      </c>
      <c r="AC1012" s="7">
        <f t="shared" si="50"/>
        <v>0</v>
      </c>
      <c r="AD1012" s="7">
        <f t="shared" si="51"/>
        <v>0</v>
      </c>
      <c r="AE1012" s="8" cm="1">
        <f t="array" ref="AE1012">IFERROR(_xlfn.XLOOKUP(H1012,Sheet1!$G:$G,Sheet1!$F:$F),IFERROR(_xlfn.XLOOKUP(1,(--($X$2:$X$1074=X1012))*(--ISNUMBER(MATCH($H$2:$H$1074,Sheet1!$G:$G,0))),_xlfn.XLOOKUP($H$2:$H$1074,Sheet1!$G:$G,Sheet1!$F:$F,"")),"NOT FOUND"))</f>
        <v>0</v>
      </c>
      <c r="AF1012" s="9" t="str">
        <f t="shared" si="58"/>
        <v/>
      </c>
      <c r="AG1012" s="10" t="str">
        <f t="shared" si="59"/>
        <v/>
      </c>
      <c r="AH1012" s="8" t="str" cm="1">
        <f t="array" ref="AH1012">IF(OR(J1012="",AE1012="",AE1012="NOT FOUND"),"",IF(Y1012="RP",_xlfn.LET(_xlpm.desc,_xlfn.XLOOKUP(1,(--(Sheet1!$F$2:$F$754=AE1012))*(--ISNUMBER(FIND("-",Sheet1!$W$2:$W$754,FIND("-",Sheet1!$W$2:$W$754)+1))),Sheet1!$W$2:$W$754,""),IF(_xlpm.desc="","NOT FOUND",LEFT(_xlpm.desc,FIND("-",_xlpm.desc,FIND("-",_xlpm.desc)+1))&amp;AE1012)),LEFT(J1012,FIND("-",J1012,FIND("-",J1012)+1))&amp;AE1012))</f>
        <v/>
      </c>
    </row>
    <row r="1013" spans="1:34" ht="15.75" customHeight="1" x14ac:dyDescent="0.2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X1013" s="6" t="e">
        <f t="shared" si="45"/>
        <v>#VALUE!</v>
      </c>
      <c r="Y1013" s="7" t="str">
        <f t="shared" si="46"/>
        <v>DC</v>
      </c>
      <c r="Z1013" s="7">
        <f t="shared" si="47"/>
        <v>0</v>
      </c>
      <c r="AA1013" s="7">
        <f t="shared" si="48"/>
        <v>0</v>
      </c>
      <c r="AB1013" s="7">
        <f t="shared" si="49"/>
        <v>0</v>
      </c>
      <c r="AC1013" s="7">
        <f t="shared" si="50"/>
        <v>0</v>
      </c>
      <c r="AD1013" s="7">
        <f t="shared" si="51"/>
        <v>0</v>
      </c>
      <c r="AE1013" s="8" cm="1">
        <f t="array" ref="AE1013">IFERROR(_xlfn.XLOOKUP(H1013,Sheet1!$G:$G,Sheet1!$F:$F),IFERROR(_xlfn.XLOOKUP(1,(--($X$2:$X$1074=X1013))*(--ISNUMBER(MATCH($H$2:$H$1074,Sheet1!$G:$G,0))),_xlfn.XLOOKUP($H$2:$H$1074,Sheet1!$G:$G,Sheet1!$F:$F,"")),"NOT FOUND"))</f>
        <v>0</v>
      </c>
      <c r="AF1013" s="9" t="str">
        <f t="shared" si="58"/>
        <v/>
      </c>
      <c r="AG1013" s="10" t="str">
        <f t="shared" si="59"/>
        <v/>
      </c>
      <c r="AH1013" s="8" t="str" cm="1">
        <f t="array" ref="AH1013">IF(OR(J1013="",AE1013="",AE1013="NOT FOUND"),"",IF(Y1013="RP",_xlfn.LET(_xlpm.desc,_xlfn.XLOOKUP(1,(--(Sheet1!$F$2:$F$754=AE1013))*(--ISNUMBER(FIND("-",Sheet1!$W$2:$W$754,FIND("-",Sheet1!$W$2:$W$754)+1))),Sheet1!$W$2:$W$754,""),IF(_xlpm.desc="","NOT FOUND",LEFT(_xlpm.desc,FIND("-",_xlpm.desc,FIND("-",_xlpm.desc)+1))&amp;AE1013)),LEFT(J1013,FIND("-",J1013,FIND("-",J1013)+1))&amp;AE1013))</f>
        <v/>
      </c>
    </row>
    <row r="1014" spans="1:34" ht="15.75" customHeight="1" x14ac:dyDescent="0.2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X1014" s="6" t="e">
        <f t="shared" si="45"/>
        <v>#VALUE!</v>
      </c>
      <c r="Y1014" s="7" t="str">
        <f t="shared" si="46"/>
        <v>DC</v>
      </c>
      <c r="Z1014" s="7">
        <f t="shared" si="47"/>
        <v>0</v>
      </c>
      <c r="AA1014" s="7">
        <f t="shared" si="48"/>
        <v>0</v>
      </c>
      <c r="AB1014" s="7">
        <f t="shared" si="49"/>
        <v>0</v>
      </c>
      <c r="AC1014" s="7">
        <f t="shared" si="50"/>
        <v>0</v>
      </c>
      <c r="AD1014" s="7">
        <f t="shared" si="51"/>
        <v>0</v>
      </c>
      <c r="AE1014" s="8" cm="1">
        <f t="array" ref="AE1014">IFERROR(_xlfn.XLOOKUP(H1014,Sheet1!$G:$G,Sheet1!$F:$F),IFERROR(_xlfn.XLOOKUP(1,(--($X$2:$X$1074=X1014))*(--ISNUMBER(MATCH($H$2:$H$1074,Sheet1!$G:$G,0))),_xlfn.XLOOKUP($H$2:$H$1074,Sheet1!$G:$G,Sheet1!$F:$F,"")),"NOT FOUND"))</f>
        <v>0</v>
      </c>
      <c r="AF1014" s="9" t="str">
        <f t="shared" si="58"/>
        <v/>
      </c>
      <c r="AG1014" s="10" t="str">
        <f t="shared" si="59"/>
        <v/>
      </c>
      <c r="AH1014" s="8" t="str" cm="1">
        <f t="array" ref="AH1014">IF(OR(J1014="",AE1014="",AE1014="NOT FOUND"),"",IF(Y1014="RP",_xlfn.LET(_xlpm.desc,_xlfn.XLOOKUP(1,(--(Sheet1!$F$2:$F$754=AE1014))*(--ISNUMBER(FIND("-",Sheet1!$W$2:$W$754,FIND("-",Sheet1!$W$2:$W$754)+1))),Sheet1!$W$2:$W$754,""),IF(_xlpm.desc="","NOT FOUND",LEFT(_xlpm.desc,FIND("-",_xlpm.desc,FIND("-",_xlpm.desc)+1))&amp;AE1014)),LEFT(J1014,FIND("-",J1014,FIND("-",J1014)+1))&amp;AE1014))</f>
        <v/>
      </c>
    </row>
    <row r="1015" spans="1:34" ht="15.75" customHeight="1" x14ac:dyDescent="0.2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X1015" s="6" t="e">
        <f t="shared" si="45"/>
        <v>#VALUE!</v>
      </c>
      <c r="Y1015" s="7" t="str">
        <f t="shared" si="46"/>
        <v>DC</v>
      </c>
      <c r="Z1015" s="7">
        <f t="shared" si="47"/>
        <v>0</v>
      </c>
      <c r="AA1015" s="7">
        <f t="shared" si="48"/>
        <v>0</v>
      </c>
      <c r="AB1015" s="7">
        <f t="shared" si="49"/>
        <v>0</v>
      </c>
      <c r="AC1015" s="7">
        <f t="shared" si="50"/>
        <v>0</v>
      </c>
      <c r="AD1015" s="7">
        <f t="shared" si="51"/>
        <v>0</v>
      </c>
      <c r="AE1015" s="8" cm="1">
        <f t="array" ref="AE1015">IFERROR(_xlfn.XLOOKUP(H1015,Sheet1!$G:$G,Sheet1!$F:$F),IFERROR(_xlfn.XLOOKUP(1,(--($X$2:$X$1074=X1015))*(--ISNUMBER(MATCH($H$2:$H$1074,Sheet1!$G:$G,0))),_xlfn.XLOOKUP($H$2:$H$1074,Sheet1!$G:$G,Sheet1!$F:$F,"")),"NOT FOUND"))</f>
        <v>0</v>
      </c>
      <c r="AF1015" s="9" t="str">
        <f t="shared" si="58"/>
        <v/>
      </c>
      <c r="AG1015" s="10" t="str">
        <f t="shared" si="59"/>
        <v/>
      </c>
      <c r="AH1015" s="8" t="str" cm="1">
        <f t="array" ref="AH1015">IF(OR(J1015="",AE1015="",AE1015="NOT FOUND"),"",IF(Y1015="RP",_xlfn.LET(_xlpm.desc,_xlfn.XLOOKUP(1,(--(Sheet1!$F$2:$F$754=AE1015))*(--ISNUMBER(FIND("-",Sheet1!$W$2:$W$754,FIND("-",Sheet1!$W$2:$W$754)+1))),Sheet1!$W$2:$W$754,""),IF(_xlpm.desc="","NOT FOUND",LEFT(_xlpm.desc,FIND("-",_xlpm.desc,FIND("-",_xlpm.desc)+1))&amp;AE1015)),LEFT(J1015,FIND("-",J1015,FIND("-",J1015)+1))&amp;AE1015))</f>
        <v/>
      </c>
    </row>
    <row r="1016" spans="1:34" ht="15.75" customHeight="1" x14ac:dyDescent="0.2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X1016" s="6" t="e">
        <f t="shared" si="45"/>
        <v>#VALUE!</v>
      </c>
      <c r="Y1016" s="7" t="str">
        <f t="shared" si="46"/>
        <v>DC</v>
      </c>
      <c r="Z1016" s="7">
        <f t="shared" si="47"/>
        <v>0</v>
      </c>
      <c r="AA1016" s="7">
        <f t="shared" si="48"/>
        <v>0</v>
      </c>
      <c r="AB1016" s="7">
        <f t="shared" si="49"/>
        <v>0</v>
      </c>
      <c r="AC1016" s="7">
        <f t="shared" si="50"/>
        <v>0</v>
      </c>
      <c r="AD1016" s="7">
        <f t="shared" si="51"/>
        <v>0</v>
      </c>
      <c r="AE1016" s="8" cm="1">
        <f t="array" ref="AE1016">IFERROR(_xlfn.XLOOKUP(H1016,Sheet1!$G:$G,Sheet1!$F:$F),IFERROR(_xlfn.XLOOKUP(1,(--($X$2:$X$1074=X1016))*(--ISNUMBER(MATCH($H$2:$H$1074,Sheet1!$G:$G,0))),_xlfn.XLOOKUP($H$2:$H$1074,Sheet1!$G:$G,Sheet1!$F:$F,"")),"NOT FOUND"))</f>
        <v>0</v>
      </c>
      <c r="AF1016" s="9" t="str">
        <f t="shared" si="58"/>
        <v/>
      </c>
      <c r="AG1016" s="10" t="str">
        <f t="shared" si="59"/>
        <v/>
      </c>
      <c r="AH1016" s="8" t="str" cm="1">
        <f t="array" ref="AH1016">IF(OR(J1016="",AE1016="",AE1016="NOT FOUND"),"",IF(Y1016="RP",_xlfn.LET(_xlpm.desc,_xlfn.XLOOKUP(1,(--(Sheet1!$F$2:$F$754=AE1016))*(--ISNUMBER(FIND("-",Sheet1!$W$2:$W$754,FIND("-",Sheet1!$W$2:$W$754)+1))),Sheet1!$W$2:$W$754,""),IF(_xlpm.desc="","NOT FOUND",LEFT(_xlpm.desc,FIND("-",_xlpm.desc,FIND("-",_xlpm.desc)+1))&amp;AE1016)),LEFT(J1016,FIND("-",J1016,FIND("-",J1016)+1))&amp;AE1016))</f>
        <v/>
      </c>
    </row>
    <row r="1017" spans="1:34" ht="15.75" customHeight="1" x14ac:dyDescent="0.2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X1017" s="6" t="e">
        <f t="shared" si="45"/>
        <v>#VALUE!</v>
      </c>
      <c r="Y1017" s="7" t="str">
        <f t="shared" si="46"/>
        <v>DC</v>
      </c>
      <c r="Z1017" s="7">
        <f t="shared" si="47"/>
        <v>0</v>
      </c>
      <c r="AA1017" s="7">
        <f t="shared" si="48"/>
        <v>0</v>
      </c>
      <c r="AB1017" s="7">
        <f t="shared" si="49"/>
        <v>0</v>
      </c>
      <c r="AC1017" s="7">
        <f t="shared" si="50"/>
        <v>0</v>
      </c>
      <c r="AD1017" s="7">
        <f t="shared" si="51"/>
        <v>0</v>
      </c>
      <c r="AE1017" s="8" cm="1">
        <f t="array" ref="AE1017">IFERROR(_xlfn.XLOOKUP(H1017,Sheet1!$G:$G,Sheet1!$F:$F),IFERROR(_xlfn.XLOOKUP(1,(--($X$2:$X$1074=X1017))*(--ISNUMBER(MATCH($H$2:$H$1074,Sheet1!$G:$G,0))),_xlfn.XLOOKUP($H$2:$H$1074,Sheet1!$G:$G,Sheet1!$F:$F,"")),"NOT FOUND"))</f>
        <v>0</v>
      </c>
      <c r="AF1017" s="9" t="str">
        <f t="shared" si="58"/>
        <v/>
      </c>
      <c r="AG1017" s="10" t="str">
        <f t="shared" si="59"/>
        <v/>
      </c>
      <c r="AH1017" s="8" t="str" cm="1">
        <f t="array" ref="AH1017">IF(OR(J1017="",AE1017="",AE1017="NOT FOUND"),"",IF(Y1017="RP",_xlfn.LET(_xlpm.desc,_xlfn.XLOOKUP(1,(--(Sheet1!$F$2:$F$754=AE1017))*(--ISNUMBER(FIND("-",Sheet1!$W$2:$W$754,FIND("-",Sheet1!$W$2:$W$754)+1))),Sheet1!$W$2:$W$754,""),IF(_xlpm.desc="","NOT FOUND",LEFT(_xlpm.desc,FIND("-",_xlpm.desc,FIND("-",_xlpm.desc)+1))&amp;AE1017)),LEFT(J1017,FIND("-",J1017,FIND("-",J1017)+1))&amp;AE1017))</f>
        <v/>
      </c>
    </row>
    <row r="1018" spans="1:34" ht="15.75" customHeight="1" x14ac:dyDescent="0.2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X1018" s="6" t="e">
        <f t="shared" si="45"/>
        <v>#VALUE!</v>
      </c>
      <c r="Y1018" s="7" t="str">
        <f t="shared" si="46"/>
        <v>DC</v>
      </c>
      <c r="Z1018" s="7">
        <f t="shared" si="47"/>
        <v>0</v>
      </c>
      <c r="AA1018" s="7">
        <f t="shared" si="48"/>
        <v>0</v>
      </c>
      <c r="AB1018" s="7">
        <f t="shared" si="49"/>
        <v>0</v>
      </c>
      <c r="AC1018" s="7">
        <f t="shared" si="50"/>
        <v>0</v>
      </c>
      <c r="AD1018" s="7">
        <f t="shared" si="51"/>
        <v>0</v>
      </c>
      <c r="AE1018" s="8" cm="1">
        <f t="array" ref="AE1018">IFERROR(_xlfn.XLOOKUP(H1018,Sheet1!$G:$G,Sheet1!$F:$F),IFERROR(_xlfn.XLOOKUP(1,(--($X$2:$X$1074=X1018))*(--ISNUMBER(MATCH($H$2:$H$1074,Sheet1!$G:$G,0))),_xlfn.XLOOKUP($H$2:$H$1074,Sheet1!$G:$G,Sheet1!$F:$F,"")),"NOT FOUND"))</f>
        <v>0</v>
      </c>
      <c r="AF1018" s="9" t="str">
        <f t="shared" si="58"/>
        <v/>
      </c>
      <c r="AG1018" s="10" t="str">
        <f t="shared" si="59"/>
        <v/>
      </c>
      <c r="AH1018" s="8" t="str" cm="1">
        <f t="array" ref="AH1018">IF(OR(J1018="",AE1018="",AE1018="NOT FOUND"),"",IF(Y1018="RP",_xlfn.LET(_xlpm.desc,_xlfn.XLOOKUP(1,(--(Sheet1!$F$2:$F$754=AE1018))*(--ISNUMBER(FIND("-",Sheet1!$W$2:$W$754,FIND("-",Sheet1!$W$2:$W$754)+1))),Sheet1!$W$2:$W$754,""),IF(_xlpm.desc="","NOT FOUND",LEFT(_xlpm.desc,FIND("-",_xlpm.desc,FIND("-",_xlpm.desc)+1))&amp;AE1018)),LEFT(J1018,FIND("-",J1018,FIND("-",J1018)+1))&amp;AE1018))</f>
        <v/>
      </c>
    </row>
    <row r="1019" spans="1:34" ht="15.75" customHeight="1" x14ac:dyDescent="0.2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X1019" s="6" t="e">
        <f t="shared" si="45"/>
        <v>#VALUE!</v>
      </c>
      <c r="Y1019" s="7" t="str">
        <f t="shared" si="46"/>
        <v>DC</v>
      </c>
      <c r="Z1019" s="7">
        <f t="shared" si="47"/>
        <v>0</v>
      </c>
      <c r="AA1019" s="7">
        <f t="shared" si="48"/>
        <v>0</v>
      </c>
      <c r="AB1019" s="7">
        <f t="shared" si="49"/>
        <v>0</v>
      </c>
      <c r="AC1019" s="7">
        <f t="shared" si="50"/>
        <v>0</v>
      </c>
      <c r="AD1019" s="7">
        <f t="shared" si="51"/>
        <v>0</v>
      </c>
      <c r="AE1019" s="8" cm="1">
        <f t="array" ref="AE1019">IFERROR(_xlfn.XLOOKUP(H1019,Sheet1!$G:$G,Sheet1!$F:$F),IFERROR(_xlfn.XLOOKUP(1,(--($X$2:$X$1074=X1019))*(--ISNUMBER(MATCH($H$2:$H$1074,Sheet1!$G:$G,0))),_xlfn.XLOOKUP($H$2:$H$1074,Sheet1!$G:$G,Sheet1!$F:$F,"")),"NOT FOUND"))</f>
        <v>0</v>
      </c>
      <c r="AF1019" s="9" t="str">
        <f t="shared" si="58"/>
        <v/>
      </c>
      <c r="AG1019" s="10" t="str">
        <f t="shared" si="59"/>
        <v/>
      </c>
      <c r="AH1019" s="8" t="str" cm="1">
        <f t="array" ref="AH1019">IF(OR(J1019="",AE1019="",AE1019="NOT FOUND"),"",IF(Y1019="RP",_xlfn.LET(_xlpm.desc,_xlfn.XLOOKUP(1,(--(Sheet1!$F$2:$F$754=AE1019))*(--ISNUMBER(FIND("-",Sheet1!$W$2:$W$754,FIND("-",Sheet1!$W$2:$W$754)+1))),Sheet1!$W$2:$W$754,""),IF(_xlpm.desc="","NOT FOUND",LEFT(_xlpm.desc,FIND("-",_xlpm.desc,FIND("-",_xlpm.desc)+1))&amp;AE1019)),LEFT(J1019,FIND("-",J1019,FIND("-",J1019)+1))&amp;AE1019))</f>
        <v/>
      </c>
    </row>
    <row r="1020" spans="1:34" ht="15.75" customHeight="1" x14ac:dyDescent="0.2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X1020" s="6" t="e">
        <f t="shared" si="45"/>
        <v>#VALUE!</v>
      </c>
      <c r="Y1020" s="7" t="str">
        <f t="shared" si="46"/>
        <v>DC</v>
      </c>
      <c r="Z1020" s="7">
        <f t="shared" si="47"/>
        <v>0</v>
      </c>
      <c r="AA1020" s="7">
        <f t="shared" si="48"/>
        <v>0</v>
      </c>
      <c r="AB1020" s="7">
        <f t="shared" si="49"/>
        <v>0</v>
      </c>
      <c r="AC1020" s="7">
        <f t="shared" si="50"/>
        <v>0</v>
      </c>
      <c r="AD1020" s="7">
        <f t="shared" si="51"/>
        <v>0</v>
      </c>
      <c r="AE1020" s="8" cm="1">
        <f t="array" ref="AE1020">IFERROR(_xlfn.XLOOKUP(H1020,Sheet1!$G:$G,Sheet1!$F:$F),IFERROR(_xlfn.XLOOKUP(1,(--($X$2:$X$1074=X1020))*(--ISNUMBER(MATCH($H$2:$H$1074,Sheet1!$G:$G,0))),_xlfn.XLOOKUP($H$2:$H$1074,Sheet1!$G:$G,Sheet1!$F:$F,"")),"NOT FOUND"))</f>
        <v>0</v>
      </c>
      <c r="AF1020" s="9" t="str">
        <f t="shared" si="58"/>
        <v/>
      </c>
      <c r="AG1020" s="10" t="str">
        <f t="shared" si="59"/>
        <v/>
      </c>
      <c r="AH1020" s="8" t="str" cm="1">
        <f t="array" ref="AH1020">IF(OR(J1020="",AE1020="",AE1020="NOT FOUND"),"",IF(Y1020="RP",_xlfn.LET(_xlpm.desc,_xlfn.XLOOKUP(1,(--(Sheet1!$F$2:$F$754=AE1020))*(--ISNUMBER(FIND("-",Sheet1!$W$2:$W$754,FIND("-",Sheet1!$W$2:$W$754)+1))),Sheet1!$W$2:$W$754,""),IF(_xlpm.desc="","NOT FOUND",LEFT(_xlpm.desc,FIND("-",_xlpm.desc,FIND("-",_xlpm.desc)+1))&amp;AE1020)),LEFT(J1020,FIND("-",J1020,FIND("-",J1020)+1))&amp;AE1020))</f>
        <v/>
      </c>
    </row>
    <row r="1021" spans="1:34" ht="15.75" customHeight="1" x14ac:dyDescent="0.2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X1021" s="6" t="e">
        <f t="shared" si="45"/>
        <v>#VALUE!</v>
      </c>
      <c r="Y1021" s="7" t="str">
        <f t="shared" si="46"/>
        <v>DC</v>
      </c>
      <c r="Z1021" s="7">
        <f t="shared" si="47"/>
        <v>0</v>
      </c>
      <c r="AA1021" s="7">
        <f t="shared" si="48"/>
        <v>0</v>
      </c>
      <c r="AB1021" s="7">
        <f t="shared" si="49"/>
        <v>0</v>
      </c>
      <c r="AC1021" s="7">
        <f t="shared" si="50"/>
        <v>0</v>
      </c>
      <c r="AD1021" s="7">
        <f t="shared" si="51"/>
        <v>0</v>
      </c>
      <c r="AE1021" s="8" cm="1">
        <f t="array" ref="AE1021">IFERROR(_xlfn.XLOOKUP(H1021,Sheet1!$G:$G,Sheet1!$F:$F),IFERROR(_xlfn.XLOOKUP(1,(--($X$2:$X$1074=X1021))*(--ISNUMBER(MATCH($H$2:$H$1074,Sheet1!$G:$G,0))),_xlfn.XLOOKUP($H$2:$H$1074,Sheet1!$G:$G,Sheet1!$F:$F,"")),"NOT FOUND"))</f>
        <v>0</v>
      </c>
      <c r="AF1021" s="9" t="str">
        <f t="shared" si="58"/>
        <v/>
      </c>
      <c r="AG1021" s="10" t="str">
        <f t="shared" si="59"/>
        <v/>
      </c>
      <c r="AH1021" s="8" t="str" cm="1">
        <f t="array" ref="AH1021">IF(OR(J1021="",AE1021="",AE1021="NOT FOUND"),"",IF(Y1021="RP",_xlfn.LET(_xlpm.desc,_xlfn.XLOOKUP(1,(--(Sheet1!$F$2:$F$754=AE1021))*(--ISNUMBER(FIND("-",Sheet1!$W$2:$W$754,FIND("-",Sheet1!$W$2:$W$754)+1))),Sheet1!$W$2:$W$754,""),IF(_xlpm.desc="","NOT FOUND",LEFT(_xlpm.desc,FIND("-",_xlpm.desc,FIND("-",_xlpm.desc)+1))&amp;AE1021)),LEFT(J1021,FIND("-",J1021,FIND("-",J1021)+1))&amp;AE1021))</f>
        <v/>
      </c>
    </row>
    <row r="1022" spans="1:34" ht="15.75" customHeight="1" x14ac:dyDescent="0.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X1022" s="6" t="e">
        <f t="shared" ref="X1022:X1074" si="60">IF(ISNUMBER(VALUE(LEFT(J1022,1))),LEFT(J1022,MIN(IFERROR(FIND("A",UPPER(J1022)),LEN(J1022)+1),IFERROR(FIND("B",UPPER(J1022)),LEN(J1022)+1),IFERROR(FIND("C",UPPER(J1022)),LEN(J1022)+1),IFERROR(FIND("D",UPPER(J1022)),LEN(J1022)+1),IFERROR(FIND("E",UPPER(J1022)),LEN(J1022)+1),IFERROR(FIND("F",UPPER(J1022)),LEN(J1022)+1),IFERROR(FIND("G",UPPER(J1022)),LEN(J1022)+1),IFERROR(FIND("H",UPPER(J1022)),LEN(J1022)+1),IFERROR(FIND("I",UPPER(J1022)),LEN(J1022)+1),IFERROR(FIND("J",UPPER(J1022)),LEN(J1022)+1),IFERROR(FIND("K",UPPER(J1022)),LEN(J1022)+1),IFERROR(FIND("L",UPPER(J1022)),LEN(J1022)+1),IFERROR(FIND("M",UPPER(J1022)),LEN(J1022)+1),IFERROR(FIND("N",UPPER(J1022)),LEN(J1022)+1),IFERROR(FIND("O",UPPER(J1022)),LEN(J1022)+1),IFERROR(FIND("P",UPPER(J1022)),LEN(J1022)+1),IFERROR(FIND("Q",UPPER(J1022)),LEN(J1022)+1),IFERROR(FIND("R",UPPER(J1022)),LEN(J1022)+1),IFERROR(FIND("S",UPPER(J1022)),LEN(J1022)+1),IFERROR(FIND("T",UPPER(J1022)),LEN(J1022)+1),IFERROR(FIND("U",UPPER(J1022)),LEN(J1022)+1),IFERROR(FIND("V",UPPER(J1022)),LEN(J1022)+1),IFERROR(FIND("W",UPPER(J1022)),LEN(J1022)+1),IFERROR(FIND("X",UPPER(J1022)),LEN(J1022)+1),IFERROR(FIND("Y",UPPER(J1022)),LEN(J1022)+1),IFERROR(FIND("Z",UPPER(J1022)),LEN(J1022)+1))-1),LEFT(TEXT(I1022,"0"),LEN(TEXT(I1022,"0"))-3))</f>
        <v>#VALUE!</v>
      </c>
      <c r="Y1022" s="7" t="str">
        <f t="shared" ref="Y1022:Y1074" si="61">IF(ISNUMBER(SEARCH("(RP)",J1022)),"RP","DC")</f>
        <v>DC</v>
      </c>
      <c r="Z1022" s="7">
        <f t="shared" ref="Z1022:Z1074" si="62">IF(ISNUMBER(SEARCH("(RP)",J1022)),O1022,IF(RIGHT(TRIM(J1022),3)=", S",O1022,0))</f>
        <v>0</v>
      </c>
      <c r="AA1022" s="7">
        <f t="shared" ref="AA1022:AA1074" si="63">IF(ISNUMBER(SEARCH("(RP)",J1022)),O1022,IF(RIGHT(TRIM(J1022),3)=", M",O1022,0))</f>
        <v>0</v>
      </c>
      <c r="AB1022" s="7">
        <f t="shared" ref="AB1022:AB1074" si="64">IF(ISNUMBER(SEARCH("(RP)",J1022)),O1022,IF(RIGHT(TRIM(J1022),3)=", L",O1022,0))</f>
        <v>0</v>
      </c>
      <c r="AC1022" s="7">
        <f t="shared" ref="AC1022:AC1074" si="65">IF(ISNUMBER(SEARCH("(RP)",J1022)),O1022,IF(RIGHT(TRIM(J1022),4)=", XL",O1022,0))</f>
        <v>0</v>
      </c>
      <c r="AD1022" s="7">
        <f t="shared" ref="AD1022:AD1074" si="66">IF(ISNUMBER(SEARCH("(RP)",J1022)),O1022,IF(OR(RIGHT(TRIM(J1022),5)=", XXL",RIGHT(TRIM(J1022),5)=", 2XL"),O1022,0))</f>
        <v>0</v>
      </c>
      <c r="AE1022" s="8" cm="1">
        <f t="array" ref="AE1022">IFERROR(_xlfn.XLOOKUP(H1022,Sheet1!$G:$G,Sheet1!$F:$F),IFERROR(_xlfn.XLOOKUP(1,(--($X$2:$X$1074=X1022))*(--ISNUMBER(MATCH($H$2:$H$1074,Sheet1!$G:$G,0))),_xlfn.XLOOKUP($H$2:$H$1074,Sheet1!$G:$G,Sheet1!$F:$F,"")),"NOT FOUND"))</f>
        <v>0</v>
      </c>
      <c r="AF1022" s="9" t="str">
        <f t="shared" si="58"/>
        <v/>
      </c>
      <c r="AG1022" s="10" t="str">
        <f t="shared" si="59"/>
        <v/>
      </c>
      <c r="AH1022" s="8" t="str" cm="1">
        <f t="array" ref="AH1022">IF(OR(J1022="",AE1022="",AE1022="NOT FOUND"),"",IF(Y1022="RP",_xlfn.LET(_xlpm.desc,_xlfn.XLOOKUP(1,(--(Sheet1!$F$2:$F$754=AE1022))*(--ISNUMBER(FIND("-",Sheet1!$W$2:$W$754,FIND("-",Sheet1!$W$2:$W$754)+1))),Sheet1!$W$2:$W$754,""),IF(_xlpm.desc="","NOT FOUND",LEFT(_xlpm.desc,FIND("-",_xlpm.desc,FIND("-",_xlpm.desc)+1))&amp;AE1022)),LEFT(J1022,FIND("-",J1022,FIND("-",J1022)+1))&amp;AE1022))</f>
        <v/>
      </c>
    </row>
    <row r="1023" spans="1:34" ht="15.75" customHeight="1" x14ac:dyDescent="0.2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X1023" s="6" t="e">
        <f t="shared" si="60"/>
        <v>#VALUE!</v>
      </c>
      <c r="Y1023" s="7" t="str">
        <f t="shared" si="61"/>
        <v>DC</v>
      </c>
      <c r="Z1023" s="7">
        <f t="shared" si="62"/>
        <v>0</v>
      </c>
      <c r="AA1023" s="7">
        <f t="shared" si="63"/>
        <v>0</v>
      </c>
      <c r="AB1023" s="7">
        <f t="shared" si="64"/>
        <v>0</v>
      </c>
      <c r="AC1023" s="7">
        <f t="shared" si="65"/>
        <v>0</v>
      </c>
      <c r="AD1023" s="7">
        <f t="shared" si="66"/>
        <v>0</v>
      </c>
      <c r="AE1023" s="8" cm="1">
        <f t="array" ref="AE1023">IFERROR(_xlfn.XLOOKUP(H1023,Sheet1!$G:$G,Sheet1!$F:$F),IFERROR(_xlfn.XLOOKUP(1,(--($X$2:$X$1074=X1023))*(--ISNUMBER(MATCH($H$2:$H$1074,Sheet1!$G:$G,0))),_xlfn.XLOOKUP($H$2:$H$1074,Sheet1!$G:$G,Sheet1!$F:$F,"")),"NOT FOUND"))</f>
        <v>0</v>
      </c>
      <c r="AF1023" s="9" t="str">
        <f t="shared" si="58"/>
        <v/>
      </c>
      <c r="AG1023" s="10" t="str">
        <f t="shared" si="59"/>
        <v/>
      </c>
      <c r="AH1023" s="8" t="str" cm="1">
        <f t="array" ref="AH1023">IF(OR(J1023="",AE1023="",AE1023="NOT FOUND"),"",IF(Y1023="RP",_xlfn.LET(_xlpm.desc,_xlfn.XLOOKUP(1,(--(Sheet1!$F$2:$F$754=AE1023))*(--ISNUMBER(FIND("-",Sheet1!$W$2:$W$754,FIND("-",Sheet1!$W$2:$W$754)+1))),Sheet1!$W$2:$W$754,""),IF(_xlpm.desc="","NOT FOUND",LEFT(_xlpm.desc,FIND("-",_xlpm.desc,FIND("-",_xlpm.desc)+1))&amp;AE1023)),LEFT(J1023,FIND("-",J1023,FIND("-",J1023)+1))&amp;AE1023))</f>
        <v/>
      </c>
    </row>
    <row r="1024" spans="1:34" ht="15.75" customHeight="1" x14ac:dyDescent="0.2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X1024" s="6" t="e">
        <f t="shared" si="60"/>
        <v>#VALUE!</v>
      </c>
      <c r="Y1024" s="7" t="str">
        <f t="shared" si="61"/>
        <v>DC</v>
      </c>
      <c r="Z1024" s="7">
        <f t="shared" si="62"/>
        <v>0</v>
      </c>
      <c r="AA1024" s="7">
        <f t="shared" si="63"/>
        <v>0</v>
      </c>
      <c r="AB1024" s="7">
        <f t="shared" si="64"/>
        <v>0</v>
      </c>
      <c r="AC1024" s="7">
        <f t="shared" si="65"/>
        <v>0</v>
      </c>
      <c r="AD1024" s="7">
        <f t="shared" si="66"/>
        <v>0</v>
      </c>
      <c r="AE1024" s="8" cm="1">
        <f t="array" ref="AE1024">IFERROR(_xlfn.XLOOKUP(H1024,Sheet1!$G:$G,Sheet1!$F:$F),IFERROR(_xlfn.XLOOKUP(1,(--($X$2:$X$1074=X1024))*(--ISNUMBER(MATCH($H$2:$H$1074,Sheet1!$G:$G,0))),_xlfn.XLOOKUP($H$2:$H$1074,Sheet1!$G:$G,Sheet1!$F:$F,"")),"NOT FOUND"))</f>
        <v>0</v>
      </c>
      <c r="AF1024" s="9" t="str">
        <f t="shared" si="58"/>
        <v/>
      </c>
      <c r="AG1024" s="10" t="str">
        <f t="shared" si="59"/>
        <v/>
      </c>
      <c r="AH1024" s="8" t="str" cm="1">
        <f t="array" ref="AH1024">IF(OR(J1024="",AE1024="",AE1024="NOT FOUND"),"",IF(Y1024="RP",_xlfn.LET(_xlpm.desc,_xlfn.XLOOKUP(1,(--(Sheet1!$F$2:$F$754=AE1024))*(--ISNUMBER(FIND("-",Sheet1!$W$2:$W$754,FIND("-",Sheet1!$W$2:$W$754)+1))),Sheet1!$W$2:$W$754,""),IF(_xlpm.desc="","NOT FOUND",LEFT(_xlpm.desc,FIND("-",_xlpm.desc,FIND("-",_xlpm.desc)+1))&amp;AE1024)),LEFT(J1024,FIND("-",J1024,FIND("-",J1024)+1))&amp;AE1024))</f>
        <v/>
      </c>
    </row>
    <row r="1025" spans="1:34" ht="15.75" customHeight="1" x14ac:dyDescent="0.2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X1025" s="6" t="e">
        <f t="shared" si="60"/>
        <v>#VALUE!</v>
      </c>
      <c r="Y1025" s="7" t="str">
        <f t="shared" si="61"/>
        <v>DC</v>
      </c>
      <c r="Z1025" s="7">
        <f t="shared" si="62"/>
        <v>0</v>
      </c>
      <c r="AA1025" s="7">
        <f t="shared" si="63"/>
        <v>0</v>
      </c>
      <c r="AB1025" s="7">
        <f t="shared" si="64"/>
        <v>0</v>
      </c>
      <c r="AC1025" s="7">
        <f t="shared" si="65"/>
        <v>0</v>
      </c>
      <c r="AD1025" s="7">
        <f t="shared" si="66"/>
        <v>0</v>
      </c>
      <c r="AE1025" s="8" cm="1">
        <f t="array" ref="AE1025">IFERROR(_xlfn.XLOOKUP(H1025,Sheet1!$G:$G,Sheet1!$F:$F),IFERROR(_xlfn.XLOOKUP(1,(--($X$2:$X$1074=X1025))*(--ISNUMBER(MATCH($H$2:$H$1074,Sheet1!$G:$G,0))),_xlfn.XLOOKUP($H$2:$H$1074,Sheet1!$G:$G,Sheet1!$F:$F,"")),"NOT FOUND"))</f>
        <v>0</v>
      </c>
      <c r="AF1025" s="9" t="str">
        <f t="shared" si="58"/>
        <v/>
      </c>
      <c r="AG1025" s="10" t="str">
        <f t="shared" si="59"/>
        <v/>
      </c>
      <c r="AH1025" s="8" t="str" cm="1">
        <f t="array" ref="AH1025">IF(OR(J1025="",AE1025="",AE1025="NOT FOUND"),"",IF(Y1025="RP",_xlfn.LET(_xlpm.desc,_xlfn.XLOOKUP(1,(--(Sheet1!$F$2:$F$754=AE1025))*(--ISNUMBER(FIND("-",Sheet1!$W$2:$W$754,FIND("-",Sheet1!$W$2:$W$754)+1))),Sheet1!$W$2:$W$754,""),IF(_xlpm.desc="","NOT FOUND",LEFT(_xlpm.desc,FIND("-",_xlpm.desc,FIND("-",_xlpm.desc)+1))&amp;AE1025)),LEFT(J1025,FIND("-",J1025,FIND("-",J1025)+1))&amp;AE1025))</f>
        <v/>
      </c>
    </row>
    <row r="1026" spans="1:34" ht="15.75" customHeight="1" x14ac:dyDescent="0.2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X1026" s="6" t="e">
        <f t="shared" si="60"/>
        <v>#VALUE!</v>
      </c>
      <c r="Y1026" s="7" t="str">
        <f t="shared" si="61"/>
        <v>DC</v>
      </c>
      <c r="Z1026" s="7">
        <f t="shared" si="62"/>
        <v>0</v>
      </c>
      <c r="AA1026" s="7">
        <f t="shared" si="63"/>
        <v>0</v>
      </c>
      <c r="AB1026" s="7">
        <f t="shared" si="64"/>
        <v>0</v>
      </c>
      <c r="AC1026" s="7">
        <f t="shared" si="65"/>
        <v>0</v>
      </c>
      <c r="AD1026" s="7">
        <f t="shared" si="66"/>
        <v>0</v>
      </c>
      <c r="AE1026" s="8" cm="1">
        <f t="array" ref="AE1026">IFERROR(_xlfn.XLOOKUP(H1026,Sheet1!$G:$G,Sheet1!$F:$F),IFERROR(_xlfn.XLOOKUP(1,(--($X$2:$X$1074=X1026))*(--ISNUMBER(MATCH($H$2:$H$1074,Sheet1!$G:$G,0))),_xlfn.XLOOKUP($H$2:$H$1074,Sheet1!$G:$G,Sheet1!$F:$F,"")),"NOT FOUND"))</f>
        <v>0</v>
      </c>
      <c r="AF1026" s="9" t="str">
        <f t="shared" si="58"/>
        <v/>
      </c>
      <c r="AG1026" s="10" t="str">
        <f t="shared" si="59"/>
        <v/>
      </c>
      <c r="AH1026" s="8" t="str" cm="1">
        <f t="array" ref="AH1026">IF(OR(J1026="",AE1026="",AE1026="NOT FOUND"),"",IF(Y1026="RP",_xlfn.LET(_xlpm.desc,_xlfn.XLOOKUP(1,(--(Sheet1!$F$2:$F$754=AE1026))*(--ISNUMBER(FIND("-",Sheet1!$W$2:$W$754,FIND("-",Sheet1!$W$2:$W$754)+1))),Sheet1!$W$2:$W$754,""),IF(_xlpm.desc="","NOT FOUND",LEFT(_xlpm.desc,FIND("-",_xlpm.desc,FIND("-",_xlpm.desc)+1))&amp;AE1026)),LEFT(J1026,FIND("-",J1026,FIND("-",J1026)+1))&amp;AE1026))</f>
        <v/>
      </c>
    </row>
    <row r="1027" spans="1:34" ht="15.75" customHeight="1" x14ac:dyDescent="0.2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X1027" s="6" t="e">
        <f t="shared" si="60"/>
        <v>#VALUE!</v>
      </c>
      <c r="Y1027" s="7" t="str">
        <f t="shared" si="61"/>
        <v>DC</v>
      </c>
      <c r="Z1027" s="7">
        <f t="shared" si="62"/>
        <v>0</v>
      </c>
      <c r="AA1027" s="7">
        <f t="shared" si="63"/>
        <v>0</v>
      </c>
      <c r="AB1027" s="7">
        <f t="shared" si="64"/>
        <v>0</v>
      </c>
      <c r="AC1027" s="7">
        <f t="shared" si="65"/>
        <v>0</v>
      </c>
      <c r="AD1027" s="7">
        <f t="shared" si="66"/>
        <v>0</v>
      </c>
      <c r="AE1027" s="8" cm="1">
        <f t="array" ref="AE1027">IFERROR(_xlfn.XLOOKUP(H1027,Sheet1!$G:$G,Sheet1!$F:$F),IFERROR(_xlfn.XLOOKUP(1,(--($X$2:$X$1074=X1027))*(--ISNUMBER(MATCH($H$2:$H$1074,Sheet1!$G:$G,0))),_xlfn.XLOOKUP($H$2:$H$1074,Sheet1!$G:$G,Sheet1!$F:$F,"")),"NOT FOUND"))</f>
        <v>0</v>
      </c>
      <c r="AF1027" s="9" t="str">
        <f t="shared" ref="AF1027:AF1074" si="67">IFERROR(IF(ISNUMBER(SEARCH("(RP)",J1027)),TRIM(SUBSTITUTE(MID(J1027,10,LEN(J1027)),"(RP)","")),TRIM(MID(J1027,FIND(",",J1027)+1,FIND(",",J1027,FIND(",",J1027)+1)-FIND(",",J1027)-1))),"")</f>
        <v/>
      </c>
      <c r="AG1027" s="10" t="str">
        <f t="shared" ref="AG1027:AG1074" si="68">IF(A1027="SZAF","Bangalore",IF(A1027="SAEX","JHAJJAR",IF(A1027="S0EU","HARIPAL","")))</f>
        <v/>
      </c>
      <c r="AH1027" s="8" t="str" cm="1">
        <f t="array" ref="AH1027">IF(OR(J1027="",AE1027="",AE1027="NOT FOUND"),"",IF(Y1027="RP",_xlfn.LET(_xlpm.desc,_xlfn.XLOOKUP(1,(--(Sheet1!$F$2:$F$754=AE1027))*(--ISNUMBER(FIND("-",Sheet1!$W$2:$W$754,FIND("-",Sheet1!$W$2:$W$754)+1))),Sheet1!$W$2:$W$754,""),IF(_xlpm.desc="","NOT FOUND",LEFT(_xlpm.desc,FIND("-",_xlpm.desc,FIND("-",_xlpm.desc)+1))&amp;AE1027)),LEFT(J1027,FIND("-",J1027,FIND("-",J1027)+1))&amp;AE1027))</f>
        <v/>
      </c>
    </row>
    <row r="1028" spans="1:34" ht="15.75" customHeight="1" x14ac:dyDescent="0.2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X1028" s="6" t="e">
        <f t="shared" si="60"/>
        <v>#VALUE!</v>
      </c>
      <c r="Y1028" s="7" t="str">
        <f t="shared" si="61"/>
        <v>DC</v>
      </c>
      <c r="Z1028" s="7">
        <f t="shared" si="62"/>
        <v>0</v>
      </c>
      <c r="AA1028" s="7">
        <f t="shared" si="63"/>
        <v>0</v>
      </c>
      <c r="AB1028" s="7">
        <f t="shared" si="64"/>
        <v>0</v>
      </c>
      <c r="AC1028" s="7">
        <f t="shared" si="65"/>
        <v>0</v>
      </c>
      <c r="AD1028" s="7">
        <f t="shared" si="66"/>
        <v>0</v>
      </c>
      <c r="AE1028" s="8" cm="1">
        <f t="array" ref="AE1028">IFERROR(_xlfn.XLOOKUP(H1028,Sheet1!$G:$G,Sheet1!$F:$F),IFERROR(_xlfn.XLOOKUP(1,(--($X$2:$X$1074=X1028))*(--ISNUMBER(MATCH($H$2:$H$1074,Sheet1!$G:$G,0))),_xlfn.XLOOKUP($H$2:$H$1074,Sheet1!$G:$G,Sheet1!$F:$F,"")),"NOT FOUND"))</f>
        <v>0</v>
      </c>
      <c r="AF1028" s="9" t="str">
        <f t="shared" si="67"/>
        <v/>
      </c>
      <c r="AG1028" s="10" t="str">
        <f t="shared" si="68"/>
        <v/>
      </c>
      <c r="AH1028" s="8" t="str" cm="1">
        <f t="array" ref="AH1028">IF(OR(J1028="",AE1028="",AE1028="NOT FOUND"),"",IF(Y1028="RP",_xlfn.LET(_xlpm.desc,_xlfn.XLOOKUP(1,(--(Sheet1!$F$2:$F$754=AE1028))*(--ISNUMBER(FIND("-",Sheet1!$W$2:$W$754,FIND("-",Sheet1!$W$2:$W$754)+1))),Sheet1!$W$2:$W$754,""),IF(_xlpm.desc="","NOT FOUND",LEFT(_xlpm.desc,FIND("-",_xlpm.desc,FIND("-",_xlpm.desc)+1))&amp;AE1028)),LEFT(J1028,FIND("-",J1028,FIND("-",J1028)+1))&amp;AE1028))</f>
        <v/>
      </c>
    </row>
    <row r="1029" spans="1:34" ht="15.75" customHeight="1" x14ac:dyDescent="0.2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X1029" s="6" t="e">
        <f t="shared" si="60"/>
        <v>#VALUE!</v>
      </c>
      <c r="Y1029" s="7" t="str">
        <f t="shared" si="61"/>
        <v>DC</v>
      </c>
      <c r="Z1029" s="7">
        <f t="shared" si="62"/>
        <v>0</v>
      </c>
      <c r="AA1029" s="7">
        <f t="shared" si="63"/>
        <v>0</v>
      </c>
      <c r="AB1029" s="7">
        <f t="shared" si="64"/>
        <v>0</v>
      </c>
      <c r="AC1029" s="7">
        <f t="shared" si="65"/>
        <v>0</v>
      </c>
      <c r="AD1029" s="7">
        <f t="shared" si="66"/>
        <v>0</v>
      </c>
      <c r="AE1029" s="8" cm="1">
        <f t="array" ref="AE1029">IFERROR(_xlfn.XLOOKUP(H1029,Sheet1!$G:$G,Sheet1!$F:$F),IFERROR(_xlfn.XLOOKUP(1,(--($X$2:$X$1074=X1029))*(--ISNUMBER(MATCH($H$2:$H$1074,Sheet1!$G:$G,0))),_xlfn.XLOOKUP($H$2:$H$1074,Sheet1!$G:$G,Sheet1!$F:$F,"")),"NOT FOUND"))</f>
        <v>0</v>
      </c>
      <c r="AF1029" s="9" t="str">
        <f t="shared" si="67"/>
        <v/>
      </c>
      <c r="AG1029" s="10" t="str">
        <f t="shared" si="68"/>
        <v/>
      </c>
      <c r="AH1029" s="8" t="str" cm="1">
        <f t="array" ref="AH1029">IF(OR(J1029="",AE1029="",AE1029="NOT FOUND"),"",IF(Y1029="RP",_xlfn.LET(_xlpm.desc,_xlfn.XLOOKUP(1,(--(Sheet1!$F$2:$F$754=AE1029))*(--ISNUMBER(FIND("-",Sheet1!$W$2:$W$754,FIND("-",Sheet1!$W$2:$W$754)+1))),Sheet1!$W$2:$W$754,""),IF(_xlpm.desc="","NOT FOUND",LEFT(_xlpm.desc,FIND("-",_xlpm.desc,FIND("-",_xlpm.desc)+1))&amp;AE1029)),LEFT(J1029,FIND("-",J1029,FIND("-",J1029)+1))&amp;AE1029))</f>
        <v/>
      </c>
    </row>
    <row r="1030" spans="1:34" ht="15.75" customHeight="1" x14ac:dyDescent="0.2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X1030" s="6" t="e">
        <f t="shared" si="60"/>
        <v>#VALUE!</v>
      </c>
      <c r="Y1030" s="7" t="str">
        <f t="shared" si="61"/>
        <v>DC</v>
      </c>
      <c r="Z1030" s="7">
        <f t="shared" si="62"/>
        <v>0</v>
      </c>
      <c r="AA1030" s="7">
        <f t="shared" si="63"/>
        <v>0</v>
      </c>
      <c r="AB1030" s="7">
        <f t="shared" si="64"/>
        <v>0</v>
      </c>
      <c r="AC1030" s="7">
        <f t="shared" si="65"/>
        <v>0</v>
      </c>
      <c r="AD1030" s="7">
        <f t="shared" si="66"/>
        <v>0</v>
      </c>
      <c r="AE1030" s="8" cm="1">
        <f t="array" ref="AE1030">IFERROR(_xlfn.XLOOKUP(H1030,Sheet1!$G:$G,Sheet1!$F:$F),IFERROR(_xlfn.XLOOKUP(1,(--($X$2:$X$1074=X1030))*(--ISNUMBER(MATCH($H$2:$H$1074,Sheet1!$G:$G,0))),_xlfn.XLOOKUP($H$2:$H$1074,Sheet1!$G:$G,Sheet1!$F:$F,"")),"NOT FOUND"))</f>
        <v>0</v>
      </c>
      <c r="AF1030" s="9" t="str">
        <f t="shared" si="67"/>
        <v/>
      </c>
      <c r="AG1030" s="10" t="str">
        <f t="shared" si="68"/>
        <v/>
      </c>
      <c r="AH1030" s="8" t="str" cm="1">
        <f t="array" ref="AH1030">IF(OR(J1030="",AE1030="",AE1030="NOT FOUND"),"",IF(Y1030="RP",_xlfn.LET(_xlpm.desc,_xlfn.XLOOKUP(1,(--(Sheet1!$F$2:$F$754=AE1030))*(--ISNUMBER(FIND("-",Sheet1!$W$2:$W$754,FIND("-",Sheet1!$W$2:$W$754)+1))),Sheet1!$W$2:$W$754,""),IF(_xlpm.desc="","NOT FOUND",LEFT(_xlpm.desc,FIND("-",_xlpm.desc,FIND("-",_xlpm.desc)+1))&amp;AE1030)),LEFT(J1030,FIND("-",J1030,FIND("-",J1030)+1))&amp;AE1030))</f>
        <v/>
      </c>
    </row>
    <row r="1031" spans="1:34" ht="15.75" customHeight="1" x14ac:dyDescent="0.2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X1031" s="6" t="e">
        <f t="shared" si="60"/>
        <v>#VALUE!</v>
      </c>
      <c r="Y1031" s="7" t="str">
        <f t="shared" si="61"/>
        <v>DC</v>
      </c>
      <c r="Z1031" s="7">
        <f t="shared" si="62"/>
        <v>0</v>
      </c>
      <c r="AA1031" s="7">
        <f t="shared" si="63"/>
        <v>0</v>
      </c>
      <c r="AB1031" s="7">
        <f t="shared" si="64"/>
        <v>0</v>
      </c>
      <c r="AC1031" s="7">
        <f t="shared" si="65"/>
        <v>0</v>
      </c>
      <c r="AD1031" s="7">
        <f t="shared" si="66"/>
        <v>0</v>
      </c>
      <c r="AE1031" s="8" cm="1">
        <f t="array" ref="AE1031">IFERROR(_xlfn.XLOOKUP(H1031,Sheet1!$G:$G,Sheet1!$F:$F),IFERROR(_xlfn.XLOOKUP(1,(--($X$2:$X$1074=X1031))*(--ISNUMBER(MATCH($H$2:$H$1074,Sheet1!$G:$G,0))),_xlfn.XLOOKUP($H$2:$H$1074,Sheet1!$G:$G,Sheet1!$F:$F,"")),"NOT FOUND"))</f>
        <v>0</v>
      </c>
      <c r="AF1031" s="9" t="str">
        <f t="shared" si="67"/>
        <v/>
      </c>
      <c r="AG1031" s="10" t="str">
        <f t="shared" si="68"/>
        <v/>
      </c>
      <c r="AH1031" s="8" t="str" cm="1">
        <f t="array" ref="AH1031">IF(OR(J1031="",AE1031="",AE1031="NOT FOUND"),"",IF(Y1031="RP",_xlfn.LET(_xlpm.desc,_xlfn.XLOOKUP(1,(--(Sheet1!$F$2:$F$754=AE1031))*(--ISNUMBER(FIND("-",Sheet1!$W$2:$W$754,FIND("-",Sheet1!$W$2:$W$754)+1))),Sheet1!$W$2:$W$754,""),IF(_xlpm.desc="","NOT FOUND",LEFT(_xlpm.desc,FIND("-",_xlpm.desc,FIND("-",_xlpm.desc)+1))&amp;AE1031)),LEFT(J1031,FIND("-",J1031,FIND("-",J1031)+1))&amp;AE1031))</f>
        <v/>
      </c>
    </row>
    <row r="1032" spans="1:34" ht="15.75" customHeight="1" x14ac:dyDescent="0.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X1032" s="6" t="e">
        <f t="shared" si="60"/>
        <v>#VALUE!</v>
      </c>
      <c r="Y1032" s="7" t="str">
        <f t="shared" si="61"/>
        <v>DC</v>
      </c>
      <c r="Z1032" s="7">
        <f t="shared" si="62"/>
        <v>0</v>
      </c>
      <c r="AA1032" s="7">
        <f t="shared" si="63"/>
        <v>0</v>
      </c>
      <c r="AB1032" s="7">
        <f t="shared" si="64"/>
        <v>0</v>
      </c>
      <c r="AC1032" s="7">
        <f t="shared" si="65"/>
        <v>0</v>
      </c>
      <c r="AD1032" s="7">
        <f t="shared" si="66"/>
        <v>0</v>
      </c>
      <c r="AE1032" s="8" cm="1">
        <f t="array" ref="AE1032">IFERROR(_xlfn.XLOOKUP(H1032,Sheet1!$G:$G,Sheet1!$F:$F),IFERROR(_xlfn.XLOOKUP(1,(--($X$2:$X$1074=X1032))*(--ISNUMBER(MATCH($H$2:$H$1074,Sheet1!$G:$G,0))),_xlfn.XLOOKUP($H$2:$H$1074,Sheet1!$G:$G,Sheet1!$F:$F,"")),"NOT FOUND"))</f>
        <v>0</v>
      </c>
      <c r="AF1032" s="9" t="str">
        <f t="shared" si="67"/>
        <v/>
      </c>
      <c r="AG1032" s="10" t="str">
        <f t="shared" si="68"/>
        <v/>
      </c>
      <c r="AH1032" s="8" t="str" cm="1">
        <f t="array" ref="AH1032">IF(OR(J1032="",AE1032="",AE1032="NOT FOUND"),"",IF(Y1032="RP",_xlfn.LET(_xlpm.desc,_xlfn.XLOOKUP(1,(--(Sheet1!$F$2:$F$754=AE1032))*(--ISNUMBER(FIND("-",Sheet1!$W$2:$W$754,FIND("-",Sheet1!$W$2:$W$754)+1))),Sheet1!$W$2:$W$754,""),IF(_xlpm.desc="","NOT FOUND",LEFT(_xlpm.desc,FIND("-",_xlpm.desc,FIND("-",_xlpm.desc)+1))&amp;AE1032)),LEFT(J1032,FIND("-",J1032,FIND("-",J1032)+1))&amp;AE1032))</f>
        <v/>
      </c>
    </row>
    <row r="1033" spans="1:34" ht="15.75" customHeight="1" x14ac:dyDescent="0.2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X1033" s="6" t="e">
        <f t="shared" si="60"/>
        <v>#VALUE!</v>
      </c>
      <c r="Y1033" s="7" t="str">
        <f t="shared" si="61"/>
        <v>DC</v>
      </c>
      <c r="Z1033" s="7">
        <f t="shared" si="62"/>
        <v>0</v>
      </c>
      <c r="AA1033" s="7">
        <f t="shared" si="63"/>
        <v>0</v>
      </c>
      <c r="AB1033" s="7">
        <f t="shared" si="64"/>
        <v>0</v>
      </c>
      <c r="AC1033" s="7">
        <f t="shared" si="65"/>
        <v>0</v>
      </c>
      <c r="AD1033" s="7">
        <f t="shared" si="66"/>
        <v>0</v>
      </c>
      <c r="AE1033" s="8" cm="1">
        <f t="array" ref="AE1033">IFERROR(_xlfn.XLOOKUP(H1033,Sheet1!$G:$G,Sheet1!$F:$F),IFERROR(_xlfn.XLOOKUP(1,(--($X$2:$X$1074=X1033))*(--ISNUMBER(MATCH($H$2:$H$1074,Sheet1!$G:$G,0))),_xlfn.XLOOKUP($H$2:$H$1074,Sheet1!$G:$G,Sheet1!$F:$F,"")),"NOT FOUND"))</f>
        <v>0</v>
      </c>
      <c r="AF1033" s="9" t="str">
        <f t="shared" si="67"/>
        <v/>
      </c>
      <c r="AG1033" s="10" t="str">
        <f t="shared" si="68"/>
        <v/>
      </c>
      <c r="AH1033" s="8" t="str" cm="1">
        <f t="array" ref="AH1033">IF(OR(J1033="",AE1033="",AE1033="NOT FOUND"),"",IF(Y1033="RP",_xlfn.LET(_xlpm.desc,_xlfn.XLOOKUP(1,(--(Sheet1!$F$2:$F$754=AE1033))*(--ISNUMBER(FIND("-",Sheet1!$W$2:$W$754,FIND("-",Sheet1!$W$2:$W$754)+1))),Sheet1!$W$2:$W$754,""),IF(_xlpm.desc="","NOT FOUND",LEFT(_xlpm.desc,FIND("-",_xlpm.desc,FIND("-",_xlpm.desc)+1))&amp;AE1033)),LEFT(J1033,FIND("-",J1033,FIND("-",J1033)+1))&amp;AE1033))</f>
        <v/>
      </c>
    </row>
    <row r="1034" spans="1:34" ht="15.75" customHeight="1" x14ac:dyDescent="0.2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X1034" s="6" t="e">
        <f t="shared" si="60"/>
        <v>#VALUE!</v>
      </c>
      <c r="Y1034" s="7" t="str">
        <f t="shared" si="61"/>
        <v>DC</v>
      </c>
      <c r="Z1034" s="7">
        <f t="shared" si="62"/>
        <v>0</v>
      </c>
      <c r="AA1034" s="7">
        <f t="shared" si="63"/>
        <v>0</v>
      </c>
      <c r="AB1034" s="7">
        <f t="shared" si="64"/>
        <v>0</v>
      </c>
      <c r="AC1034" s="7">
        <f t="shared" si="65"/>
        <v>0</v>
      </c>
      <c r="AD1034" s="7">
        <f t="shared" si="66"/>
        <v>0</v>
      </c>
      <c r="AE1034" s="8" cm="1">
        <f t="array" ref="AE1034">IFERROR(_xlfn.XLOOKUP(H1034,Sheet1!$G:$G,Sheet1!$F:$F),IFERROR(_xlfn.XLOOKUP(1,(--($X$2:$X$1074=X1034))*(--ISNUMBER(MATCH($H$2:$H$1074,Sheet1!$G:$G,0))),_xlfn.XLOOKUP($H$2:$H$1074,Sheet1!$G:$G,Sheet1!$F:$F,"")),"NOT FOUND"))</f>
        <v>0</v>
      </c>
      <c r="AF1034" s="9" t="str">
        <f t="shared" si="67"/>
        <v/>
      </c>
      <c r="AG1034" s="10" t="str">
        <f t="shared" si="68"/>
        <v/>
      </c>
      <c r="AH1034" s="8" t="str" cm="1">
        <f t="array" ref="AH1034">IF(OR(J1034="",AE1034="",AE1034="NOT FOUND"),"",IF(Y1034="RP",_xlfn.LET(_xlpm.desc,_xlfn.XLOOKUP(1,(--(Sheet1!$F$2:$F$754=AE1034))*(--ISNUMBER(FIND("-",Sheet1!$W$2:$W$754,FIND("-",Sheet1!$W$2:$W$754)+1))),Sheet1!$W$2:$W$754,""),IF(_xlpm.desc="","NOT FOUND",LEFT(_xlpm.desc,FIND("-",_xlpm.desc,FIND("-",_xlpm.desc)+1))&amp;AE1034)),LEFT(J1034,FIND("-",J1034,FIND("-",J1034)+1))&amp;AE1034))</f>
        <v/>
      </c>
    </row>
    <row r="1035" spans="1:34" ht="15.75" customHeight="1" x14ac:dyDescent="0.2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X1035" s="6" t="e">
        <f t="shared" si="60"/>
        <v>#VALUE!</v>
      </c>
      <c r="Y1035" s="7" t="str">
        <f t="shared" si="61"/>
        <v>DC</v>
      </c>
      <c r="Z1035" s="7">
        <f t="shared" si="62"/>
        <v>0</v>
      </c>
      <c r="AA1035" s="7">
        <f t="shared" si="63"/>
        <v>0</v>
      </c>
      <c r="AB1035" s="7">
        <f t="shared" si="64"/>
        <v>0</v>
      </c>
      <c r="AC1035" s="7">
        <f t="shared" si="65"/>
        <v>0</v>
      </c>
      <c r="AD1035" s="7">
        <f t="shared" si="66"/>
        <v>0</v>
      </c>
      <c r="AE1035" s="8" cm="1">
        <f t="array" ref="AE1035">IFERROR(_xlfn.XLOOKUP(H1035,Sheet1!$G:$G,Sheet1!$F:$F),IFERROR(_xlfn.XLOOKUP(1,(--($X$2:$X$1074=X1035))*(--ISNUMBER(MATCH($H$2:$H$1074,Sheet1!$G:$G,0))),_xlfn.XLOOKUP($H$2:$H$1074,Sheet1!$G:$G,Sheet1!$F:$F,"")),"NOT FOUND"))</f>
        <v>0</v>
      </c>
      <c r="AF1035" s="9" t="str">
        <f t="shared" si="67"/>
        <v/>
      </c>
      <c r="AG1035" s="10" t="str">
        <f t="shared" si="68"/>
        <v/>
      </c>
      <c r="AH1035" s="8" t="str" cm="1">
        <f t="array" ref="AH1035">IF(OR(J1035="",AE1035="",AE1035="NOT FOUND"),"",IF(Y1035="RP",_xlfn.LET(_xlpm.desc,_xlfn.XLOOKUP(1,(--(Sheet1!$F$2:$F$754=AE1035))*(--ISNUMBER(FIND("-",Sheet1!$W$2:$W$754,FIND("-",Sheet1!$W$2:$W$754)+1))),Sheet1!$W$2:$W$754,""),IF(_xlpm.desc="","NOT FOUND",LEFT(_xlpm.desc,FIND("-",_xlpm.desc,FIND("-",_xlpm.desc)+1))&amp;AE1035)),LEFT(J1035,FIND("-",J1035,FIND("-",J1035)+1))&amp;AE1035))</f>
        <v/>
      </c>
    </row>
    <row r="1036" spans="1:34" ht="15.75" customHeight="1" x14ac:dyDescent="0.2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X1036" s="6" t="e">
        <f t="shared" si="60"/>
        <v>#VALUE!</v>
      </c>
      <c r="Y1036" s="7" t="str">
        <f t="shared" si="61"/>
        <v>DC</v>
      </c>
      <c r="Z1036" s="7">
        <f t="shared" si="62"/>
        <v>0</v>
      </c>
      <c r="AA1036" s="7">
        <f t="shared" si="63"/>
        <v>0</v>
      </c>
      <c r="AB1036" s="7">
        <f t="shared" si="64"/>
        <v>0</v>
      </c>
      <c r="AC1036" s="7">
        <f t="shared" si="65"/>
        <v>0</v>
      </c>
      <c r="AD1036" s="7">
        <f t="shared" si="66"/>
        <v>0</v>
      </c>
      <c r="AE1036" s="8" cm="1">
        <f t="array" ref="AE1036">IFERROR(_xlfn.XLOOKUP(H1036,Sheet1!$G:$G,Sheet1!$F:$F),IFERROR(_xlfn.XLOOKUP(1,(--($X$2:$X$1074=X1036))*(--ISNUMBER(MATCH($H$2:$H$1074,Sheet1!$G:$G,0))),_xlfn.XLOOKUP($H$2:$H$1074,Sheet1!$G:$G,Sheet1!$F:$F,"")),"NOT FOUND"))</f>
        <v>0</v>
      </c>
      <c r="AF1036" s="9" t="str">
        <f t="shared" si="67"/>
        <v/>
      </c>
      <c r="AG1036" s="10" t="str">
        <f t="shared" si="68"/>
        <v/>
      </c>
      <c r="AH1036" s="8" t="str" cm="1">
        <f t="array" ref="AH1036">IF(OR(J1036="",AE1036="",AE1036="NOT FOUND"),"",IF(Y1036="RP",_xlfn.LET(_xlpm.desc,_xlfn.XLOOKUP(1,(--(Sheet1!$F$2:$F$754=AE1036))*(--ISNUMBER(FIND("-",Sheet1!$W$2:$W$754,FIND("-",Sheet1!$W$2:$W$754)+1))),Sheet1!$W$2:$W$754,""),IF(_xlpm.desc="","NOT FOUND",LEFT(_xlpm.desc,FIND("-",_xlpm.desc,FIND("-",_xlpm.desc)+1))&amp;AE1036)),LEFT(J1036,FIND("-",J1036,FIND("-",J1036)+1))&amp;AE1036))</f>
        <v/>
      </c>
    </row>
    <row r="1037" spans="1:34" ht="15.75" customHeight="1" x14ac:dyDescent="0.2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X1037" s="6" t="e">
        <f t="shared" si="60"/>
        <v>#VALUE!</v>
      </c>
      <c r="Y1037" s="7" t="str">
        <f t="shared" si="61"/>
        <v>DC</v>
      </c>
      <c r="Z1037" s="7">
        <f t="shared" si="62"/>
        <v>0</v>
      </c>
      <c r="AA1037" s="7">
        <f t="shared" si="63"/>
        <v>0</v>
      </c>
      <c r="AB1037" s="7">
        <f t="shared" si="64"/>
        <v>0</v>
      </c>
      <c r="AC1037" s="7">
        <f t="shared" si="65"/>
        <v>0</v>
      </c>
      <c r="AD1037" s="7">
        <f t="shared" si="66"/>
        <v>0</v>
      </c>
      <c r="AE1037" s="8" cm="1">
        <f t="array" ref="AE1037">IFERROR(_xlfn.XLOOKUP(H1037,Sheet1!$G:$G,Sheet1!$F:$F),IFERROR(_xlfn.XLOOKUP(1,(--($X$2:$X$1074=X1037))*(--ISNUMBER(MATCH($H$2:$H$1074,Sheet1!$G:$G,0))),_xlfn.XLOOKUP($H$2:$H$1074,Sheet1!$G:$G,Sheet1!$F:$F,"")),"NOT FOUND"))</f>
        <v>0</v>
      </c>
      <c r="AF1037" s="9" t="str">
        <f t="shared" si="67"/>
        <v/>
      </c>
      <c r="AG1037" s="10" t="str">
        <f t="shared" si="68"/>
        <v/>
      </c>
      <c r="AH1037" s="8" t="str" cm="1">
        <f t="array" ref="AH1037">IF(OR(J1037="",AE1037="",AE1037="NOT FOUND"),"",IF(Y1037="RP",_xlfn.LET(_xlpm.desc,_xlfn.XLOOKUP(1,(--(Sheet1!$F$2:$F$754=AE1037))*(--ISNUMBER(FIND("-",Sheet1!$W$2:$W$754,FIND("-",Sheet1!$W$2:$W$754)+1))),Sheet1!$W$2:$W$754,""),IF(_xlpm.desc="","NOT FOUND",LEFT(_xlpm.desc,FIND("-",_xlpm.desc,FIND("-",_xlpm.desc)+1))&amp;AE1037)),LEFT(J1037,FIND("-",J1037,FIND("-",J1037)+1))&amp;AE1037))</f>
        <v/>
      </c>
    </row>
    <row r="1038" spans="1:34" ht="15.75" customHeight="1" x14ac:dyDescent="0.2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X1038" s="6" t="e">
        <f t="shared" si="60"/>
        <v>#VALUE!</v>
      </c>
      <c r="Y1038" s="7" t="str">
        <f t="shared" si="61"/>
        <v>DC</v>
      </c>
      <c r="Z1038" s="7">
        <f t="shared" si="62"/>
        <v>0</v>
      </c>
      <c r="AA1038" s="7">
        <f t="shared" si="63"/>
        <v>0</v>
      </c>
      <c r="AB1038" s="7">
        <f t="shared" si="64"/>
        <v>0</v>
      </c>
      <c r="AC1038" s="7">
        <f t="shared" si="65"/>
        <v>0</v>
      </c>
      <c r="AD1038" s="7">
        <f t="shared" si="66"/>
        <v>0</v>
      </c>
      <c r="AE1038" s="8" cm="1">
        <f t="array" ref="AE1038">IFERROR(_xlfn.XLOOKUP(H1038,Sheet1!$G:$G,Sheet1!$F:$F),IFERROR(_xlfn.XLOOKUP(1,(--($X$2:$X$1074=X1038))*(--ISNUMBER(MATCH($H$2:$H$1074,Sheet1!$G:$G,0))),_xlfn.XLOOKUP($H$2:$H$1074,Sheet1!$G:$G,Sheet1!$F:$F,"")),"NOT FOUND"))</f>
        <v>0</v>
      </c>
      <c r="AF1038" s="9" t="str">
        <f t="shared" si="67"/>
        <v/>
      </c>
      <c r="AG1038" s="10" t="str">
        <f t="shared" si="68"/>
        <v/>
      </c>
      <c r="AH1038" s="8" t="str" cm="1">
        <f t="array" ref="AH1038">IF(OR(J1038="",AE1038="",AE1038="NOT FOUND"),"",IF(Y1038="RP",_xlfn.LET(_xlpm.desc,_xlfn.XLOOKUP(1,(--(Sheet1!$F$2:$F$754=AE1038))*(--ISNUMBER(FIND("-",Sheet1!$W$2:$W$754,FIND("-",Sheet1!$W$2:$W$754)+1))),Sheet1!$W$2:$W$754,""),IF(_xlpm.desc="","NOT FOUND",LEFT(_xlpm.desc,FIND("-",_xlpm.desc,FIND("-",_xlpm.desc)+1))&amp;AE1038)),LEFT(J1038,FIND("-",J1038,FIND("-",J1038)+1))&amp;AE1038))</f>
        <v/>
      </c>
    </row>
    <row r="1039" spans="1:34" ht="15.75" customHeight="1" x14ac:dyDescent="0.2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X1039" s="6" t="e">
        <f t="shared" si="60"/>
        <v>#VALUE!</v>
      </c>
      <c r="Y1039" s="7" t="str">
        <f t="shared" si="61"/>
        <v>DC</v>
      </c>
      <c r="Z1039" s="7">
        <f t="shared" si="62"/>
        <v>0</v>
      </c>
      <c r="AA1039" s="7">
        <f t="shared" si="63"/>
        <v>0</v>
      </c>
      <c r="AB1039" s="7">
        <f t="shared" si="64"/>
        <v>0</v>
      </c>
      <c r="AC1039" s="7">
        <f t="shared" si="65"/>
        <v>0</v>
      </c>
      <c r="AD1039" s="7">
        <f t="shared" si="66"/>
        <v>0</v>
      </c>
      <c r="AE1039" s="8" cm="1">
        <f t="array" ref="AE1039">IFERROR(_xlfn.XLOOKUP(H1039,Sheet1!$G:$G,Sheet1!$F:$F),IFERROR(_xlfn.XLOOKUP(1,(--($X$2:$X$1074=X1039))*(--ISNUMBER(MATCH($H$2:$H$1074,Sheet1!$G:$G,0))),_xlfn.XLOOKUP($H$2:$H$1074,Sheet1!$G:$G,Sheet1!$F:$F,"")),"NOT FOUND"))</f>
        <v>0</v>
      </c>
      <c r="AF1039" s="9" t="str">
        <f t="shared" si="67"/>
        <v/>
      </c>
      <c r="AG1039" s="10" t="str">
        <f t="shared" si="68"/>
        <v/>
      </c>
      <c r="AH1039" s="8" t="str" cm="1">
        <f t="array" ref="AH1039">IF(OR(J1039="",AE1039="",AE1039="NOT FOUND"),"",IF(Y1039="RP",_xlfn.LET(_xlpm.desc,_xlfn.XLOOKUP(1,(--(Sheet1!$F$2:$F$754=AE1039))*(--ISNUMBER(FIND("-",Sheet1!$W$2:$W$754,FIND("-",Sheet1!$W$2:$W$754)+1))),Sheet1!$W$2:$W$754,""),IF(_xlpm.desc="","NOT FOUND",LEFT(_xlpm.desc,FIND("-",_xlpm.desc,FIND("-",_xlpm.desc)+1))&amp;AE1039)),LEFT(J1039,FIND("-",J1039,FIND("-",J1039)+1))&amp;AE1039))</f>
        <v/>
      </c>
    </row>
    <row r="1040" spans="1:34" ht="15.75" customHeight="1" x14ac:dyDescent="0.2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X1040" s="6" t="e">
        <f t="shared" si="60"/>
        <v>#VALUE!</v>
      </c>
      <c r="Y1040" s="7" t="str">
        <f t="shared" si="61"/>
        <v>DC</v>
      </c>
      <c r="Z1040" s="7">
        <f t="shared" si="62"/>
        <v>0</v>
      </c>
      <c r="AA1040" s="7">
        <f t="shared" si="63"/>
        <v>0</v>
      </c>
      <c r="AB1040" s="7">
        <f t="shared" si="64"/>
        <v>0</v>
      </c>
      <c r="AC1040" s="7">
        <f t="shared" si="65"/>
        <v>0</v>
      </c>
      <c r="AD1040" s="7">
        <f t="shared" si="66"/>
        <v>0</v>
      </c>
      <c r="AE1040" s="8" cm="1">
        <f t="array" ref="AE1040">IFERROR(_xlfn.XLOOKUP(H1040,Sheet1!$G:$G,Sheet1!$F:$F),IFERROR(_xlfn.XLOOKUP(1,(--($X$2:$X$1074=X1040))*(--ISNUMBER(MATCH($H$2:$H$1074,Sheet1!$G:$G,0))),_xlfn.XLOOKUP($H$2:$H$1074,Sheet1!$G:$G,Sheet1!$F:$F,"")),"NOT FOUND"))</f>
        <v>0</v>
      </c>
      <c r="AF1040" s="9" t="str">
        <f t="shared" si="67"/>
        <v/>
      </c>
      <c r="AG1040" s="10" t="str">
        <f t="shared" si="68"/>
        <v/>
      </c>
      <c r="AH1040" s="8" t="str" cm="1">
        <f t="array" ref="AH1040">IF(OR(J1040="",AE1040="",AE1040="NOT FOUND"),"",IF(Y1040="RP",_xlfn.LET(_xlpm.desc,_xlfn.XLOOKUP(1,(--(Sheet1!$F$2:$F$754=AE1040))*(--ISNUMBER(FIND("-",Sheet1!$W$2:$W$754,FIND("-",Sheet1!$W$2:$W$754)+1))),Sheet1!$W$2:$W$754,""),IF(_xlpm.desc="","NOT FOUND",LEFT(_xlpm.desc,FIND("-",_xlpm.desc,FIND("-",_xlpm.desc)+1))&amp;AE1040)),LEFT(J1040,FIND("-",J1040,FIND("-",J1040)+1))&amp;AE1040))</f>
        <v/>
      </c>
    </row>
    <row r="1041" spans="1:34" ht="15.75" customHeight="1" x14ac:dyDescent="0.2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X1041" s="6" t="e">
        <f t="shared" si="60"/>
        <v>#VALUE!</v>
      </c>
      <c r="Y1041" s="7" t="str">
        <f t="shared" si="61"/>
        <v>DC</v>
      </c>
      <c r="Z1041" s="7">
        <f t="shared" si="62"/>
        <v>0</v>
      </c>
      <c r="AA1041" s="7">
        <f t="shared" si="63"/>
        <v>0</v>
      </c>
      <c r="AB1041" s="7">
        <f t="shared" si="64"/>
        <v>0</v>
      </c>
      <c r="AC1041" s="7">
        <f t="shared" si="65"/>
        <v>0</v>
      </c>
      <c r="AD1041" s="7">
        <f t="shared" si="66"/>
        <v>0</v>
      </c>
      <c r="AE1041" s="8" cm="1">
        <f t="array" ref="AE1041">IFERROR(_xlfn.XLOOKUP(H1041,Sheet1!$G:$G,Sheet1!$F:$F),IFERROR(_xlfn.XLOOKUP(1,(--($X$2:$X$1074=X1041))*(--ISNUMBER(MATCH($H$2:$H$1074,Sheet1!$G:$G,0))),_xlfn.XLOOKUP($H$2:$H$1074,Sheet1!$G:$G,Sheet1!$F:$F,"")),"NOT FOUND"))</f>
        <v>0</v>
      </c>
      <c r="AF1041" s="9" t="str">
        <f t="shared" si="67"/>
        <v/>
      </c>
      <c r="AG1041" s="10" t="str">
        <f t="shared" si="68"/>
        <v/>
      </c>
      <c r="AH1041" s="8" t="str" cm="1">
        <f t="array" ref="AH1041">IF(OR(J1041="",AE1041="",AE1041="NOT FOUND"),"",IF(Y1041="RP",_xlfn.LET(_xlpm.desc,_xlfn.XLOOKUP(1,(--(Sheet1!$F$2:$F$754=AE1041))*(--ISNUMBER(FIND("-",Sheet1!$W$2:$W$754,FIND("-",Sheet1!$W$2:$W$754)+1))),Sheet1!$W$2:$W$754,""),IF(_xlpm.desc="","NOT FOUND",LEFT(_xlpm.desc,FIND("-",_xlpm.desc,FIND("-",_xlpm.desc)+1))&amp;AE1041)),LEFT(J1041,FIND("-",J1041,FIND("-",J1041)+1))&amp;AE1041))</f>
        <v/>
      </c>
    </row>
    <row r="1042" spans="1:34" ht="15.75" customHeight="1" x14ac:dyDescent="0.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X1042" s="6" t="e">
        <f t="shared" si="60"/>
        <v>#VALUE!</v>
      </c>
      <c r="Y1042" s="7" t="str">
        <f t="shared" si="61"/>
        <v>DC</v>
      </c>
      <c r="Z1042" s="7">
        <f t="shared" si="62"/>
        <v>0</v>
      </c>
      <c r="AA1042" s="7">
        <f t="shared" si="63"/>
        <v>0</v>
      </c>
      <c r="AB1042" s="7">
        <f t="shared" si="64"/>
        <v>0</v>
      </c>
      <c r="AC1042" s="7">
        <f t="shared" si="65"/>
        <v>0</v>
      </c>
      <c r="AD1042" s="7">
        <f t="shared" si="66"/>
        <v>0</v>
      </c>
      <c r="AE1042" s="8" cm="1">
        <f t="array" ref="AE1042">IFERROR(_xlfn.XLOOKUP(H1042,Sheet1!$G:$G,Sheet1!$F:$F),IFERROR(_xlfn.XLOOKUP(1,(--($X$2:$X$1074=X1042))*(--ISNUMBER(MATCH($H$2:$H$1074,Sheet1!$G:$G,0))),_xlfn.XLOOKUP($H$2:$H$1074,Sheet1!$G:$G,Sheet1!$F:$F,"")),"NOT FOUND"))</f>
        <v>0</v>
      </c>
      <c r="AF1042" s="9" t="str">
        <f t="shared" si="67"/>
        <v/>
      </c>
      <c r="AG1042" s="10" t="str">
        <f t="shared" si="68"/>
        <v/>
      </c>
      <c r="AH1042" s="8" t="str" cm="1">
        <f t="array" ref="AH1042">IF(OR(J1042="",AE1042="",AE1042="NOT FOUND"),"",IF(Y1042="RP",_xlfn.LET(_xlpm.desc,_xlfn.XLOOKUP(1,(--(Sheet1!$F$2:$F$754=AE1042))*(--ISNUMBER(FIND("-",Sheet1!$W$2:$W$754,FIND("-",Sheet1!$W$2:$W$754)+1))),Sheet1!$W$2:$W$754,""),IF(_xlpm.desc="","NOT FOUND",LEFT(_xlpm.desc,FIND("-",_xlpm.desc,FIND("-",_xlpm.desc)+1))&amp;AE1042)),LEFT(J1042,FIND("-",J1042,FIND("-",J1042)+1))&amp;AE1042))</f>
        <v/>
      </c>
    </row>
    <row r="1043" spans="1:34" ht="15.75" customHeight="1" x14ac:dyDescent="0.2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X1043" s="6" t="e">
        <f t="shared" si="60"/>
        <v>#VALUE!</v>
      </c>
      <c r="Y1043" s="7" t="str">
        <f t="shared" si="61"/>
        <v>DC</v>
      </c>
      <c r="Z1043" s="7">
        <f t="shared" si="62"/>
        <v>0</v>
      </c>
      <c r="AA1043" s="7">
        <f t="shared" si="63"/>
        <v>0</v>
      </c>
      <c r="AB1043" s="7">
        <f t="shared" si="64"/>
        <v>0</v>
      </c>
      <c r="AC1043" s="7">
        <f t="shared" si="65"/>
        <v>0</v>
      </c>
      <c r="AD1043" s="7">
        <f t="shared" si="66"/>
        <v>0</v>
      </c>
      <c r="AE1043" s="8" cm="1">
        <f t="array" ref="AE1043">IFERROR(_xlfn.XLOOKUP(H1043,Sheet1!$G:$G,Sheet1!$F:$F),IFERROR(_xlfn.XLOOKUP(1,(--($X$2:$X$1074=X1043))*(--ISNUMBER(MATCH($H$2:$H$1074,Sheet1!$G:$G,0))),_xlfn.XLOOKUP($H$2:$H$1074,Sheet1!$G:$G,Sheet1!$F:$F,"")),"NOT FOUND"))</f>
        <v>0</v>
      </c>
      <c r="AF1043" s="9" t="str">
        <f t="shared" si="67"/>
        <v/>
      </c>
      <c r="AG1043" s="10" t="str">
        <f t="shared" si="68"/>
        <v/>
      </c>
      <c r="AH1043" s="8" t="str" cm="1">
        <f t="array" ref="AH1043">IF(OR(J1043="",AE1043="",AE1043="NOT FOUND"),"",IF(Y1043="RP",_xlfn.LET(_xlpm.desc,_xlfn.XLOOKUP(1,(--(Sheet1!$F$2:$F$754=AE1043))*(--ISNUMBER(FIND("-",Sheet1!$W$2:$W$754,FIND("-",Sheet1!$W$2:$W$754)+1))),Sheet1!$W$2:$W$754,""),IF(_xlpm.desc="","NOT FOUND",LEFT(_xlpm.desc,FIND("-",_xlpm.desc,FIND("-",_xlpm.desc)+1))&amp;AE1043)),LEFT(J1043,FIND("-",J1043,FIND("-",J1043)+1))&amp;AE1043))</f>
        <v/>
      </c>
    </row>
    <row r="1044" spans="1:34" ht="15.75" customHeight="1" x14ac:dyDescent="0.2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X1044" s="6" t="e">
        <f t="shared" si="60"/>
        <v>#VALUE!</v>
      </c>
      <c r="Y1044" s="7" t="str">
        <f t="shared" si="61"/>
        <v>DC</v>
      </c>
      <c r="Z1044" s="7">
        <f t="shared" si="62"/>
        <v>0</v>
      </c>
      <c r="AA1044" s="7">
        <f t="shared" si="63"/>
        <v>0</v>
      </c>
      <c r="AB1044" s="7">
        <f t="shared" si="64"/>
        <v>0</v>
      </c>
      <c r="AC1044" s="7">
        <f t="shared" si="65"/>
        <v>0</v>
      </c>
      <c r="AD1044" s="7">
        <f t="shared" si="66"/>
        <v>0</v>
      </c>
      <c r="AE1044" s="8" cm="1">
        <f t="array" ref="AE1044">IFERROR(_xlfn.XLOOKUP(H1044,Sheet1!$G:$G,Sheet1!$F:$F),IFERROR(_xlfn.XLOOKUP(1,(--($X$2:$X$1074=X1044))*(--ISNUMBER(MATCH($H$2:$H$1074,Sheet1!$G:$G,0))),_xlfn.XLOOKUP($H$2:$H$1074,Sheet1!$G:$G,Sheet1!$F:$F,"")),"NOT FOUND"))</f>
        <v>0</v>
      </c>
      <c r="AF1044" s="9" t="str">
        <f t="shared" si="67"/>
        <v/>
      </c>
      <c r="AG1044" s="10" t="str">
        <f t="shared" si="68"/>
        <v/>
      </c>
      <c r="AH1044" s="8" t="str" cm="1">
        <f t="array" ref="AH1044">IF(OR(J1044="",AE1044="",AE1044="NOT FOUND"),"",IF(Y1044="RP",_xlfn.LET(_xlpm.desc,_xlfn.XLOOKUP(1,(--(Sheet1!$F$2:$F$754=AE1044))*(--ISNUMBER(FIND("-",Sheet1!$W$2:$W$754,FIND("-",Sheet1!$W$2:$W$754)+1))),Sheet1!$W$2:$W$754,""),IF(_xlpm.desc="","NOT FOUND",LEFT(_xlpm.desc,FIND("-",_xlpm.desc,FIND("-",_xlpm.desc)+1))&amp;AE1044)),LEFT(J1044,FIND("-",J1044,FIND("-",J1044)+1))&amp;AE1044))</f>
        <v/>
      </c>
    </row>
    <row r="1045" spans="1:34" ht="15.75" customHeight="1" x14ac:dyDescent="0.2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X1045" s="6" t="e">
        <f t="shared" si="60"/>
        <v>#VALUE!</v>
      </c>
      <c r="Y1045" s="7" t="str">
        <f t="shared" si="61"/>
        <v>DC</v>
      </c>
      <c r="Z1045" s="7">
        <f t="shared" si="62"/>
        <v>0</v>
      </c>
      <c r="AA1045" s="7">
        <f t="shared" si="63"/>
        <v>0</v>
      </c>
      <c r="AB1045" s="7">
        <f t="shared" si="64"/>
        <v>0</v>
      </c>
      <c r="AC1045" s="7">
        <f t="shared" si="65"/>
        <v>0</v>
      </c>
      <c r="AD1045" s="7">
        <f t="shared" si="66"/>
        <v>0</v>
      </c>
      <c r="AE1045" s="8" cm="1">
        <f t="array" ref="AE1045">IFERROR(_xlfn.XLOOKUP(H1045,Sheet1!$G:$G,Sheet1!$F:$F),IFERROR(_xlfn.XLOOKUP(1,(--($X$2:$X$1074=X1045))*(--ISNUMBER(MATCH($H$2:$H$1074,Sheet1!$G:$G,0))),_xlfn.XLOOKUP($H$2:$H$1074,Sheet1!$G:$G,Sheet1!$F:$F,"")),"NOT FOUND"))</f>
        <v>0</v>
      </c>
      <c r="AF1045" s="9" t="str">
        <f t="shared" si="67"/>
        <v/>
      </c>
      <c r="AG1045" s="10" t="str">
        <f t="shared" si="68"/>
        <v/>
      </c>
      <c r="AH1045" s="8" t="str" cm="1">
        <f t="array" ref="AH1045">IF(OR(J1045="",AE1045="",AE1045="NOT FOUND"),"",IF(Y1045="RP",_xlfn.LET(_xlpm.desc,_xlfn.XLOOKUP(1,(--(Sheet1!$F$2:$F$754=AE1045))*(--ISNUMBER(FIND("-",Sheet1!$W$2:$W$754,FIND("-",Sheet1!$W$2:$W$754)+1))),Sheet1!$W$2:$W$754,""),IF(_xlpm.desc="","NOT FOUND",LEFT(_xlpm.desc,FIND("-",_xlpm.desc,FIND("-",_xlpm.desc)+1))&amp;AE1045)),LEFT(J1045,FIND("-",J1045,FIND("-",J1045)+1))&amp;AE1045))</f>
        <v/>
      </c>
    </row>
    <row r="1046" spans="1:34" ht="15.75" customHeight="1" x14ac:dyDescent="0.2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X1046" s="6" t="e">
        <f t="shared" si="60"/>
        <v>#VALUE!</v>
      </c>
      <c r="Y1046" s="7" t="str">
        <f t="shared" si="61"/>
        <v>DC</v>
      </c>
      <c r="Z1046" s="7">
        <f t="shared" si="62"/>
        <v>0</v>
      </c>
      <c r="AA1046" s="7">
        <f t="shared" si="63"/>
        <v>0</v>
      </c>
      <c r="AB1046" s="7">
        <f t="shared" si="64"/>
        <v>0</v>
      </c>
      <c r="AC1046" s="7">
        <f t="shared" si="65"/>
        <v>0</v>
      </c>
      <c r="AD1046" s="7">
        <f t="shared" si="66"/>
        <v>0</v>
      </c>
      <c r="AE1046" s="8" cm="1">
        <f t="array" ref="AE1046">IFERROR(_xlfn.XLOOKUP(H1046,Sheet1!$G:$G,Sheet1!$F:$F),IFERROR(_xlfn.XLOOKUP(1,(--($X$2:$X$1074=X1046))*(--ISNUMBER(MATCH($H$2:$H$1074,Sheet1!$G:$G,0))),_xlfn.XLOOKUP($H$2:$H$1074,Sheet1!$G:$G,Sheet1!$F:$F,"")),"NOT FOUND"))</f>
        <v>0</v>
      </c>
      <c r="AF1046" s="9" t="str">
        <f t="shared" si="67"/>
        <v/>
      </c>
      <c r="AG1046" s="10" t="str">
        <f t="shared" si="68"/>
        <v/>
      </c>
      <c r="AH1046" s="8" t="str" cm="1">
        <f t="array" ref="AH1046">IF(OR(J1046="",AE1046="",AE1046="NOT FOUND"),"",IF(Y1046="RP",_xlfn.LET(_xlpm.desc,_xlfn.XLOOKUP(1,(--(Sheet1!$F$2:$F$754=AE1046))*(--ISNUMBER(FIND("-",Sheet1!$W$2:$W$754,FIND("-",Sheet1!$W$2:$W$754)+1))),Sheet1!$W$2:$W$754,""),IF(_xlpm.desc="","NOT FOUND",LEFT(_xlpm.desc,FIND("-",_xlpm.desc,FIND("-",_xlpm.desc)+1))&amp;AE1046)),LEFT(J1046,FIND("-",J1046,FIND("-",J1046)+1))&amp;AE1046))</f>
        <v/>
      </c>
    </row>
    <row r="1047" spans="1:34" ht="15.75" customHeight="1" x14ac:dyDescent="0.2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X1047" s="6" t="e">
        <f t="shared" si="60"/>
        <v>#VALUE!</v>
      </c>
      <c r="Y1047" s="7" t="str">
        <f t="shared" si="61"/>
        <v>DC</v>
      </c>
      <c r="Z1047" s="7">
        <f t="shared" si="62"/>
        <v>0</v>
      </c>
      <c r="AA1047" s="7">
        <f t="shared" si="63"/>
        <v>0</v>
      </c>
      <c r="AB1047" s="7">
        <f t="shared" si="64"/>
        <v>0</v>
      </c>
      <c r="AC1047" s="7">
        <f t="shared" si="65"/>
        <v>0</v>
      </c>
      <c r="AD1047" s="7">
        <f t="shared" si="66"/>
        <v>0</v>
      </c>
      <c r="AE1047" s="8" cm="1">
        <f t="array" ref="AE1047">IFERROR(_xlfn.XLOOKUP(H1047,Sheet1!$G:$G,Sheet1!$F:$F),IFERROR(_xlfn.XLOOKUP(1,(--($X$2:$X$1074=X1047))*(--ISNUMBER(MATCH($H$2:$H$1074,Sheet1!$G:$G,0))),_xlfn.XLOOKUP($H$2:$H$1074,Sheet1!$G:$G,Sheet1!$F:$F,"")),"NOT FOUND"))</f>
        <v>0</v>
      </c>
      <c r="AF1047" s="9" t="str">
        <f t="shared" si="67"/>
        <v/>
      </c>
      <c r="AG1047" s="10" t="str">
        <f t="shared" si="68"/>
        <v/>
      </c>
      <c r="AH1047" s="8" t="str" cm="1">
        <f t="array" ref="AH1047">IF(OR(J1047="",AE1047="",AE1047="NOT FOUND"),"",IF(Y1047="RP",_xlfn.LET(_xlpm.desc,_xlfn.XLOOKUP(1,(--(Sheet1!$F$2:$F$754=AE1047))*(--ISNUMBER(FIND("-",Sheet1!$W$2:$W$754,FIND("-",Sheet1!$W$2:$W$754)+1))),Sheet1!$W$2:$W$754,""),IF(_xlpm.desc="","NOT FOUND",LEFT(_xlpm.desc,FIND("-",_xlpm.desc,FIND("-",_xlpm.desc)+1))&amp;AE1047)),LEFT(J1047,FIND("-",J1047,FIND("-",J1047)+1))&amp;AE1047))</f>
        <v/>
      </c>
    </row>
    <row r="1048" spans="1:34" ht="15.75" customHeight="1" x14ac:dyDescent="0.2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X1048" s="6" t="e">
        <f t="shared" si="60"/>
        <v>#VALUE!</v>
      </c>
      <c r="Y1048" s="7" t="str">
        <f t="shared" si="61"/>
        <v>DC</v>
      </c>
      <c r="Z1048" s="7">
        <f t="shared" si="62"/>
        <v>0</v>
      </c>
      <c r="AA1048" s="7">
        <f t="shared" si="63"/>
        <v>0</v>
      </c>
      <c r="AB1048" s="7">
        <f t="shared" si="64"/>
        <v>0</v>
      </c>
      <c r="AC1048" s="7">
        <f t="shared" si="65"/>
        <v>0</v>
      </c>
      <c r="AD1048" s="7">
        <f t="shared" si="66"/>
        <v>0</v>
      </c>
      <c r="AE1048" s="8" cm="1">
        <f t="array" ref="AE1048">IFERROR(_xlfn.XLOOKUP(H1048,Sheet1!$G:$G,Sheet1!$F:$F),IFERROR(_xlfn.XLOOKUP(1,(--($X$2:$X$1074=X1048))*(--ISNUMBER(MATCH($H$2:$H$1074,Sheet1!$G:$G,0))),_xlfn.XLOOKUP($H$2:$H$1074,Sheet1!$G:$G,Sheet1!$F:$F,"")),"NOT FOUND"))</f>
        <v>0</v>
      </c>
      <c r="AF1048" s="9" t="str">
        <f t="shared" si="67"/>
        <v/>
      </c>
      <c r="AG1048" s="10" t="str">
        <f t="shared" si="68"/>
        <v/>
      </c>
      <c r="AH1048" s="8" t="str" cm="1">
        <f t="array" ref="AH1048">IF(OR(J1048="",AE1048="",AE1048="NOT FOUND"),"",IF(Y1048="RP",_xlfn.LET(_xlpm.desc,_xlfn.XLOOKUP(1,(--(Sheet1!$F$2:$F$754=AE1048))*(--ISNUMBER(FIND("-",Sheet1!$W$2:$W$754,FIND("-",Sheet1!$W$2:$W$754)+1))),Sheet1!$W$2:$W$754,""),IF(_xlpm.desc="","NOT FOUND",LEFT(_xlpm.desc,FIND("-",_xlpm.desc,FIND("-",_xlpm.desc)+1))&amp;AE1048)),LEFT(J1048,FIND("-",J1048,FIND("-",J1048)+1))&amp;AE1048))</f>
        <v/>
      </c>
    </row>
    <row r="1049" spans="1:34" ht="15.75" customHeight="1" x14ac:dyDescent="0.2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X1049" s="6" t="e">
        <f t="shared" si="60"/>
        <v>#VALUE!</v>
      </c>
      <c r="Y1049" s="7" t="str">
        <f t="shared" si="61"/>
        <v>DC</v>
      </c>
      <c r="Z1049" s="7">
        <f t="shared" si="62"/>
        <v>0</v>
      </c>
      <c r="AA1049" s="7">
        <f t="shared" si="63"/>
        <v>0</v>
      </c>
      <c r="AB1049" s="7">
        <f t="shared" si="64"/>
        <v>0</v>
      </c>
      <c r="AC1049" s="7">
        <f t="shared" si="65"/>
        <v>0</v>
      </c>
      <c r="AD1049" s="7">
        <f t="shared" si="66"/>
        <v>0</v>
      </c>
      <c r="AE1049" s="8" cm="1">
        <f t="array" ref="AE1049">IFERROR(_xlfn.XLOOKUP(H1049,Sheet1!$G:$G,Sheet1!$F:$F),IFERROR(_xlfn.XLOOKUP(1,(--($X$2:$X$1074=X1049))*(--ISNUMBER(MATCH($H$2:$H$1074,Sheet1!$G:$G,0))),_xlfn.XLOOKUP($H$2:$H$1074,Sheet1!$G:$G,Sheet1!$F:$F,"")),"NOT FOUND"))</f>
        <v>0</v>
      </c>
      <c r="AF1049" s="9" t="str">
        <f t="shared" si="67"/>
        <v/>
      </c>
      <c r="AG1049" s="10" t="str">
        <f t="shared" si="68"/>
        <v/>
      </c>
      <c r="AH1049" s="8" t="str" cm="1">
        <f t="array" ref="AH1049">IF(OR(J1049="",AE1049="",AE1049="NOT FOUND"),"",IF(Y1049="RP",_xlfn.LET(_xlpm.desc,_xlfn.XLOOKUP(1,(--(Sheet1!$F$2:$F$754=AE1049))*(--ISNUMBER(FIND("-",Sheet1!$W$2:$W$754,FIND("-",Sheet1!$W$2:$W$754)+1))),Sheet1!$W$2:$W$754,""),IF(_xlpm.desc="","NOT FOUND",LEFT(_xlpm.desc,FIND("-",_xlpm.desc,FIND("-",_xlpm.desc)+1))&amp;AE1049)),LEFT(J1049,FIND("-",J1049,FIND("-",J1049)+1))&amp;AE1049))</f>
        <v/>
      </c>
    </row>
    <row r="1050" spans="1:34" ht="15.75" customHeight="1" x14ac:dyDescent="0.2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X1050" s="6" t="e">
        <f t="shared" si="60"/>
        <v>#VALUE!</v>
      </c>
      <c r="Y1050" s="7" t="str">
        <f t="shared" si="61"/>
        <v>DC</v>
      </c>
      <c r="Z1050" s="7">
        <f t="shared" si="62"/>
        <v>0</v>
      </c>
      <c r="AA1050" s="7">
        <f t="shared" si="63"/>
        <v>0</v>
      </c>
      <c r="AB1050" s="7">
        <f t="shared" si="64"/>
        <v>0</v>
      </c>
      <c r="AC1050" s="7">
        <f t="shared" si="65"/>
        <v>0</v>
      </c>
      <c r="AD1050" s="7">
        <f t="shared" si="66"/>
        <v>0</v>
      </c>
      <c r="AE1050" s="8" cm="1">
        <f t="array" ref="AE1050">IFERROR(_xlfn.XLOOKUP(H1050,Sheet1!$G:$G,Sheet1!$F:$F),IFERROR(_xlfn.XLOOKUP(1,(--($X$2:$X$1074=X1050))*(--ISNUMBER(MATCH($H$2:$H$1074,Sheet1!$G:$G,0))),_xlfn.XLOOKUP($H$2:$H$1074,Sheet1!$G:$G,Sheet1!$F:$F,"")),"NOT FOUND"))</f>
        <v>0</v>
      </c>
      <c r="AF1050" s="9" t="str">
        <f t="shared" si="67"/>
        <v/>
      </c>
      <c r="AG1050" s="10" t="str">
        <f t="shared" si="68"/>
        <v/>
      </c>
      <c r="AH1050" s="8" t="str" cm="1">
        <f t="array" ref="AH1050">IF(OR(J1050="",AE1050="",AE1050="NOT FOUND"),"",IF(Y1050="RP",_xlfn.LET(_xlpm.desc,_xlfn.XLOOKUP(1,(--(Sheet1!$F$2:$F$754=AE1050))*(--ISNUMBER(FIND("-",Sheet1!$W$2:$W$754,FIND("-",Sheet1!$W$2:$W$754)+1))),Sheet1!$W$2:$W$754,""),IF(_xlpm.desc="","NOT FOUND",LEFT(_xlpm.desc,FIND("-",_xlpm.desc,FIND("-",_xlpm.desc)+1))&amp;AE1050)),LEFT(J1050,FIND("-",J1050,FIND("-",J1050)+1))&amp;AE1050))</f>
        <v/>
      </c>
    </row>
    <row r="1051" spans="1:34" ht="15.75" customHeight="1" x14ac:dyDescent="0.2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X1051" s="6" t="e">
        <f t="shared" si="60"/>
        <v>#VALUE!</v>
      </c>
      <c r="Y1051" s="7" t="str">
        <f t="shared" si="61"/>
        <v>DC</v>
      </c>
      <c r="Z1051" s="7">
        <f t="shared" si="62"/>
        <v>0</v>
      </c>
      <c r="AA1051" s="7">
        <f t="shared" si="63"/>
        <v>0</v>
      </c>
      <c r="AB1051" s="7">
        <f t="shared" si="64"/>
        <v>0</v>
      </c>
      <c r="AC1051" s="7">
        <f t="shared" si="65"/>
        <v>0</v>
      </c>
      <c r="AD1051" s="7">
        <f t="shared" si="66"/>
        <v>0</v>
      </c>
      <c r="AE1051" s="8" cm="1">
        <f t="array" ref="AE1051">IFERROR(_xlfn.XLOOKUP(H1051,Sheet1!$G:$G,Sheet1!$F:$F),IFERROR(_xlfn.XLOOKUP(1,(--($X$2:$X$1074=X1051))*(--ISNUMBER(MATCH($H$2:$H$1074,Sheet1!$G:$G,0))),_xlfn.XLOOKUP($H$2:$H$1074,Sheet1!$G:$G,Sheet1!$F:$F,"")),"NOT FOUND"))</f>
        <v>0</v>
      </c>
      <c r="AF1051" s="9" t="str">
        <f t="shared" si="67"/>
        <v/>
      </c>
      <c r="AG1051" s="10" t="str">
        <f t="shared" si="68"/>
        <v/>
      </c>
      <c r="AH1051" s="8" t="str" cm="1">
        <f t="array" ref="AH1051">IF(OR(J1051="",AE1051="",AE1051="NOT FOUND"),"",IF(Y1051="RP",_xlfn.LET(_xlpm.desc,_xlfn.XLOOKUP(1,(--(Sheet1!$F$2:$F$754=AE1051))*(--ISNUMBER(FIND("-",Sheet1!$W$2:$W$754,FIND("-",Sheet1!$W$2:$W$754)+1))),Sheet1!$W$2:$W$754,""),IF(_xlpm.desc="","NOT FOUND",LEFT(_xlpm.desc,FIND("-",_xlpm.desc,FIND("-",_xlpm.desc)+1))&amp;AE1051)),LEFT(J1051,FIND("-",J1051,FIND("-",J1051)+1))&amp;AE1051))</f>
        <v/>
      </c>
    </row>
    <row r="1052" spans="1:34" ht="15.75" customHeight="1" x14ac:dyDescent="0.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X1052" s="6" t="e">
        <f t="shared" si="60"/>
        <v>#VALUE!</v>
      </c>
      <c r="Y1052" s="7" t="str">
        <f t="shared" si="61"/>
        <v>DC</v>
      </c>
      <c r="Z1052" s="7">
        <f t="shared" si="62"/>
        <v>0</v>
      </c>
      <c r="AA1052" s="7">
        <f t="shared" si="63"/>
        <v>0</v>
      </c>
      <c r="AB1052" s="7">
        <f t="shared" si="64"/>
        <v>0</v>
      </c>
      <c r="AC1052" s="7">
        <f t="shared" si="65"/>
        <v>0</v>
      </c>
      <c r="AD1052" s="7">
        <f t="shared" si="66"/>
        <v>0</v>
      </c>
      <c r="AE1052" s="8" cm="1">
        <f t="array" ref="AE1052">IFERROR(_xlfn.XLOOKUP(H1052,Sheet1!$G:$G,Sheet1!$F:$F),IFERROR(_xlfn.XLOOKUP(1,(--($X$2:$X$1074=X1052))*(--ISNUMBER(MATCH($H$2:$H$1074,Sheet1!$G:$G,0))),_xlfn.XLOOKUP($H$2:$H$1074,Sheet1!$G:$G,Sheet1!$F:$F,"")),"NOT FOUND"))</f>
        <v>0</v>
      </c>
      <c r="AF1052" s="9" t="str">
        <f t="shared" si="67"/>
        <v/>
      </c>
      <c r="AG1052" s="10" t="str">
        <f t="shared" si="68"/>
        <v/>
      </c>
      <c r="AH1052" s="8" t="str" cm="1">
        <f t="array" ref="AH1052">IF(OR(J1052="",AE1052="",AE1052="NOT FOUND"),"",IF(Y1052="RP",_xlfn.LET(_xlpm.desc,_xlfn.XLOOKUP(1,(--(Sheet1!$F$2:$F$754=AE1052))*(--ISNUMBER(FIND("-",Sheet1!$W$2:$W$754,FIND("-",Sheet1!$W$2:$W$754)+1))),Sheet1!$W$2:$W$754,""),IF(_xlpm.desc="","NOT FOUND",LEFT(_xlpm.desc,FIND("-",_xlpm.desc,FIND("-",_xlpm.desc)+1))&amp;AE1052)),LEFT(J1052,FIND("-",J1052,FIND("-",J1052)+1))&amp;AE1052))</f>
        <v/>
      </c>
    </row>
    <row r="1053" spans="1:34" ht="15.75" customHeight="1" x14ac:dyDescent="0.2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X1053" s="6" t="e">
        <f t="shared" si="60"/>
        <v>#VALUE!</v>
      </c>
      <c r="Y1053" s="7" t="str">
        <f t="shared" si="61"/>
        <v>DC</v>
      </c>
      <c r="Z1053" s="7">
        <f t="shared" si="62"/>
        <v>0</v>
      </c>
      <c r="AA1053" s="7">
        <f t="shared" si="63"/>
        <v>0</v>
      </c>
      <c r="AB1053" s="7">
        <f t="shared" si="64"/>
        <v>0</v>
      </c>
      <c r="AC1053" s="7">
        <f t="shared" si="65"/>
        <v>0</v>
      </c>
      <c r="AD1053" s="7">
        <f t="shared" si="66"/>
        <v>0</v>
      </c>
      <c r="AE1053" s="8" cm="1">
        <f t="array" ref="AE1053">IFERROR(_xlfn.XLOOKUP(H1053,Sheet1!$G:$G,Sheet1!$F:$F),IFERROR(_xlfn.XLOOKUP(1,(--($X$2:$X$1074=X1053))*(--ISNUMBER(MATCH($H$2:$H$1074,Sheet1!$G:$G,0))),_xlfn.XLOOKUP($H$2:$H$1074,Sheet1!$G:$G,Sheet1!$F:$F,"")),"NOT FOUND"))</f>
        <v>0</v>
      </c>
      <c r="AF1053" s="9" t="str">
        <f t="shared" si="67"/>
        <v/>
      </c>
      <c r="AG1053" s="10" t="str">
        <f t="shared" si="68"/>
        <v/>
      </c>
      <c r="AH1053" s="8" t="str" cm="1">
        <f t="array" ref="AH1053">IF(OR(J1053="",AE1053="",AE1053="NOT FOUND"),"",IF(Y1053="RP",_xlfn.LET(_xlpm.desc,_xlfn.XLOOKUP(1,(--(Sheet1!$F$2:$F$754=AE1053))*(--ISNUMBER(FIND("-",Sheet1!$W$2:$W$754,FIND("-",Sheet1!$W$2:$W$754)+1))),Sheet1!$W$2:$W$754,""),IF(_xlpm.desc="","NOT FOUND",LEFT(_xlpm.desc,FIND("-",_xlpm.desc,FIND("-",_xlpm.desc)+1))&amp;AE1053)),LEFT(J1053,FIND("-",J1053,FIND("-",J1053)+1))&amp;AE1053))</f>
        <v/>
      </c>
    </row>
    <row r="1054" spans="1:34" ht="15.75" customHeight="1" x14ac:dyDescent="0.2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X1054" s="6" t="e">
        <f t="shared" si="60"/>
        <v>#VALUE!</v>
      </c>
      <c r="Y1054" s="7" t="str">
        <f t="shared" si="61"/>
        <v>DC</v>
      </c>
      <c r="Z1054" s="7">
        <f t="shared" si="62"/>
        <v>0</v>
      </c>
      <c r="AA1054" s="7">
        <f t="shared" si="63"/>
        <v>0</v>
      </c>
      <c r="AB1054" s="7">
        <f t="shared" si="64"/>
        <v>0</v>
      </c>
      <c r="AC1054" s="7">
        <f t="shared" si="65"/>
        <v>0</v>
      </c>
      <c r="AD1054" s="7">
        <f t="shared" si="66"/>
        <v>0</v>
      </c>
      <c r="AE1054" s="8" cm="1">
        <f t="array" ref="AE1054">IFERROR(_xlfn.XLOOKUP(H1054,Sheet1!$G:$G,Sheet1!$F:$F),IFERROR(_xlfn.XLOOKUP(1,(--($X$2:$X$1074=X1054))*(--ISNUMBER(MATCH($H$2:$H$1074,Sheet1!$G:$G,0))),_xlfn.XLOOKUP($H$2:$H$1074,Sheet1!$G:$G,Sheet1!$F:$F,"")),"NOT FOUND"))</f>
        <v>0</v>
      </c>
      <c r="AF1054" s="9" t="str">
        <f t="shared" si="67"/>
        <v/>
      </c>
      <c r="AG1054" s="10" t="str">
        <f t="shared" si="68"/>
        <v/>
      </c>
      <c r="AH1054" s="8" t="str" cm="1">
        <f t="array" ref="AH1054">IF(OR(J1054="",AE1054="",AE1054="NOT FOUND"),"",IF(Y1054="RP",_xlfn.LET(_xlpm.desc,_xlfn.XLOOKUP(1,(--(Sheet1!$F$2:$F$754=AE1054))*(--ISNUMBER(FIND("-",Sheet1!$W$2:$W$754,FIND("-",Sheet1!$W$2:$W$754)+1))),Sheet1!$W$2:$W$754,""),IF(_xlpm.desc="","NOT FOUND",LEFT(_xlpm.desc,FIND("-",_xlpm.desc,FIND("-",_xlpm.desc)+1))&amp;AE1054)),LEFT(J1054,FIND("-",J1054,FIND("-",J1054)+1))&amp;AE1054))</f>
        <v/>
      </c>
    </row>
    <row r="1055" spans="1:34" ht="15.75" customHeight="1" x14ac:dyDescent="0.2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X1055" s="6" t="e">
        <f t="shared" si="60"/>
        <v>#VALUE!</v>
      </c>
      <c r="Y1055" s="7" t="str">
        <f t="shared" si="61"/>
        <v>DC</v>
      </c>
      <c r="Z1055" s="7">
        <f t="shared" si="62"/>
        <v>0</v>
      </c>
      <c r="AA1055" s="7">
        <f t="shared" si="63"/>
        <v>0</v>
      </c>
      <c r="AB1055" s="7">
        <f t="shared" si="64"/>
        <v>0</v>
      </c>
      <c r="AC1055" s="7">
        <f t="shared" si="65"/>
        <v>0</v>
      </c>
      <c r="AD1055" s="7">
        <f t="shared" si="66"/>
        <v>0</v>
      </c>
      <c r="AE1055" s="8" cm="1">
        <f t="array" ref="AE1055">IFERROR(_xlfn.XLOOKUP(H1055,Sheet1!$G:$G,Sheet1!$F:$F),IFERROR(_xlfn.XLOOKUP(1,(--($X$2:$X$1074=X1055))*(--ISNUMBER(MATCH($H$2:$H$1074,Sheet1!$G:$G,0))),_xlfn.XLOOKUP($H$2:$H$1074,Sheet1!$G:$G,Sheet1!$F:$F,"")),"NOT FOUND"))</f>
        <v>0</v>
      </c>
      <c r="AF1055" s="9" t="str">
        <f t="shared" si="67"/>
        <v/>
      </c>
      <c r="AG1055" s="10" t="str">
        <f t="shared" si="68"/>
        <v/>
      </c>
      <c r="AH1055" s="8" t="str" cm="1">
        <f t="array" ref="AH1055">IF(OR(J1055="",AE1055="",AE1055="NOT FOUND"),"",IF(Y1055="RP",_xlfn.LET(_xlpm.desc,_xlfn.XLOOKUP(1,(--(Sheet1!$F$2:$F$754=AE1055))*(--ISNUMBER(FIND("-",Sheet1!$W$2:$W$754,FIND("-",Sheet1!$W$2:$W$754)+1))),Sheet1!$W$2:$W$754,""),IF(_xlpm.desc="","NOT FOUND",LEFT(_xlpm.desc,FIND("-",_xlpm.desc,FIND("-",_xlpm.desc)+1))&amp;AE1055)),LEFT(J1055,FIND("-",J1055,FIND("-",J1055)+1))&amp;AE1055))</f>
        <v/>
      </c>
    </row>
    <row r="1056" spans="1:34" ht="15.75" customHeight="1" x14ac:dyDescent="0.2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X1056" s="6" t="e">
        <f t="shared" si="60"/>
        <v>#VALUE!</v>
      </c>
      <c r="Y1056" s="7" t="str">
        <f t="shared" si="61"/>
        <v>DC</v>
      </c>
      <c r="Z1056" s="7">
        <f t="shared" si="62"/>
        <v>0</v>
      </c>
      <c r="AA1056" s="7">
        <f t="shared" si="63"/>
        <v>0</v>
      </c>
      <c r="AB1056" s="7">
        <f t="shared" si="64"/>
        <v>0</v>
      </c>
      <c r="AC1056" s="7">
        <f t="shared" si="65"/>
        <v>0</v>
      </c>
      <c r="AD1056" s="7">
        <f t="shared" si="66"/>
        <v>0</v>
      </c>
      <c r="AE1056" s="8" cm="1">
        <f t="array" ref="AE1056">IFERROR(_xlfn.XLOOKUP(H1056,Sheet1!$G:$G,Sheet1!$F:$F),IFERROR(_xlfn.XLOOKUP(1,(--($X$2:$X$1074=X1056))*(--ISNUMBER(MATCH($H$2:$H$1074,Sheet1!$G:$G,0))),_xlfn.XLOOKUP($H$2:$H$1074,Sheet1!$G:$G,Sheet1!$F:$F,"")),"NOT FOUND"))</f>
        <v>0</v>
      </c>
      <c r="AF1056" s="9" t="str">
        <f t="shared" si="67"/>
        <v/>
      </c>
      <c r="AG1056" s="10" t="str">
        <f t="shared" si="68"/>
        <v/>
      </c>
      <c r="AH1056" s="8" t="str" cm="1">
        <f t="array" ref="AH1056">IF(OR(J1056="",AE1056="",AE1056="NOT FOUND"),"",IF(Y1056="RP",_xlfn.LET(_xlpm.desc,_xlfn.XLOOKUP(1,(--(Sheet1!$F$2:$F$754=AE1056))*(--ISNUMBER(FIND("-",Sheet1!$W$2:$W$754,FIND("-",Sheet1!$W$2:$W$754)+1))),Sheet1!$W$2:$W$754,""),IF(_xlpm.desc="","NOT FOUND",LEFT(_xlpm.desc,FIND("-",_xlpm.desc,FIND("-",_xlpm.desc)+1))&amp;AE1056)),LEFT(J1056,FIND("-",J1056,FIND("-",J1056)+1))&amp;AE1056))</f>
        <v/>
      </c>
    </row>
    <row r="1057" spans="1:34" ht="15.75" customHeight="1" x14ac:dyDescent="0.2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X1057" s="6" t="e">
        <f t="shared" si="60"/>
        <v>#VALUE!</v>
      </c>
      <c r="Y1057" s="7" t="str">
        <f t="shared" si="61"/>
        <v>DC</v>
      </c>
      <c r="Z1057" s="7">
        <f t="shared" si="62"/>
        <v>0</v>
      </c>
      <c r="AA1057" s="7">
        <f t="shared" si="63"/>
        <v>0</v>
      </c>
      <c r="AB1057" s="7">
        <f t="shared" si="64"/>
        <v>0</v>
      </c>
      <c r="AC1057" s="7">
        <f t="shared" si="65"/>
        <v>0</v>
      </c>
      <c r="AD1057" s="7">
        <f t="shared" si="66"/>
        <v>0</v>
      </c>
      <c r="AE1057" s="8" cm="1">
        <f t="array" ref="AE1057">IFERROR(_xlfn.XLOOKUP(H1057,Sheet1!$G:$G,Sheet1!$F:$F),IFERROR(_xlfn.XLOOKUP(1,(--($X$2:$X$1074=X1057))*(--ISNUMBER(MATCH($H$2:$H$1074,Sheet1!$G:$G,0))),_xlfn.XLOOKUP($H$2:$H$1074,Sheet1!$G:$G,Sheet1!$F:$F,"")),"NOT FOUND"))</f>
        <v>0</v>
      </c>
      <c r="AF1057" s="9" t="str">
        <f t="shared" si="67"/>
        <v/>
      </c>
      <c r="AG1057" s="10" t="str">
        <f t="shared" si="68"/>
        <v/>
      </c>
      <c r="AH1057" s="8" t="str" cm="1">
        <f t="array" ref="AH1057">IF(OR(J1057="",AE1057="",AE1057="NOT FOUND"),"",IF(Y1057="RP",_xlfn.LET(_xlpm.desc,_xlfn.XLOOKUP(1,(--(Sheet1!$F$2:$F$754=AE1057))*(--ISNUMBER(FIND("-",Sheet1!$W$2:$W$754,FIND("-",Sheet1!$W$2:$W$754)+1))),Sheet1!$W$2:$W$754,""),IF(_xlpm.desc="","NOT FOUND",LEFT(_xlpm.desc,FIND("-",_xlpm.desc,FIND("-",_xlpm.desc)+1))&amp;AE1057)),LEFT(J1057,FIND("-",J1057,FIND("-",J1057)+1))&amp;AE1057))</f>
        <v/>
      </c>
    </row>
    <row r="1058" spans="1:34" ht="15.75" customHeight="1" x14ac:dyDescent="0.2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X1058" s="6" t="e">
        <f t="shared" si="60"/>
        <v>#VALUE!</v>
      </c>
      <c r="Y1058" s="7" t="str">
        <f t="shared" si="61"/>
        <v>DC</v>
      </c>
      <c r="Z1058" s="7">
        <f t="shared" si="62"/>
        <v>0</v>
      </c>
      <c r="AA1058" s="7">
        <f t="shared" si="63"/>
        <v>0</v>
      </c>
      <c r="AB1058" s="7">
        <f t="shared" si="64"/>
        <v>0</v>
      </c>
      <c r="AC1058" s="7">
        <f t="shared" si="65"/>
        <v>0</v>
      </c>
      <c r="AD1058" s="7">
        <f t="shared" si="66"/>
        <v>0</v>
      </c>
      <c r="AE1058" s="8" cm="1">
        <f t="array" ref="AE1058">IFERROR(_xlfn.XLOOKUP(H1058,Sheet1!$G:$G,Sheet1!$F:$F),IFERROR(_xlfn.XLOOKUP(1,(--($X$2:$X$1074=X1058))*(--ISNUMBER(MATCH($H$2:$H$1074,Sheet1!$G:$G,0))),_xlfn.XLOOKUP($H$2:$H$1074,Sheet1!$G:$G,Sheet1!$F:$F,"")),"NOT FOUND"))</f>
        <v>0</v>
      </c>
      <c r="AF1058" s="9" t="str">
        <f t="shared" si="67"/>
        <v/>
      </c>
      <c r="AG1058" s="10" t="str">
        <f t="shared" si="68"/>
        <v/>
      </c>
      <c r="AH1058" s="8" t="str" cm="1">
        <f t="array" ref="AH1058">IF(OR(J1058="",AE1058="",AE1058="NOT FOUND"),"",IF(Y1058="RP",_xlfn.LET(_xlpm.desc,_xlfn.XLOOKUP(1,(--(Sheet1!$F$2:$F$754=AE1058))*(--ISNUMBER(FIND("-",Sheet1!$W$2:$W$754,FIND("-",Sheet1!$W$2:$W$754)+1))),Sheet1!$W$2:$W$754,""),IF(_xlpm.desc="","NOT FOUND",LEFT(_xlpm.desc,FIND("-",_xlpm.desc,FIND("-",_xlpm.desc)+1))&amp;AE1058)),LEFT(J1058,FIND("-",J1058,FIND("-",J1058)+1))&amp;AE1058))</f>
        <v/>
      </c>
    </row>
    <row r="1059" spans="1:34" ht="15.75" customHeight="1" x14ac:dyDescent="0.2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X1059" s="6" t="e">
        <f t="shared" si="60"/>
        <v>#VALUE!</v>
      </c>
      <c r="Y1059" s="7" t="str">
        <f t="shared" si="61"/>
        <v>DC</v>
      </c>
      <c r="Z1059" s="7">
        <f t="shared" si="62"/>
        <v>0</v>
      </c>
      <c r="AA1059" s="7">
        <f t="shared" si="63"/>
        <v>0</v>
      </c>
      <c r="AB1059" s="7">
        <f t="shared" si="64"/>
        <v>0</v>
      </c>
      <c r="AC1059" s="7">
        <f t="shared" si="65"/>
        <v>0</v>
      </c>
      <c r="AD1059" s="7">
        <f t="shared" si="66"/>
        <v>0</v>
      </c>
      <c r="AE1059" s="8" cm="1">
        <f t="array" ref="AE1059">IFERROR(_xlfn.XLOOKUP(H1059,Sheet1!$G:$G,Sheet1!$F:$F),IFERROR(_xlfn.XLOOKUP(1,(--($X$2:$X$1074=X1059))*(--ISNUMBER(MATCH($H$2:$H$1074,Sheet1!$G:$G,0))),_xlfn.XLOOKUP($H$2:$H$1074,Sheet1!$G:$G,Sheet1!$F:$F,"")),"NOT FOUND"))</f>
        <v>0</v>
      </c>
      <c r="AF1059" s="9" t="str">
        <f t="shared" si="67"/>
        <v/>
      </c>
      <c r="AG1059" s="10" t="str">
        <f t="shared" si="68"/>
        <v/>
      </c>
      <c r="AH1059" s="8" t="str" cm="1">
        <f t="array" ref="AH1059">IF(OR(J1059="",AE1059="",AE1059="NOT FOUND"),"",IF(Y1059="RP",_xlfn.LET(_xlpm.desc,_xlfn.XLOOKUP(1,(--(Sheet1!$F$2:$F$754=AE1059))*(--ISNUMBER(FIND("-",Sheet1!$W$2:$W$754,FIND("-",Sheet1!$W$2:$W$754)+1))),Sheet1!$W$2:$W$754,""),IF(_xlpm.desc="","NOT FOUND",LEFT(_xlpm.desc,FIND("-",_xlpm.desc,FIND("-",_xlpm.desc)+1))&amp;AE1059)),LEFT(J1059,FIND("-",J1059,FIND("-",J1059)+1))&amp;AE1059))</f>
        <v/>
      </c>
    </row>
    <row r="1060" spans="1:34" ht="15.75" customHeight="1" x14ac:dyDescent="0.2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X1060" s="6" t="e">
        <f t="shared" si="60"/>
        <v>#VALUE!</v>
      </c>
      <c r="Y1060" s="7" t="str">
        <f t="shared" si="61"/>
        <v>DC</v>
      </c>
      <c r="Z1060" s="7">
        <f t="shared" si="62"/>
        <v>0</v>
      </c>
      <c r="AA1060" s="7">
        <f t="shared" si="63"/>
        <v>0</v>
      </c>
      <c r="AB1060" s="7">
        <f t="shared" si="64"/>
        <v>0</v>
      </c>
      <c r="AC1060" s="7">
        <f t="shared" si="65"/>
        <v>0</v>
      </c>
      <c r="AD1060" s="7">
        <f t="shared" si="66"/>
        <v>0</v>
      </c>
      <c r="AE1060" s="8" cm="1">
        <f t="array" ref="AE1060">IFERROR(_xlfn.XLOOKUP(H1060,Sheet1!$G:$G,Sheet1!$F:$F),IFERROR(_xlfn.XLOOKUP(1,(--($X$2:$X$1074=X1060))*(--ISNUMBER(MATCH($H$2:$H$1074,Sheet1!$G:$G,0))),_xlfn.XLOOKUP($H$2:$H$1074,Sheet1!$G:$G,Sheet1!$F:$F,"")),"NOT FOUND"))</f>
        <v>0</v>
      </c>
      <c r="AF1060" s="9" t="str">
        <f t="shared" si="67"/>
        <v/>
      </c>
      <c r="AG1060" s="10" t="str">
        <f t="shared" si="68"/>
        <v/>
      </c>
      <c r="AH1060" s="8" t="str" cm="1">
        <f t="array" ref="AH1060">IF(OR(J1060="",AE1060="",AE1060="NOT FOUND"),"",IF(Y1060="RP",_xlfn.LET(_xlpm.desc,_xlfn.XLOOKUP(1,(--(Sheet1!$F$2:$F$754=AE1060))*(--ISNUMBER(FIND("-",Sheet1!$W$2:$W$754,FIND("-",Sheet1!$W$2:$W$754)+1))),Sheet1!$W$2:$W$754,""),IF(_xlpm.desc="","NOT FOUND",LEFT(_xlpm.desc,FIND("-",_xlpm.desc,FIND("-",_xlpm.desc)+1))&amp;AE1060)),LEFT(J1060,FIND("-",J1060,FIND("-",J1060)+1))&amp;AE1060))</f>
        <v/>
      </c>
    </row>
    <row r="1061" spans="1:34" ht="15.75" customHeight="1" x14ac:dyDescent="0.2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X1061" s="6" t="e">
        <f t="shared" si="60"/>
        <v>#VALUE!</v>
      </c>
      <c r="Y1061" s="7" t="str">
        <f t="shared" si="61"/>
        <v>DC</v>
      </c>
      <c r="Z1061" s="7">
        <f t="shared" si="62"/>
        <v>0</v>
      </c>
      <c r="AA1061" s="7">
        <f t="shared" si="63"/>
        <v>0</v>
      </c>
      <c r="AB1061" s="7">
        <f t="shared" si="64"/>
        <v>0</v>
      </c>
      <c r="AC1061" s="7">
        <f t="shared" si="65"/>
        <v>0</v>
      </c>
      <c r="AD1061" s="7">
        <f t="shared" si="66"/>
        <v>0</v>
      </c>
      <c r="AE1061" s="8" cm="1">
        <f t="array" ref="AE1061">IFERROR(_xlfn.XLOOKUP(H1061,Sheet1!$G:$G,Sheet1!$F:$F),IFERROR(_xlfn.XLOOKUP(1,(--($X$2:$X$1074=X1061))*(--ISNUMBER(MATCH($H$2:$H$1074,Sheet1!$G:$G,0))),_xlfn.XLOOKUP($H$2:$H$1074,Sheet1!$G:$G,Sheet1!$F:$F,"")),"NOT FOUND"))</f>
        <v>0</v>
      </c>
      <c r="AF1061" s="9" t="str">
        <f t="shared" si="67"/>
        <v/>
      </c>
      <c r="AG1061" s="10" t="str">
        <f t="shared" si="68"/>
        <v/>
      </c>
      <c r="AH1061" s="8" t="str" cm="1">
        <f t="array" ref="AH1061">IF(OR(J1061="",AE1061="",AE1061="NOT FOUND"),"",IF(Y1061="RP",_xlfn.LET(_xlpm.desc,_xlfn.XLOOKUP(1,(--(Sheet1!$F$2:$F$754=AE1061))*(--ISNUMBER(FIND("-",Sheet1!$W$2:$W$754,FIND("-",Sheet1!$W$2:$W$754)+1))),Sheet1!$W$2:$W$754,""),IF(_xlpm.desc="","NOT FOUND",LEFT(_xlpm.desc,FIND("-",_xlpm.desc,FIND("-",_xlpm.desc)+1))&amp;AE1061)),LEFT(J1061,FIND("-",J1061,FIND("-",J1061)+1))&amp;AE1061))</f>
        <v/>
      </c>
    </row>
    <row r="1062" spans="1:34" ht="15.75" customHeight="1" x14ac:dyDescent="0.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X1062" s="6" t="e">
        <f t="shared" si="60"/>
        <v>#VALUE!</v>
      </c>
      <c r="Y1062" s="7" t="str">
        <f t="shared" si="61"/>
        <v>DC</v>
      </c>
      <c r="Z1062" s="7">
        <f t="shared" si="62"/>
        <v>0</v>
      </c>
      <c r="AA1062" s="7">
        <f t="shared" si="63"/>
        <v>0</v>
      </c>
      <c r="AB1062" s="7">
        <f t="shared" si="64"/>
        <v>0</v>
      </c>
      <c r="AC1062" s="7">
        <f t="shared" si="65"/>
        <v>0</v>
      </c>
      <c r="AD1062" s="7">
        <f t="shared" si="66"/>
        <v>0</v>
      </c>
      <c r="AE1062" s="8" cm="1">
        <f t="array" ref="AE1062">IFERROR(_xlfn.XLOOKUP(H1062,Sheet1!$G:$G,Sheet1!$F:$F),IFERROR(_xlfn.XLOOKUP(1,(--($X$2:$X$1074=X1062))*(--ISNUMBER(MATCH($H$2:$H$1074,Sheet1!$G:$G,0))),_xlfn.XLOOKUP($H$2:$H$1074,Sheet1!$G:$G,Sheet1!$F:$F,"")),"NOT FOUND"))</f>
        <v>0</v>
      </c>
      <c r="AF1062" s="9" t="str">
        <f t="shared" si="67"/>
        <v/>
      </c>
      <c r="AG1062" s="10" t="str">
        <f t="shared" si="68"/>
        <v/>
      </c>
      <c r="AH1062" s="8" t="str" cm="1">
        <f t="array" ref="AH1062">IF(OR(J1062="",AE1062="",AE1062="NOT FOUND"),"",IF(Y1062="RP",_xlfn.LET(_xlpm.desc,_xlfn.XLOOKUP(1,(--(Sheet1!$F$2:$F$754=AE1062))*(--ISNUMBER(FIND("-",Sheet1!$W$2:$W$754,FIND("-",Sheet1!$W$2:$W$754)+1))),Sheet1!$W$2:$W$754,""),IF(_xlpm.desc="","NOT FOUND",LEFT(_xlpm.desc,FIND("-",_xlpm.desc,FIND("-",_xlpm.desc)+1))&amp;AE1062)),LEFT(J1062,FIND("-",J1062,FIND("-",J1062)+1))&amp;AE1062))</f>
        <v/>
      </c>
    </row>
    <row r="1063" spans="1:34" ht="15.75" customHeight="1" x14ac:dyDescent="0.2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X1063" s="6" t="e">
        <f t="shared" si="60"/>
        <v>#VALUE!</v>
      </c>
      <c r="Y1063" s="7" t="str">
        <f t="shared" si="61"/>
        <v>DC</v>
      </c>
      <c r="Z1063" s="7">
        <f t="shared" si="62"/>
        <v>0</v>
      </c>
      <c r="AA1063" s="7">
        <f t="shared" si="63"/>
        <v>0</v>
      </c>
      <c r="AB1063" s="7">
        <f t="shared" si="64"/>
        <v>0</v>
      </c>
      <c r="AC1063" s="7">
        <f t="shared" si="65"/>
        <v>0</v>
      </c>
      <c r="AD1063" s="7">
        <f t="shared" si="66"/>
        <v>0</v>
      </c>
      <c r="AE1063" s="8" cm="1">
        <f t="array" ref="AE1063">IFERROR(_xlfn.XLOOKUP(H1063,Sheet1!$G:$G,Sheet1!$F:$F),IFERROR(_xlfn.XLOOKUP(1,(--($X$2:$X$1074=X1063))*(--ISNUMBER(MATCH($H$2:$H$1074,Sheet1!$G:$G,0))),_xlfn.XLOOKUP($H$2:$H$1074,Sheet1!$G:$G,Sheet1!$F:$F,"")),"NOT FOUND"))</f>
        <v>0</v>
      </c>
      <c r="AF1063" s="9" t="str">
        <f t="shared" si="67"/>
        <v/>
      </c>
      <c r="AG1063" s="10" t="str">
        <f t="shared" si="68"/>
        <v/>
      </c>
      <c r="AH1063" s="8" t="str" cm="1">
        <f t="array" ref="AH1063">IF(OR(J1063="",AE1063="",AE1063="NOT FOUND"),"",IF(Y1063="RP",_xlfn.LET(_xlpm.desc,_xlfn.XLOOKUP(1,(--(Sheet1!$F$2:$F$754=AE1063))*(--ISNUMBER(FIND("-",Sheet1!$W$2:$W$754,FIND("-",Sheet1!$W$2:$W$754)+1))),Sheet1!$W$2:$W$754,""),IF(_xlpm.desc="","NOT FOUND",LEFT(_xlpm.desc,FIND("-",_xlpm.desc,FIND("-",_xlpm.desc)+1))&amp;AE1063)),LEFT(J1063,FIND("-",J1063,FIND("-",J1063)+1))&amp;AE1063))</f>
        <v/>
      </c>
    </row>
    <row r="1064" spans="1:34" ht="15.75" customHeight="1" x14ac:dyDescent="0.2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X1064" s="6" t="e">
        <f t="shared" si="60"/>
        <v>#VALUE!</v>
      </c>
      <c r="Y1064" s="7" t="str">
        <f t="shared" si="61"/>
        <v>DC</v>
      </c>
      <c r="Z1064" s="7">
        <f t="shared" si="62"/>
        <v>0</v>
      </c>
      <c r="AA1064" s="7">
        <f t="shared" si="63"/>
        <v>0</v>
      </c>
      <c r="AB1064" s="7">
        <f t="shared" si="64"/>
        <v>0</v>
      </c>
      <c r="AC1064" s="7">
        <f t="shared" si="65"/>
        <v>0</v>
      </c>
      <c r="AD1064" s="7">
        <f t="shared" si="66"/>
        <v>0</v>
      </c>
      <c r="AE1064" s="8" cm="1">
        <f t="array" ref="AE1064">IFERROR(_xlfn.XLOOKUP(H1064,Sheet1!$G:$G,Sheet1!$F:$F),IFERROR(_xlfn.XLOOKUP(1,(--($X$2:$X$1074=X1064))*(--ISNUMBER(MATCH($H$2:$H$1074,Sheet1!$G:$G,0))),_xlfn.XLOOKUP($H$2:$H$1074,Sheet1!$G:$G,Sheet1!$F:$F,"")),"NOT FOUND"))</f>
        <v>0</v>
      </c>
      <c r="AF1064" s="9" t="str">
        <f t="shared" si="67"/>
        <v/>
      </c>
      <c r="AG1064" s="10" t="str">
        <f t="shared" si="68"/>
        <v/>
      </c>
      <c r="AH1064" s="8" t="str" cm="1">
        <f t="array" ref="AH1064">IF(OR(J1064="",AE1064="",AE1064="NOT FOUND"),"",IF(Y1064="RP",_xlfn.LET(_xlpm.desc,_xlfn.XLOOKUP(1,(--(Sheet1!$F$2:$F$754=AE1064))*(--ISNUMBER(FIND("-",Sheet1!$W$2:$W$754,FIND("-",Sheet1!$W$2:$W$754)+1))),Sheet1!$W$2:$W$754,""),IF(_xlpm.desc="","NOT FOUND",LEFT(_xlpm.desc,FIND("-",_xlpm.desc,FIND("-",_xlpm.desc)+1))&amp;AE1064)),LEFT(J1064,FIND("-",J1064,FIND("-",J1064)+1))&amp;AE1064))</f>
        <v/>
      </c>
    </row>
    <row r="1065" spans="1:34" ht="15.75" customHeight="1" x14ac:dyDescent="0.2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X1065" s="6" t="e">
        <f t="shared" si="60"/>
        <v>#VALUE!</v>
      </c>
      <c r="Y1065" s="7" t="str">
        <f t="shared" si="61"/>
        <v>DC</v>
      </c>
      <c r="Z1065" s="7">
        <f t="shared" si="62"/>
        <v>0</v>
      </c>
      <c r="AA1065" s="7">
        <f t="shared" si="63"/>
        <v>0</v>
      </c>
      <c r="AB1065" s="7">
        <f t="shared" si="64"/>
        <v>0</v>
      </c>
      <c r="AC1065" s="7">
        <f t="shared" si="65"/>
        <v>0</v>
      </c>
      <c r="AD1065" s="7">
        <f t="shared" si="66"/>
        <v>0</v>
      </c>
      <c r="AE1065" s="8" cm="1">
        <f t="array" ref="AE1065">IFERROR(_xlfn.XLOOKUP(H1065,Sheet1!$G:$G,Sheet1!$F:$F),IFERROR(_xlfn.XLOOKUP(1,(--($X$2:$X$1074=X1065))*(--ISNUMBER(MATCH($H$2:$H$1074,Sheet1!$G:$G,0))),_xlfn.XLOOKUP($H$2:$H$1074,Sheet1!$G:$G,Sheet1!$F:$F,"")),"NOT FOUND"))</f>
        <v>0</v>
      </c>
      <c r="AF1065" s="9" t="str">
        <f t="shared" si="67"/>
        <v/>
      </c>
      <c r="AG1065" s="10" t="str">
        <f t="shared" si="68"/>
        <v/>
      </c>
      <c r="AH1065" s="8" t="str" cm="1">
        <f t="array" ref="AH1065">IF(OR(J1065="",AE1065="",AE1065="NOT FOUND"),"",IF(Y1065="RP",_xlfn.LET(_xlpm.desc,_xlfn.XLOOKUP(1,(--(Sheet1!$F$2:$F$754=AE1065))*(--ISNUMBER(FIND("-",Sheet1!$W$2:$W$754,FIND("-",Sheet1!$W$2:$W$754)+1))),Sheet1!$W$2:$W$754,""),IF(_xlpm.desc="","NOT FOUND",LEFT(_xlpm.desc,FIND("-",_xlpm.desc,FIND("-",_xlpm.desc)+1))&amp;AE1065)),LEFT(J1065,FIND("-",J1065,FIND("-",J1065)+1))&amp;AE1065))</f>
        <v/>
      </c>
    </row>
    <row r="1066" spans="1:34" ht="15.75" customHeight="1" x14ac:dyDescent="0.2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X1066" s="6" t="e">
        <f t="shared" si="60"/>
        <v>#VALUE!</v>
      </c>
      <c r="Y1066" s="7" t="str">
        <f t="shared" si="61"/>
        <v>DC</v>
      </c>
      <c r="Z1066" s="7">
        <f t="shared" si="62"/>
        <v>0</v>
      </c>
      <c r="AA1066" s="7">
        <f t="shared" si="63"/>
        <v>0</v>
      </c>
      <c r="AB1066" s="7">
        <f t="shared" si="64"/>
        <v>0</v>
      </c>
      <c r="AC1066" s="7">
        <f t="shared" si="65"/>
        <v>0</v>
      </c>
      <c r="AD1066" s="7">
        <f t="shared" si="66"/>
        <v>0</v>
      </c>
      <c r="AE1066" s="8" cm="1">
        <f t="array" ref="AE1066">IFERROR(_xlfn.XLOOKUP(H1066,Sheet1!$G:$G,Sheet1!$F:$F),IFERROR(_xlfn.XLOOKUP(1,(--($X$2:$X$1074=X1066))*(--ISNUMBER(MATCH($H$2:$H$1074,Sheet1!$G:$G,0))),_xlfn.XLOOKUP($H$2:$H$1074,Sheet1!$G:$G,Sheet1!$F:$F,"")),"NOT FOUND"))</f>
        <v>0</v>
      </c>
      <c r="AF1066" s="9" t="str">
        <f t="shared" si="67"/>
        <v/>
      </c>
      <c r="AG1066" s="10" t="str">
        <f t="shared" si="68"/>
        <v/>
      </c>
      <c r="AH1066" s="8" t="str" cm="1">
        <f t="array" ref="AH1066">IF(OR(J1066="",AE1066="",AE1066="NOT FOUND"),"",IF(Y1066="RP",_xlfn.LET(_xlpm.desc,_xlfn.XLOOKUP(1,(--(Sheet1!$F$2:$F$754=AE1066))*(--ISNUMBER(FIND("-",Sheet1!$W$2:$W$754,FIND("-",Sheet1!$W$2:$W$754)+1))),Sheet1!$W$2:$W$754,""),IF(_xlpm.desc="","NOT FOUND",LEFT(_xlpm.desc,FIND("-",_xlpm.desc,FIND("-",_xlpm.desc)+1))&amp;AE1066)),LEFT(J1066,FIND("-",J1066,FIND("-",J1066)+1))&amp;AE1066))</f>
        <v/>
      </c>
    </row>
    <row r="1067" spans="1:34" ht="15.75" customHeight="1" x14ac:dyDescent="0.2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X1067" s="6" t="e">
        <f t="shared" si="60"/>
        <v>#VALUE!</v>
      </c>
      <c r="Y1067" s="7" t="str">
        <f t="shared" si="61"/>
        <v>DC</v>
      </c>
      <c r="Z1067" s="7">
        <f t="shared" si="62"/>
        <v>0</v>
      </c>
      <c r="AA1067" s="7">
        <f t="shared" si="63"/>
        <v>0</v>
      </c>
      <c r="AB1067" s="7">
        <f t="shared" si="64"/>
        <v>0</v>
      </c>
      <c r="AC1067" s="7">
        <f t="shared" si="65"/>
        <v>0</v>
      </c>
      <c r="AD1067" s="7">
        <f t="shared" si="66"/>
        <v>0</v>
      </c>
      <c r="AE1067" s="8" cm="1">
        <f t="array" ref="AE1067">IFERROR(_xlfn.XLOOKUP(H1067,Sheet1!$G:$G,Sheet1!$F:$F),IFERROR(_xlfn.XLOOKUP(1,(--($X$2:$X$1074=X1067))*(--ISNUMBER(MATCH($H$2:$H$1074,Sheet1!$G:$G,0))),_xlfn.XLOOKUP($H$2:$H$1074,Sheet1!$G:$G,Sheet1!$F:$F,"")),"NOT FOUND"))</f>
        <v>0</v>
      </c>
      <c r="AF1067" s="9" t="str">
        <f t="shared" si="67"/>
        <v/>
      </c>
      <c r="AG1067" s="10" t="str">
        <f t="shared" si="68"/>
        <v/>
      </c>
      <c r="AH1067" s="8" t="str" cm="1">
        <f t="array" ref="AH1067">IF(OR(J1067="",AE1067="",AE1067="NOT FOUND"),"",IF(Y1067="RP",_xlfn.LET(_xlpm.desc,_xlfn.XLOOKUP(1,(--(Sheet1!$F$2:$F$754=AE1067))*(--ISNUMBER(FIND("-",Sheet1!$W$2:$W$754,FIND("-",Sheet1!$W$2:$W$754)+1))),Sheet1!$W$2:$W$754,""),IF(_xlpm.desc="","NOT FOUND",LEFT(_xlpm.desc,FIND("-",_xlpm.desc,FIND("-",_xlpm.desc)+1))&amp;AE1067)),LEFT(J1067,FIND("-",J1067,FIND("-",J1067)+1))&amp;AE1067))</f>
        <v/>
      </c>
    </row>
    <row r="1068" spans="1:34" ht="15.75" customHeight="1" x14ac:dyDescent="0.2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X1068" s="6" t="e">
        <f t="shared" si="60"/>
        <v>#VALUE!</v>
      </c>
      <c r="Y1068" s="7" t="str">
        <f t="shared" si="61"/>
        <v>DC</v>
      </c>
      <c r="Z1068" s="7">
        <f t="shared" si="62"/>
        <v>0</v>
      </c>
      <c r="AA1068" s="7">
        <f t="shared" si="63"/>
        <v>0</v>
      </c>
      <c r="AB1068" s="7">
        <f t="shared" si="64"/>
        <v>0</v>
      </c>
      <c r="AC1068" s="7">
        <f t="shared" si="65"/>
        <v>0</v>
      </c>
      <c r="AD1068" s="7">
        <f t="shared" si="66"/>
        <v>0</v>
      </c>
      <c r="AE1068" s="8" cm="1">
        <f t="array" ref="AE1068">IFERROR(_xlfn.XLOOKUP(H1068,Sheet1!$G:$G,Sheet1!$F:$F),IFERROR(_xlfn.XLOOKUP(1,(--($X$2:$X$1074=X1068))*(--ISNUMBER(MATCH($H$2:$H$1074,Sheet1!$G:$G,0))),_xlfn.XLOOKUP($H$2:$H$1074,Sheet1!$G:$G,Sheet1!$F:$F,"")),"NOT FOUND"))</f>
        <v>0</v>
      </c>
      <c r="AF1068" s="9" t="str">
        <f t="shared" si="67"/>
        <v/>
      </c>
      <c r="AG1068" s="10" t="str">
        <f t="shared" si="68"/>
        <v/>
      </c>
      <c r="AH1068" s="8" t="str" cm="1">
        <f t="array" ref="AH1068">IF(OR(J1068="",AE1068="",AE1068="NOT FOUND"),"",IF(Y1068="RP",_xlfn.LET(_xlpm.desc,_xlfn.XLOOKUP(1,(--(Sheet1!$F$2:$F$754=AE1068))*(--ISNUMBER(FIND("-",Sheet1!$W$2:$W$754,FIND("-",Sheet1!$W$2:$W$754)+1))),Sheet1!$W$2:$W$754,""),IF(_xlpm.desc="","NOT FOUND",LEFT(_xlpm.desc,FIND("-",_xlpm.desc,FIND("-",_xlpm.desc)+1))&amp;AE1068)),LEFT(J1068,FIND("-",J1068,FIND("-",J1068)+1))&amp;AE1068))</f>
        <v/>
      </c>
    </row>
    <row r="1069" spans="1:34" ht="15.75" customHeight="1" x14ac:dyDescent="0.2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X1069" s="6" t="e">
        <f t="shared" si="60"/>
        <v>#VALUE!</v>
      </c>
      <c r="Y1069" s="7" t="str">
        <f t="shared" si="61"/>
        <v>DC</v>
      </c>
      <c r="Z1069" s="7">
        <f t="shared" si="62"/>
        <v>0</v>
      </c>
      <c r="AA1069" s="7">
        <f t="shared" si="63"/>
        <v>0</v>
      </c>
      <c r="AB1069" s="7">
        <f t="shared" si="64"/>
        <v>0</v>
      </c>
      <c r="AC1069" s="7">
        <f t="shared" si="65"/>
        <v>0</v>
      </c>
      <c r="AD1069" s="7">
        <f t="shared" si="66"/>
        <v>0</v>
      </c>
      <c r="AE1069" s="8" cm="1">
        <f t="array" ref="AE1069">IFERROR(_xlfn.XLOOKUP(H1069,Sheet1!$G:$G,Sheet1!$F:$F),IFERROR(_xlfn.XLOOKUP(1,(--($X$2:$X$1074=X1069))*(--ISNUMBER(MATCH($H$2:$H$1074,Sheet1!$G:$G,0))),_xlfn.XLOOKUP($H$2:$H$1074,Sheet1!$G:$G,Sheet1!$F:$F,"")),"NOT FOUND"))</f>
        <v>0</v>
      </c>
      <c r="AF1069" s="9" t="str">
        <f t="shared" si="67"/>
        <v/>
      </c>
      <c r="AG1069" s="10" t="str">
        <f t="shared" si="68"/>
        <v/>
      </c>
      <c r="AH1069" s="8" t="str" cm="1">
        <f t="array" ref="AH1069">IF(OR(J1069="",AE1069="",AE1069="NOT FOUND"),"",IF(Y1069="RP",_xlfn.LET(_xlpm.desc,_xlfn.XLOOKUP(1,(--(Sheet1!$F$2:$F$754=AE1069))*(--ISNUMBER(FIND("-",Sheet1!$W$2:$W$754,FIND("-",Sheet1!$W$2:$W$754)+1))),Sheet1!$W$2:$W$754,""),IF(_xlpm.desc="","NOT FOUND",LEFT(_xlpm.desc,FIND("-",_xlpm.desc,FIND("-",_xlpm.desc)+1))&amp;AE1069)),LEFT(J1069,FIND("-",J1069,FIND("-",J1069)+1))&amp;AE1069))</f>
        <v/>
      </c>
    </row>
    <row r="1070" spans="1:34" ht="15.75" customHeight="1" x14ac:dyDescent="0.2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X1070" s="6" t="e">
        <f t="shared" si="60"/>
        <v>#VALUE!</v>
      </c>
      <c r="Y1070" s="7" t="str">
        <f t="shared" si="61"/>
        <v>DC</v>
      </c>
      <c r="Z1070" s="7">
        <f t="shared" si="62"/>
        <v>0</v>
      </c>
      <c r="AA1070" s="7">
        <f t="shared" si="63"/>
        <v>0</v>
      </c>
      <c r="AB1070" s="7">
        <f t="shared" si="64"/>
        <v>0</v>
      </c>
      <c r="AC1070" s="7">
        <f t="shared" si="65"/>
        <v>0</v>
      </c>
      <c r="AD1070" s="7">
        <f t="shared" si="66"/>
        <v>0</v>
      </c>
      <c r="AE1070" s="8" cm="1">
        <f t="array" ref="AE1070">IFERROR(_xlfn.XLOOKUP(H1070,Sheet1!$G:$G,Sheet1!$F:$F),IFERROR(_xlfn.XLOOKUP(1,(--($X$2:$X$1074=X1070))*(--ISNUMBER(MATCH($H$2:$H$1074,Sheet1!$G:$G,0))),_xlfn.XLOOKUP($H$2:$H$1074,Sheet1!$G:$G,Sheet1!$F:$F,"")),"NOT FOUND"))</f>
        <v>0</v>
      </c>
      <c r="AF1070" s="9" t="str">
        <f t="shared" si="67"/>
        <v/>
      </c>
      <c r="AG1070" s="10" t="str">
        <f t="shared" si="68"/>
        <v/>
      </c>
      <c r="AH1070" s="8" t="str" cm="1">
        <f t="array" ref="AH1070">IF(OR(J1070="",AE1070="",AE1070="NOT FOUND"),"",IF(Y1070="RP",_xlfn.LET(_xlpm.desc,_xlfn.XLOOKUP(1,(--(Sheet1!$F$2:$F$754=AE1070))*(--ISNUMBER(FIND("-",Sheet1!$W$2:$W$754,FIND("-",Sheet1!$W$2:$W$754)+1))),Sheet1!$W$2:$W$754,""),IF(_xlpm.desc="","NOT FOUND",LEFT(_xlpm.desc,FIND("-",_xlpm.desc,FIND("-",_xlpm.desc)+1))&amp;AE1070)),LEFT(J1070,FIND("-",J1070,FIND("-",J1070)+1))&amp;AE1070))</f>
        <v/>
      </c>
    </row>
    <row r="1071" spans="1:34" ht="15.75" customHeight="1" x14ac:dyDescent="0.2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X1071" s="6" t="e">
        <f t="shared" si="60"/>
        <v>#VALUE!</v>
      </c>
      <c r="Y1071" s="7" t="str">
        <f t="shared" si="61"/>
        <v>DC</v>
      </c>
      <c r="Z1071" s="7">
        <f t="shared" si="62"/>
        <v>0</v>
      </c>
      <c r="AA1071" s="7">
        <f t="shared" si="63"/>
        <v>0</v>
      </c>
      <c r="AB1071" s="7">
        <f t="shared" si="64"/>
        <v>0</v>
      </c>
      <c r="AC1071" s="7">
        <f t="shared" si="65"/>
        <v>0</v>
      </c>
      <c r="AD1071" s="7">
        <f t="shared" si="66"/>
        <v>0</v>
      </c>
      <c r="AE1071" s="8" cm="1">
        <f t="array" ref="AE1071">IFERROR(_xlfn.XLOOKUP(H1071,Sheet1!$G:$G,Sheet1!$F:$F),IFERROR(_xlfn.XLOOKUP(1,(--($X$2:$X$1074=X1071))*(--ISNUMBER(MATCH($H$2:$H$1074,Sheet1!$G:$G,0))),_xlfn.XLOOKUP($H$2:$H$1074,Sheet1!$G:$G,Sheet1!$F:$F,"")),"NOT FOUND"))</f>
        <v>0</v>
      </c>
      <c r="AF1071" s="9" t="str">
        <f t="shared" si="67"/>
        <v/>
      </c>
      <c r="AG1071" s="10" t="str">
        <f t="shared" si="68"/>
        <v/>
      </c>
      <c r="AH1071" s="8" t="str" cm="1">
        <f t="array" ref="AH1071">IF(OR(J1071="",AE1071="",AE1071="NOT FOUND"),"",IF(Y1071="RP",_xlfn.LET(_xlpm.desc,_xlfn.XLOOKUP(1,(--(Sheet1!$F$2:$F$754=AE1071))*(--ISNUMBER(FIND("-",Sheet1!$W$2:$W$754,FIND("-",Sheet1!$W$2:$W$754)+1))),Sheet1!$W$2:$W$754,""),IF(_xlpm.desc="","NOT FOUND",LEFT(_xlpm.desc,FIND("-",_xlpm.desc,FIND("-",_xlpm.desc)+1))&amp;AE1071)),LEFT(J1071,FIND("-",J1071,FIND("-",J1071)+1))&amp;AE1071))</f>
        <v/>
      </c>
    </row>
    <row r="1072" spans="1:34" ht="15.75" customHeight="1" x14ac:dyDescent="0.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X1072" s="6" t="e">
        <f t="shared" si="60"/>
        <v>#VALUE!</v>
      </c>
      <c r="Y1072" s="7" t="str">
        <f t="shared" si="61"/>
        <v>DC</v>
      </c>
      <c r="Z1072" s="7">
        <f t="shared" si="62"/>
        <v>0</v>
      </c>
      <c r="AA1072" s="7">
        <f t="shared" si="63"/>
        <v>0</v>
      </c>
      <c r="AB1072" s="7">
        <f t="shared" si="64"/>
        <v>0</v>
      </c>
      <c r="AC1072" s="7">
        <f t="shared" si="65"/>
        <v>0</v>
      </c>
      <c r="AD1072" s="7">
        <f t="shared" si="66"/>
        <v>0</v>
      </c>
      <c r="AE1072" s="8" cm="1">
        <f t="array" ref="AE1072">IFERROR(_xlfn.XLOOKUP(H1072,Sheet1!$G:$G,Sheet1!$F:$F),IFERROR(_xlfn.XLOOKUP(1,(--($X$2:$X$1074=X1072))*(--ISNUMBER(MATCH($H$2:$H$1074,Sheet1!$G:$G,0))),_xlfn.XLOOKUP($H$2:$H$1074,Sheet1!$G:$G,Sheet1!$F:$F,"")),"NOT FOUND"))</f>
        <v>0</v>
      </c>
      <c r="AF1072" s="9" t="str">
        <f t="shared" si="67"/>
        <v/>
      </c>
      <c r="AG1072" s="10" t="str">
        <f t="shared" si="68"/>
        <v/>
      </c>
      <c r="AH1072" s="8" t="str" cm="1">
        <f t="array" ref="AH1072">IF(OR(J1072="",AE1072="",AE1072="NOT FOUND"),"",IF(Y1072="RP",_xlfn.LET(_xlpm.desc,_xlfn.XLOOKUP(1,(--(Sheet1!$F$2:$F$754=AE1072))*(--ISNUMBER(FIND("-",Sheet1!$W$2:$W$754,FIND("-",Sheet1!$W$2:$W$754)+1))),Sheet1!$W$2:$W$754,""),IF(_xlpm.desc="","NOT FOUND",LEFT(_xlpm.desc,FIND("-",_xlpm.desc,FIND("-",_xlpm.desc)+1))&amp;AE1072)),LEFT(J1072,FIND("-",J1072,FIND("-",J1072)+1))&amp;AE1072))</f>
        <v/>
      </c>
    </row>
    <row r="1073" spans="1:34" ht="15.75" customHeight="1" x14ac:dyDescent="0.2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X1073" s="6" t="e">
        <f t="shared" si="60"/>
        <v>#VALUE!</v>
      </c>
      <c r="Y1073" s="7" t="str">
        <f t="shared" si="61"/>
        <v>DC</v>
      </c>
      <c r="Z1073" s="7">
        <f t="shared" si="62"/>
        <v>0</v>
      </c>
      <c r="AA1073" s="7">
        <f t="shared" si="63"/>
        <v>0</v>
      </c>
      <c r="AB1073" s="7">
        <f t="shared" si="64"/>
        <v>0</v>
      </c>
      <c r="AC1073" s="7">
        <f t="shared" si="65"/>
        <v>0</v>
      </c>
      <c r="AD1073" s="7">
        <f t="shared" si="66"/>
        <v>0</v>
      </c>
      <c r="AE1073" s="8" cm="1">
        <f t="array" ref="AE1073">IFERROR(_xlfn.XLOOKUP(H1073,Sheet1!$G:$G,Sheet1!$F:$F),IFERROR(_xlfn.XLOOKUP(1,(--($X$2:$X$1074=X1073))*(--ISNUMBER(MATCH($H$2:$H$1074,Sheet1!$G:$G,0))),_xlfn.XLOOKUP($H$2:$H$1074,Sheet1!$G:$G,Sheet1!$F:$F,"")),"NOT FOUND"))</f>
        <v>0</v>
      </c>
      <c r="AF1073" s="9" t="str">
        <f t="shared" si="67"/>
        <v/>
      </c>
      <c r="AG1073" s="10" t="str">
        <f t="shared" si="68"/>
        <v/>
      </c>
      <c r="AH1073" s="8" t="str" cm="1">
        <f t="array" ref="AH1073">IF(OR(J1073="",AE1073="",AE1073="NOT FOUND"),"",IF(Y1073="RP",_xlfn.LET(_xlpm.desc,_xlfn.XLOOKUP(1,(--(Sheet1!$F$2:$F$754=AE1073))*(--ISNUMBER(FIND("-",Sheet1!$W$2:$W$754,FIND("-",Sheet1!$W$2:$W$754)+1))),Sheet1!$W$2:$W$754,""),IF(_xlpm.desc="","NOT FOUND",LEFT(_xlpm.desc,FIND("-",_xlpm.desc,FIND("-",_xlpm.desc)+1))&amp;AE1073)),LEFT(J1073,FIND("-",J1073,FIND("-",J1073)+1))&amp;AE1073))</f>
        <v/>
      </c>
    </row>
    <row r="1074" spans="1:34" ht="15.75" customHeight="1" x14ac:dyDescent="0.2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X1074" s="6" t="e">
        <f t="shared" si="60"/>
        <v>#VALUE!</v>
      </c>
      <c r="Y1074" s="7" t="str">
        <f t="shared" si="61"/>
        <v>DC</v>
      </c>
      <c r="Z1074" s="7">
        <f t="shared" si="62"/>
        <v>0</v>
      </c>
      <c r="AA1074" s="7">
        <f t="shared" si="63"/>
        <v>0</v>
      </c>
      <c r="AB1074" s="7">
        <f t="shared" si="64"/>
        <v>0</v>
      </c>
      <c r="AC1074" s="7">
        <f t="shared" si="65"/>
        <v>0</v>
      </c>
      <c r="AD1074" s="7">
        <f t="shared" si="66"/>
        <v>0</v>
      </c>
      <c r="AE1074" s="8" cm="1">
        <f t="array" ref="AE1074">IFERROR(_xlfn.XLOOKUP(H1074,Sheet1!$G:$G,Sheet1!$F:$F),IFERROR(_xlfn.XLOOKUP(1,(--($X$2:$X$1074=X1074))*(--ISNUMBER(MATCH($H$2:$H$1074,Sheet1!$G:$G,0))),_xlfn.XLOOKUP($H$2:$H$1074,Sheet1!$G:$G,Sheet1!$F:$F,"")),"NOT FOUND"))</f>
        <v>0</v>
      </c>
      <c r="AF1074" s="9" t="str">
        <f t="shared" si="67"/>
        <v/>
      </c>
      <c r="AG1074" s="10" t="str">
        <f t="shared" si="68"/>
        <v/>
      </c>
      <c r="AH1074" s="8" t="str" cm="1">
        <f t="array" ref="AH1074">IF(OR(J1074="",AE1074="",AE1074="NOT FOUND"),"",IF(Y1074="RP",_xlfn.LET(_xlpm.desc,_xlfn.XLOOKUP(1,(--(Sheet1!$F$2:$F$754=AE1074))*(--ISNUMBER(FIND("-",Sheet1!$W$2:$W$754,FIND("-",Sheet1!$W$2:$W$754)+1))),Sheet1!$W$2:$W$754,""),IF(_xlpm.desc="","NOT FOUND",LEFT(_xlpm.desc,FIND("-",_xlpm.desc,FIND("-",_xlpm.desc)+1))&amp;AE1074)),LEFT(J1074,FIND("-",J1074,FIND("-",J1074)+1))&amp;AE1074))</f>
        <v/>
      </c>
    </row>
    <row r="1075" spans="1:34" ht="16" x14ac:dyDescent="0.2">
      <c r="A1075" t="s">
        <v>30</v>
      </c>
      <c r="B1075" t="s">
        <v>437</v>
      </c>
      <c r="C1075" t="s">
        <v>436</v>
      </c>
      <c r="D1075" t="s">
        <v>435</v>
      </c>
      <c r="E1075" t="s">
        <v>34</v>
      </c>
      <c r="F1075" t="s">
        <v>35</v>
      </c>
      <c r="G1075" t="s">
        <v>43</v>
      </c>
      <c r="I1075" t="s">
        <v>583</v>
      </c>
      <c r="J1075" t="s">
        <v>584</v>
      </c>
      <c r="L1075" t="s">
        <v>40</v>
      </c>
      <c r="M1075">
        <v>1</v>
      </c>
      <c r="N1075">
        <v>283</v>
      </c>
      <c r="O1075">
        <v>283</v>
      </c>
      <c r="P1075" t="s">
        <v>474</v>
      </c>
      <c r="Q1075">
        <v>234.3</v>
      </c>
      <c r="R1075">
        <v>234.3</v>
      </c>
      <c r="S1075">
        <v>351.45</v>
      </c>
      <c r="T1075">
        <v>7029</v>
      </c>
      <c r="U1075">
        <v>5</v>
      </c>
      <c r="V1075" t="s">
        <v>42</v>
      </c>
      <c r="X1075" t="s">
        <v>585</v>
      </c>
      <c r="Y1075" t="s">
        <v>586</v>
      </c>
      <c r="AA1075">
        <v>283</v>
      </c>
      <c r="AE1075" t="s">
        <v>539</v>
      </c>
      <c r="AF1075" t="s">
        <v>587</v>
      </c>
      <c r="AG1075" t="s">
        <v>588</v>
      </c>
      <c r="AH1075" s="8" t="str" cm="1">
        <f t="array" ref="AH1075">IF(OR(J1075="",AE1075="",AE1075="NOT FOUND"),"",IF(Y1075="RP",_xlfn.LET(_xlpm.desc,_xlfn.XLOOKUP(1,(--(Sheet1!$F$2:$F$754=AE1075))*(--ISNUMBER(FIND("-",Sheet1!$W$2:$W$754,FIND("-",Sheet1!$W$2:$W$754)+1))),Sheet1!$W$2:$W$754,""),IF(_xlpm.desc="","NOT FOUND",LEFT(_xlpm.desc,FIND("-",_xlpm.desc,FIND("-",_xlpm.desc)+1))&amp;AE1075)),LEFT(J1075,FIND("-",J1075,FIND("-",J1075)+1))&amp;AE1075))</f>
        <v>KRTS-APSU26-YETKRTSCUT5009</v>
      </c>
    </row>
    <row r="1076" spans="1:34" ht="16" x14ac:dyDescent="0.2">
      <c r="A1076" t="s">
        <v>30</v>
      </c>
      <c r="B1076" t="s">
        <v>437</v>
      </c>
      <c r="C1076" t="s">
        <v>436</v>
      </c>
      <c r="D1076" t="s">
        <v>435</v>
      </c>
      <c r="E1076" t="s">
        <v>34</v>
      </c>
      <c r="F1076" t="s">
        <v>35</v>
      </c>
      <c r="G1076" t="s">
        <v>47</v>
      </c>
      <c r="I1076" t="s">
        <v>589</v>
      </c>
      <c r="J1076" t="s">
        <v>590</v>
      </c>
      <c r="L1076" t="s">
        <v>40</v>
      </c>
      <c r="M1076">
        <v>1</v>
      </c>
      <c r="N1076">
        <v>283</v>
      </c>
      <c r="O1076">
        <v>283</v>
      </c>
      <c r="P1076" t="s">
        <v>474</v>
      </c>
      <c r="Q1076">
        <v>234.3</v>
      </c>
      <c r="R1076">
        <v>234.3</v>
      </c>
      <c r="S1076">
        <v>351.45</v>
      </c>
      <c r="T1076">
        <v>7029</v>
      </c>
      <c r="U1076">
        <v>5</v>
      </c>
      <c r="V1076" t="s">
        <v>42</v>
      </c>
      <c r="X1076" t="s">
        <v>585</v>
      </c>
      <c r="Y1076" t="s">
        <v>586</v>
      </c>
      <c r="AB1076">
        <v>283</v>
      </c>
      <c r="AE1076" t="s">
        <v>539</v>
      </c>
      <c r="AF1076" t="s">
        <v>587</v>
      </c>
      <c r="AG1076" t="s">
        <v>588</v>
      </c>
      <c r="AH1076" s="8" t="str" cm="1">
        <f t="array" ref="AH1076">IF(OR(J1076="",AE1076="",AE1076="NOT FOUND"),"",IF(Y1076="RP",_xlfn.LET(_xlpm.desc,_xlfn.XLOOKUP(1,(--(Sheet1!$F$2:$F$754=AE1076))*(--ISNUMBER(FIND("-",Sheet1!$W$2:$W$754,FIND("-",Sheet1!$W$2:$W$754)+1))),Sheet1!$W$2:$W$754,""),IF(_xlpm.desc="","NOT FOUND",LEFT(_xlpm.desc,FIND("-",_xlpm.desc,FIND("-",_xlpm.desc)+1))&amp;AE1076)),LEFT(J1076,FIND("-",J1076,FIND("-",J1076)+1))&amp;AE1076))</f>
        <v>KRTS-APSU26-YETKRTSCUT5009</v>
      </c>
    </row>
    <row r="1077" spans="1:34" ht="16" x14ac:dyDescent="0.2">
      <c r="A1077" t="s">
        <v>30</v>
      </c>
      <c r="B1077" t="s">
        <v>437</v>
      </c>
      <c r="C1077" t="s">
        <v>436</v>
      </c>
      <c r="D1077" t="s">
        <v>435</v>
      </c>
      <c r="E1077" t="s">
        <v>34</v>
      </c>
      <c r="F1077" t="s">
        <v>35</v>
      </c>
      <c r="G1077" t="s">
        <v>55</v>
      </c>
      <c r="I1077" t="s">
        <v>591</v>
      </c>
      <c r="J1077" t="s">
        <v>592</v>
      </c>
      <c r="L1077" t="s">
        <v>40</v>
      </c>
      <c r="M1077">
        <v>1</v>
      </c>
      <c r="N1077">
        <v>283</v>
      </c>
      <c r="O1077">
        <v>283</v>
      </c>
      <c r="P1077" t="s">
        <v>474</v>
      </c>
      <c r="Q1077">
        <v>234.3</v>
      </c>
      <c r="R1077">
        <v>234.3</v>
      </c>
      <c r="S1077">
        <v>351.45</v>
      </c>
      <c r="T1077">
        <v>7029</v>
      </c>
      <c r="U1077">
        <v>5</v>
      </c>
      <c r="V1077" t="s">
        <v>42</v>
      </c>
      <c r="X1077" t="s">
        <v>585</v>
      </c>
      <c r="Y1077" t="s">
        <v>586</v>
      </c>
      <c r="AD1077">
        <v>283</v>
      </c>
      <c r="AE1077" t="s">
        <v>539</v>
      </c>
      <c r="AF1077" t="s">
        <v>587</v>
      </c>
      <c r="AG1077" t="s">
        <v>588</v>
      </c>
      <c r="AH1077" s="8" t="str" cm="1">
        <f t="array" ref="AH1077">IF(OR(J1077="",AE1077="",AE1077="NOT FOUND"),"",IF(Y1077="RP",_xlfn.LET(_xlpm.desc,_xlfn.XLOOKUP(1,(--(Sheet1!$F$2:$F$754=AE1077))*(--ISNUMBER(FIND("-",Sheet1!$W$2:$W$754,FIND("-",Sheet1!$W$2:$W$754)+1))),Sheet1!$W$2:$W$754,""),IF(_xlpm.desc="","NOT FOUND",LEFT(_xlpm.desc,FIND("-",_xlpm.desc,FIND("-",_xlpm.desc)+1))&amp;AE1077)),LEFT(J1077,FIND("-",J1077,FIND("-",J1077)+1))&amp;AE1077))</f>
        <v>KRTS-APSU26-YETKRTSCUT5009</v>
      </c>
    </row>
  </sheetData>
  <sheetProtection formatCells="0" formatColumns="0" formatRows="0" insertRows="0" insertHyperlinks="0" sort="0" autoFilter="0" pivotTables="0"/>
  <autoFilter ref="A1:AF1074" xr:uid="{00000000-0009-0000-0000-000000000000}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80"/>
  <sheetViews>
    <sheetView tabSelected="1" workbookViewId="0">
      <selection activeCell="C16" sqref="C16"/>
    </sheetView>
  </sheetViews>
  <sheetFormatPr baseColWidth="10" defaultRowHeight="15" customHeight="1" x14ac:dyDescent="0.2"/>
  <cols>
    <col min="1" max="25" width="30.83203125" customWidth="1"/>
  </cols>
  <sheetData>
    <row r="1" spans="1:25" ht="17" x14ac:dyDescent="0.2">
      <c r="A1" s="1" t="s">
        <v>449</v>
      </c>
      <c r="B1" s="1" t="s">
        <v>450</v>
      </c>
      <c r="C1" s="1" t="s">
        <v>451</v>
      </c>
      <c r="D1" s="1" t="s">
        <v>452</v>
      </c>
      <c r="E1" s="1" t="s">
        <v>453</v>
      </c>
      <c r="F1" s="1" t="s">
        <v>454</v>
      </c>
      <c r="G1" s="1" t="s">
        <v>455</v>
      </c>
      <c r="H1" s="1" t="s">
        <v>456</v>
      </c>
      <c r="I1" s="1" t="s">
        <v>457</v>
      </c>
      <c r="J1" s="1" t="s">
        <v>458</v>
      </c>
      <c r="K1" s="1" t="s">
        <v>459</v>
      </c>
      <c r="L1" s="1" t="s">
        <v>460</v>
      </c>
      <c r="M1" s="1" t="s">
        <v>461</v>
      </c>
      <c r="N1" s="1" t="s">
        <v>462</v>
      </c>
      <c r="O1" s="1" t="s">
        <v>463</v>
      </c>
      <c r="P1" s="1" t="s">
        <v>464</v>
      </c>
      <c r="Q1" s="1" t="s">
        <v>465</v>
      </c>
      <c r="R1" s="1" t="s">
        <v>466</v>
      </c>
      <c r="S1" s="1" t="s">
        <v>467</v>
      </c>
      <c r="T1" s="1" t="s">
        <v>468</v>
      </c>
      <c r="U1" s="1" t="s">
        <v>469</v>
      </c>
      <c r="V1" s="1" t="s">
        <v>470</v>
      </c>
      <c r="W1" s="1" t="s">
        <v>471</v>
      </c>
      <c r="X1" s="1" t="s">
        <v>472</v>
      </c>
      <c r="Y1" s="1" t="s">
        <v>473</v>
      </c>
    </row>
    <row r="2" spans="1:25" ht="16" x14ac:dyDescent="0.2">
      <c r="A2" t="s">
        <v>474</v>
      </c>
      <c r="B2" t="s">
        <v>596</v>
      </c>
      <c r="C2" t="s">
        <v>474</v>
      </c>
      <c r="D2" t="s">
        <v>474</v>
      </c>
      <c r="E2" t="s">
        <v>36</v>
      </c>
      <c r="F2" t="s">
        <v>597</v>
      </c>
      <c r="G2" t="s">
        <v>598</v>
      </c>
      <c r="H2" t="s">
        <v>474</v>
      </c>
      <c r="I2" t="s">
        <v>599</v>
      </c>
      <c r="J2" t="s">
        <v>474</v>
      </c>
      <c r="K2" t="s">
        <v>474</v>
      </c>
      <c r="L2" t="s">
        <v>474</v>
      </c>
      <c r="M2" t="s">
        <v>474</v>
      </c>
      <c r="N2" t="s">
        <v>474</v>
      </c>
      <c r="O2" t="s">
        <v>474</v>
      </c>
      <c r="P2" t="s">
        <v>474</v>
      </c>
      <c r="Q2" t="s">
        <v>474</v>
      </c>
      <c r="R2" t="s">
        <v>474</v>
      </c>
      <c r="S2" t="s">
        <v>474</v>
      </c>
      <c r="T2" t="s">
        <v>474</v>
      </c>
      <c r="U2" t="s">
        <v>474</v>
      </c>
      <c r="V2" t="s">
        <v>600</v>
      </c>
      <c r="W2" t="s">
        <v>601</v>
      </c>
      <c r="X2" t="s">
        <v>30</v>
      </c>
      <c r="Y2" t="s">
        <v>476</v>
      </c>
    </row>
    <row r="3" spans="1:25" ht="16" x14ac:dyDescent="0.2">
      <c r="A3" t="s">
        <v>474</v>
      </c>
      <c r="B3" t="s">
        <v>596</v>
      </c>
      <c r="C3" t="s">
        <v>474</v>
      </c>
      <c r="D3" t="s">
        <v>474</v>
      </c>
      <c r="E3" t="s">
        <v>43</v>
      </c>
      <c r="F3" t="s">
        <v>597</v>
      </c>
      <c r="G3" t="s">
        <v>602</v>
      </c>
      <c r="H3" t="s">
        <v>474</v>
      </c>
      <c r="I3" t="s">
        <v>603</v>
      </c>
      <c r="J3" t="s">
        <v>474</v>
      </c>
      <c r="K3" t="s">
        <v>474</v>
      </c>
      <c r="L3" t="s">
        <v>474</v>
      </c>
      <c r="M3" t="s">
        <v>474</v>
      </c>
      <c r="N3" t="s">
        <v>474</v>
      </c>
      <c r="O3" t="s">
        <v>474</v>
      </c>
      <c r="P3" t="s">
        <v>474</v>
      </c>
      <c r="Q3" t="s">
        <v>474</v>
      </c>
      <c r="R3" t="s">
        <v>474</v>
      </c>
      <c r="S3" t="s">
        <v>474</v>
      </c>
      <c r="T3" t="s">
        <v>474</v>
      </c>
      <c r="U3" t="s">
        <v>474</v>
      </c>
      <c r="V3" t="s">
        <v>604</v>
      </c>
      <c r="W3" t="s">
        <v>605</v>
      </c>
      <c r="X3" t="s">
        <v>30</v>
      </c>
      <c r="Y3" t="s">
        <v>476</v>
      </c>
    </row>
    <row r="4" spans="1:25" ht="16" x14ac:dyDescent="0.2">
      <c r="A4" t="s">
        <v>474</v>
      </c>
      <c r="B4" t="s">
        <v>596</v>
      </c>
      <c r="C4" t="s">
        <v>474</v>
      </c>
      <c r="D4" t="s">
        <v>474</v>
      </c>
      <c r="E4" t="s">
        <v>47</v>
      </c>
      <c r="F4" t="s">
        <v>597</v>
      </c>
      <c r="G4" t="s">
        <v>606</v>
      </c>
      <c r="H4" t="s">
        <v>474</v>
      </c>
      <c r="I4" t="s">
        <v>607</v>
      </c>
      <c r="J4" t="s">
        <v>474</v>
      </c>
      <c r="K4" t="s">
        <v>474</v>
      </c>
      <c r="L4" t="s">
        <v>474</v>
      </c>
      <c r="M4" t="s">
        <v>474</v>
      </c>
      <c r="N4" t="s">
        <v>474</v>
      </c>
      <c r="O4" t="s">
        <v>474</v>
      </c>
      <c r="P4" t="s">
        <v>474</v>
      </c>
      <c r="Q4" t="s">
        <v>474</v>
      </c>
      <c r="R4" t="s">
        <v>474</v>
      </c>
      <c r="S4" t="s">
        <v>474</v>
      </c>
      <c r="T4" t="s">
        <v>474</v>
      </c>
      <c r="U4" t="s">
        <v>474</v>
      </c>
      <c r="V4" t="s">
        <v>486</v>
      </c>
      <c r="W4" t="s">
        <v>608</v>
      </c>
      <c r="X4" t="s">
        <v>30</v>
      </c>
      <c r="Y4" t="s">
        <v>476</v>
      </c>
    </row>
    <row r="5" spans="1:25" ht="16" x14ac:dyDescent="0.2">
      <c r="A5" t="s">
        <v>474</v>
      </c>
      <c r="B5" t="s">
        <v>596</v>
      </c>
      <c r="C5" t="s">
        <v>474</v>
      </c>
      <c r="D5" t="s">
        <v>474</v>
      </c>
      <c r="E5" t="s">
        <v>51</v>
      </c>
      <c r="F5" t="s">
        <v>597</v>
      </c>
      <c r="G5" t="s">
        <v>609</v>
      </c>
      <c r="H5" t="s">
        <v>474</v>
      </c>
      <c r="I5" t="s">
        <v>610</v>
      </c>
      <c r="J5" t="s">
        <v>474</v>
      </c>
      <c r="K5" t="s">
        <v>474</v>
      </c>
      <c r="L5" t="s">
        <v>474</v>
      </c>
      <c r="M5" t="s">
        <v>474</v>
      </c>
      <c r="N5" t="s">
        <v>474</v>
      </c>
      <c r="O5" t="s">
        <v>474</v>
      </c>
      <c r="P5" t="s">
        <v>474</v>
      </c>
      <c r="Q5" t="s">
        <v>474</v>
      </c>
      <c r="R5" t="s">
        <v>474</v>
      </c>
      <c r="S5" t="s">
        <v>474</v>
      </c>
      <c r="T5" t="s">
        <v>474</v>
      </c>
      <c r="U5" t="s">
        <v>474</v>
      </c>
      <c r="V5" t="s">
        <v>604</v>
      </c>
      <c r="W5" t="s">
        <v>611</v>
      </c>
      <c r="X5" t="s">
        <v>30</v>
      </c>
      <c r="Y5" t="s">
        <v>476</v>
      </c>
    </row>
    <row r="6" spans="1:25" ht="16" x14ac:dyDescent="0.2">
      <c r="A6" t="s">
        <v>474</v>
      </c>
      <c r="B6" t="s">
        <v>596</v>
      </c>
      <c r="C6" t="s">
        <v>474</v>
      </c>
      <c r="D6" t="s">
        <v>474</v>
      </c>
      <c r="E6" t="s">
        <v>55</v>
      </c>
      <c r="F6" t="s">
        <v>597</v>
      </c>
      <c r="G6" t="s">
        <v>612</v>
      </c>
      <c r="H6" t="s">
        <v>474</v>
      </c>
      <c r="I6" t="s">
        <v>613</v>
      </c>
      <c r="J6" t="s">
        <v>474</v>
      </c>
      <c r="K6" t="s">
        <v>474</v>
      </c>
      <c r="L6" t="s">
        <v>474</v>
      </c>
      <c r="M6" t="s">
        <v>474</v>
      </c>
      <c r="N6" t="s">
        <v>474</v>
      </c>
      <c r="O6" t="s">
        <v>474</v>
      </c>
      <c r="P6" t="s">
        <v>474</v>
      </c>
      <c r="Q6" t="s">
        <v>474</v>
      </c>
      <c r="R6" t="s">
        <v>474</v>
      </c>
      <c r="S6" t="s">
        <v>474</v>
      </c>
      <c r="T6" t="s">
        <v>474</v>
      </c>
      <c r="U6" t="s">
        <v>474</v>
      </c>
      <c r="V6" t="s">
        <v>614</v>
      </c>
      <c r="W6" t="s">
        <v>176</v>
      </c>
      <c r="X6" t="s">
        <v>30</v>
      </c>
      <c r="Y6" t="s">
        <v>476</v>
      </c>
    </row>
    <row r="7" spans="1:25" ht="16" x14ac:dyDescent="0.2">
      <c r="A7" t="s">
        <v>474</v>
      </c>
      <c r="B7" t="s">
        <v>615</v>
      </c>
      <c r="C7" t="s">
        <v>474</v>
      </c>
      <c r="D7" t="s">
        <v>474</v>
      </c>
      <c r="E7" t="s">
        <v>36</v>
      </c>
      <c r="F7" t="s">
        <v>616</v>
      </c>
      <c r="G7" t="s">
        <v>617</v>
      </c>
      <c r="H7" t="s">
        <v>474</v>
      </c>
      <c r="I7" t="s">
        <v>618</v>
      </c>
      <c r="J7" t="s">
        <v>474</v>
      </c>
      <c r="K7" t="s">
        <v>474</v>
      </c>
      <c r="L7" t="s">
        <v>474</v>
      </c>
      <c r="M7" t="s">
        <v>474</v>
      </c>
      <c r="N7" t="s">
        <v>474</v>
      </c>
      <c r="O7" t="s">
        <v>474</v>
      </c>
      <c r="P7" t="s">
        <v>474</v>
      </c>
      <c r="Q7" t="s">
        <v>474</v>
      </c>
      <c r="R7" t="s">
        <v>474</v>
      </c>
      <c r="S7" t="s">
        <v>474</v>
      </c>
      <c r="T7" t="s">
        <v>474</v>
      </c>
      <c r="U7" t="s">
        <v>474</v>
      </c>
      <c r="V7" t="s">
        <v>600</v>
      </c>
      <c r="W7" t="s">
        <v>619</v>
      </c>
      <c r="X7" t="s">
        <v>30</v>
      </c>
      <c r="Y7" t="s">
        <v>476</v>
      </c>
    </row>
    <row r="8" spans="1:25" ht="16" x14ac:dyDescent="0.2">
      <c r="A8" t="s">
        <v>474</v>
      </c>
      <c r="B8" t="s">
        <v>615</v>
      </c>
      <c r="C8" t="s">
        <v>474</v>
      </c>
      <c r="D8" t="s">
        <v>474</v>
      </c>
      <c r="E8" t="s">
        <v>43</v>
      </c>
      <c r="F8" t="s">
        <v>616</v>
      </c>
      <c r="G8" t="s">
        <v>620</v>
      </c>
      <c r="H8" t="s">
        <v>474</v>
      </c>
      <c r="I8" t="s">
        <v>621</v>
      </c>
      <c r="J8" t="s">
        <v>474</v>
      </c>
      <c r="K8" t="s">
        <v>474</v>
      </c>
      <c r="L8" t="s">
        <v>474</v>
      </c>
      <c r="M8" t="s">
        <v>474</v>
      </c>
      <c r="N8" t="s">
        <v>474</v>
      </c>
      <c r="O8" t="s">
        <v>474</v>
      </c>
      <c r="P8" t="s">
        <v>474</v>
      </c>
      <c r="Q8" t="s">
        <v>474</v>
      </c>
      <c r="R8" t="s">
        <v>474</v>
      </c>
      <c r="S8" t="s">
        <v>474</v>
      </c>
      <c r="T8" t="s">
        <v>474</v>
      </c>
      <c r="U8" t="s">
        <v>474</v>
      </c>
      <c r="V8" t="s">
        <v>604</v>
      </c>
      <c r="W8" t="s">
        <v>622</v>
      </c>
      <c r="X8" t="s">
        <v>30</v>
      </c>
      <c r="Y8" t="s">
        <v>476</v>
      </c>
    </row>
    <row r="9" spans="1:25" ht="16" x14ac:dyDescent="0.2">
      <c r="A9" t="s">
        <v>474</v>
      </c>
      <c r="B9" t="s">
        <v>615</v>
      </c>
      <c r="C9" t="s">
        <v>474</v>
      </c>
      <c r="D9" t="s">
        <v>474</v>
      </c>
      <c r="E9" t="s">
        <v>47</v>
      </c>
      <c r="F9" t="s">
        <v>616</v>
      </c>
      <c r="G9" t="s">
        <v>623</v>
      </c>
      <c r="H9" t="s">
        <v>474</v>
      </c>
      <c r="I9" t="s">
        <v>624</v>
      </c>
      <c r="J9" t="s">
        <v>474</v>
      </c>
      <c r="K9" t="s">
        <v>474</v>
      </c>
      <c r="L9" t="s">
        <v>474</v>
      </c>
      <c r="M9" t="s">
        <v>474</v>
      </c>
      <c r="N9" t="s">
        <v>474</v>
      </c>
      <c r="O9" t="s">
        <v>474</v>
      </c>
      <c r="P9" t="s">
        <v>474</v>
      </c>
      <c r="Q9" t="s">
        <v>474</v>
      </c>
      <c r="R9" t="s">
        <v>474</v>
      </c>
      <c r="S9" t="s">
        <v>474</v>
      </c>
      <c r="T9" t="s">
        <v>474</v>
      </c>
      <c r="U9" t="s">
        <v>474</v>
      </c>
      <c r="V9" t="s">
        <v>486</v>
      </c>
      <c r="W9" t="s">
        <v>625</v>
      </c>
      <c r="X9" t="s">
        <v>30</v>
      </c>
      <c r="Y9" t="s">
        <v>476</v>
      </c>
    </row>
    <row r="10" spans="1:25" ht="16" x14ac:dyDescent="0.2">
      <c r="A10" t="s">
        <v>474</v>
      </c>
      <c r="B10" t="s">
        <v>615</v>
      </c>
      <c r="C10" t="s">
        <v>474</v>
      </c>
      <c r="D10" t="s">
        <v>474</v>
      </c>
      <c r="E10" t="s">
        <v>51</v>
      </c>
      <c r="F10" t="s">
        <v>616</v>
      </c>
      <c r="G10" t="s">
        <v>626</v>
      </c>
      <c r="H10" t="s">
        <v>474</v>
      </c>
      <c r="I10" t="s">
        <v>627</v>
      </c>
      <c r="J10" t="s">
        <v>474</v>
      </c>
      <c r="K10" t="s">
        <v>474</v>
      </c>
      <c r="L10" t="s">
        <v>474</v>
      </c>
      <c r="M10" t="s">
        <v>474</v>
      </c>
      <c r="N10" t="s">
        <v>474</v>
      </c>
      <c r="O10" t="s">
        <v>474</v>
      </c>
      <c r="P10" t="s">
        <v>474</v>
      </c>
      <c r="Q10" t="s">
        <v>474</v>
      </c>
      <c r="R10" t="s">
        <v>474</v>
      </c>
      <c r="S10" t="s">
        <v>474</v>
      </c>
      <c r="T10" t="s">
        <v>474</v>
      </c>
      <c r="U10" t="s">
        <v>474</v>
      </c>
      <c r="V10" t="s">
        <v>604</v>
      </c>
      <c r="W10" t="s">
        <v>628</v>
      </c>
      <c r="X10" t="s">
        <v>30</v>
      </c>
      <c r="Y10" t="s">
        <v>476</v>
      </c>
    </row>
    <row r="11" spans="1:25" ht="16" x14ac:dyDescent="0.2">
      <c r="A11" t="s">
        <v>474</v>
      </c>
      <c r="B11" t="s">
        <v>615</v>
      </c>
      <c r="C11" t="s">
        <v>474</v>
      </c>
      <c r="D11" t="s">
        <v>474</v>
      </c>
      <c r="E11" t="s">
        <v>55</v>
      </c>
      <c r="F11" t="s">
        <v>616</v>
      </c>
      <c r="G11" t="s">
        <v>629</v>
      </c>
      <c r="H11" t="s">
        <v>474</v>
      </c>
      <c r="I11" t="s">
        <v>630</v>
      </c>
      <c r="J11" t="s">
        <v>474</v>
      </c>
      <c r="K11" t="s">
        <v>474</v>
      </c>
      <c r="L11" t="s">
        <v>474</v>
      </c>
      <c r="M11" t="s">
        <v>474</v>
      </c>
      <c r="N11" t="s">
        <v>474</v>
      </c>
      <c r="O11" t="s">
        <v>474</v>
      </c>
      <c r="P11" t="s">
        <v>474</v>
      </c>
      <c r="Q11" t="s">
        <v>474</v>
      </c>
      <c r="R11" t="s">
        <v>474</v>
      </c>
      <c r="S11" t="s">
        <v>474</v>
      </c>
      <c r="T11" t="s">
        <v>474</v>
      </c>
      <c r="U11" t="s">
        <v>474</v>
      </c>
      <c r="V11" t="s">
        <v>614</v>
      </c>
      <c r="W11" t="s">
        <v>631</v>
      </c>
      <c r="X11" t="s">
        <v>30</v>
      </c>
      <c r="Y11" t="s">
        <v>476</v>
      </c>
    </row>
    <row r="12" spans="1:25" ht="16" x14ac:dyDescent="0.2">
      <c r="A12" t="s">
        <v>474</v>
      </c>
      <c r="B12" t="s">
        <v>632</v>
      </c>
      <c r="C12" t="s">
        <v>474</v>
      </c>
      <c r="D12" t="s">
        <v>474</v>
      </c>
      <c r="E12" t="s">
        <v>36</v>
      </c>
      <c r="F12" t="s">
        <v>633</v>
      </c>
      <c r="G12" t="s">
        <v>634</v>
      </c>
      <c r="H12" t="s">
        <v>474</v>
      </c>
      <c r="I12" t="s">
        <v>635</v>
      </c>
      <c r="J12" t="s">
        <v>474</v>
      </c>
      <c r="K12" t="s">
        <v>474</v>
      </c>
      <c r="L12" t="s">
        <v>474</v>
      </c>
      <c r="M12" t="s">
        <v>474</v>
      </c>
      <c r="N12" t="s">
        <v>474</v>
      </c>
      <c r="O12" t="s">
        <v>474</v>
      </c>
      <c r="P12" t="s">
        <v>474</v>
      </c>
      <c r="Q12" t="s">
        <v>474</v>
      </c>
      <c r="R12" t="s">
        <v>474</v>
      </c>
      <c r="S12" t="s">
        <v>474</v>
      </c>
      <c r="T12" t="s">
        <v>474</v>
      </c>
      <c r="U12" t="s">
        <v>474</v>
      </c>
      <c r="V12" t="s">
        <v>600</v>
      </c>
      <c r="W12" t="s">
        <v>636</v>
      </c>
      <c r="X12" t="s">
        <v>30</v>
      </c>
      <c r="Y12" t="s">
        <v>476</v>
      </c>
    </row>
    <row r="13" spans="1:25" ht="16" x14ac:dyDescent="0.2">
      <c r="A13" t="s">
        <v>474</v>
      </c>
      <c r="B13" t="s">
        <v>632</v>
      </c>
      <c r="C13" t="s">
        <v>474</v>
      </c>
      <c r="D13" t="s">
        <v>474</v>
      </c>
      <c r="E13" t="s">
        <v>43</v>
      </c>
      <c r="F13" t="s">
        <v>633</v>
      </c>
      <c r="G13" t="s">
        <v>637</v>
      </c>
      <c r="H13" t="s">
        <v>474</v>
      </c>
      <c r="I13" t="s">
        <v>638</v>
      </c>
      <c r="J13" t="s">
        <v>474</v>
      </c>
      <c r="K13" t="s">
        <v>474</v>
      </c>
      <c r="L13" t="s">
        <v>474</v>
      </c>
      <c r="M13" t="s">
        <v>474</v>
      </c>
      <c r="N13" t="s">
        <v>474</v>
      </c>
      <c r="O13" t="s">
        <v>474</v>
      </c>
      <c r="P13" t="s">
        <v>474</v>
      </c>
      <c r="Q13" t="s">
        <v>474</v>
      </c>
      <c r="R13" t="s">
        <v>474</v>
      </c>
      <c r="S13" t="s">
        <v>474</v>
      </c>
      <c r="T13" t="s">
        <v>474</v>
      </c>
      <c r="U13" t="s">
        <v>474</v>
      </c>
      <c r="V13" t="s">
        <v>604</v>
      </c>
      <c r="W13" t="s">
        <v>639</v>
      </c>
      <c r="X13" t="s">
        <v>30</v>
      </c>
      <c r="Y13" t="s">
        <v>476</v>
      </c>
    </row>
    <row r="14" spans="1:25" ht="16" x14ac:dyDescent="0.2">
      <c r="A14" t="s">
        <v>474</v>
      </c>
      <c r="B14" t="s">
        <v>632</v>
      </c>
      <c r="C14" t="s">
        <v>474</v>
      </c>
      <c r="D14" t="s">
        <v>474</v>
      </c>
      <c r="E14" t="s">
        <v>47</v>
      </c>
      <c r="F14" t="s">
        <v>633</v>
      </c>
      <c r="G14" t="s">
        <v>640</v>
      </c>
      <c r="H14" t="s">
        <v>474</v>
      </c>
      <c r="I14" t="s">
        <v>641</v>
      </c>
      <c r="J14" t="s">
        <v>474</v>
      </c>
      <c r="K14" t="s">
        <v>474</v>
      </c>
      <c r="L14" t="s">
        <v>474</v>
      </c>
      <c r="M14" t="s">
        <v>474</v>
      </c>
      <c r="N14" t="s">
        <v>474</v>
      </c>
      <c r="O14" t="s">
        <v>474</v>
      </c>
      <c r="P14" t="s">
        <v>474</v>
      </c>
      <c r="Q14" t="s">
        <v>474</v>
      </c>
      <c r="R14" t="s">
        <v>474</v>
      </c>
      <c r="S14" t="s">
        <v>474</v>
      </c>
      <c r="T14" t="s">
        <v>474</v>
      </c>
      <c r="U14" t="s">
        <v>474</v>
      </c>
      <c r="V14" t="s">
        <v>486</v>
      </c>
      <c r="W14" t="s">
        <v>642</v>
      </c>
      <c r="X14" t="s">
        <v>30</v>
      </c>
      <c r="Y14" t="s">
        <v>476</v>
      </c>
    </row>
    <row r="15" spans="1:25" ht="16" x14ac:dyDescent="0.2">
      <c r="A15" t="s">
        <v>474</v>
      </c>
      <c r="B15" t="s">
        <v>632</v>
      </c>
      <c r="C15" t="s">
        <v>474</v>
      </c>
      <c r="D15" t="s">
        <v>474</v>
      </c>
      <c r="E15" t="s">
        <v>51</v>
      </c>
      <c r="F15" t="s">
        <v>633</v>
      </c>
      <c r="G15" t="s">
        <v>643</v>
      </c>
      <c r="H15" t="s">
        <v>474</v>
      </c>
      <c r="I15" t="s">
        <v>644</v>
      </c>
      <c r="J15" t="s">
        <v>474</v>
      </c>
      <c r="K15" t="s">
        <v>474</v>
      </c>
      <c r="L15" t="s">
        <v>474</v>
      </c>
      <c r="M15" t="s">
        <v>474</v>
      </c>
      <c r="N15" t="s">
        <v>474</v>
      </c>
      <c r="O15" t="s">
        <v>474</v>
      </c>
      <c r="P15" t="s">
        <v>474</v>
      </c>
      <c r="Q15" t="s">
        <v>474</v>
      </c>
      <c r="R15" t="s">
        <v>474</v>
      </c>
      <c r="S15" t="s">
        <v>474</v>
      </c>
      <c r="T15" t="s">
        <v>474</v>
      </c>
      <c r="U15" t="s">
        <v>474</v>
      </c>
      <c r="V15" t="s">
        <v>604</v>
      </c>
      <c r="W15" t="s">
        <v>628</v>
      </c>
      <c r="X15" t="s">
        <v>30</v>
      </c>
      <c r="Y15" t="s">
        <v>476</v>
      </c>
    </row>
    <row r="16" spans="1:25" ht="16" x14ac:dyDescent="0.2">
      <c r="A16" t="s">
        <v>474</v>
      </c>
      <c r="B16" t="s">
        <v>632</v>
      </c>
      <c r="C16" t="s">
        <v>474</v>
      </c>
      <c r="D16" t="s">
        <v>474</v>
      </c>
      <c r="E16" t="s">
        <v>55</v>
      </c>
      <c r="F16" t="s">
        <v>633</v>
      </c>
      <c r="G16" t="s">
        <v>645</v>
      </c>
      <c r="H16" t="s">
        <v>474</v>
      </c>
      <c r="I16" t="s">
        <v>646</v>
      </c>
      <c r="J16" t="s">
        <v>474</v>
      </c>
      <c r="K16" t="s">
        <v>474</v>
      </c>
      <c r="L16" t="s">
        <v>474</v>
      </c>
      <c r="M16" t="s">
        <v>474</v>
      </c>
      <c r="N16" t="s">
        <v>474</v>
      </c>
      <c r="O16" t="s">
        <v>474</v>
      </c>
      <c r="P16" t="s">
        <v>474</v>
      </c>
      <c r="Q16" t="s">
        <v>474</v>
      </c>
      <c r="R16" t="s">
        <v>474</v>
      </c>
      <c r="S16" t="s">
        <v>474</v>
      </c>
      <c r="T16" t="s">
        <v>474</v>
      </c>
      <c r="U16" t="s">
        <v>474</v>
      </c>
      <c r="V16" t="s">
        <v>614</v>
      </c>
      <c r="W16" t="s">
        <v>631</v>
      </c>
      <c r="X16" t="s">
        <v>30</v>
      </c>
      <c r="Y16" t="s">
        <v>476</v>
      </c>
    </row>
    <row r="17" spans="1:25" ht="16" x14ac:dyDescent="0.2">
      <c r="A17" t="s">
        <v>474</v>
      </c>
      <c r="B17" t="s">
        <v>647</v>
      </c>
      <c r="C17" t="s">
        <v>474</v>
      </c>
      <c r="D17" t="s">
        <v>474</v>
      </c>
      <c r="E17" t="s">
        <v>36</v>
      </c>
      <c r="F17" t="s">
        <v>648</v>
      </c>
      <c r="G17" t="s">
        <v>649</v>
      </c>
      <c r="H17" t="s">
        <v>474</v>
      </c>
      <c r="I17" t="s">
        <v>650</v>
      </c>
      <c r="J17" t="s">
        <v>474</v>
      </c>
      <c r="K17" t="s">
        <v>474</v>
      </c>
      <c r="L17" t="s">
        <v>474</v>
      </c>
      <c r="M17" t="s">
        <v>474</v>
      </c>
      <c r="N17" t="s">
        <v>474</v>
      </c>
      <c r="O17" t="s">
        <v>474</v>
      </c>
      <c r="P17" t="s">
        <v>474</v>
      </c>
      <c r="Q17" t="s">
        <v>474</v>
      </c>
      <c r="R17" t="s">
        <v>474</v>
      </c>
      <c r="S17" t="s">
        <v>474</v>
      </c>
      <c r="T17" t="s">
        <v>474</v>
      </c>
      <c r="U17" t="s">
        <v>474</v>
      </c>
      <c r="V17" t="s">
        <v>600</v>
      </c>
      <c r="W17" t="s">
        <v>651</v>
      </c>
      <c r="X17" t="s">
        <v>30</v>
      </c>
      <c r="Y17" t="s">
        <v>476</v>
      </c>
    </row>
    <row r="18" spans="1:25" ht="16" x14ac:dyDescent="0.2">
      <c r="A18" t="s">
        <v>474</v>
      </c>
      <c r="B18" t="s">
        <v>647</v>
      </c>
      <c r="C18" t="s">
        <v>474</v>
      </c>
      <c r="D18" t="s">
        <v>474</v>
      </c>
      <c r="E18" t="s">
        <v>43</v>
      </c>
      <c r="F18" t="s">
        <v>648</v>
      </c>
      <c r="G18" t="s">
        <v>652</v>
      </c>
      <c r="H18" t="s">
        <v>474</v>
      </c>
      <c r="I18" t="s">
        <v>653</v>
      </c>
      <c r="J18" t="s">
        <v>474</v>
      </c>
      <c r="K18" t="s">
        <v>474</v>
      </c>
      <c r="L18" t="s">
        <v>474</v>
      </c>
      <c r="M18" t="s">
        <v>474</v>
      </c>
      <c r="N18" t="s">
        <v>474</v>
      </c>
      <c r="O18" t="s">
        <v>474</v>
      </c>
      <c r="P18" t="s">
        <v>474</v>
      </c>
      <c r="Q18" t="s">
        <v>474</v>
      </c>
      <c r="R18" t="s">
        <v>474</v>
      </c>
      <c r="S18" t="s">
        <v>474</v>
      </c>
      <c r="T18" t="s">
        <v>474</v>
      </c>
      <c r="U18" t="s">
        <v>474</v>
      </c>
      <c r="V18" t="s">
        <v>604</v>
      </c>
      <c r="W18" t="s">
        <v>654</v>
      </c>
      <c r="X18" t="s">
        <v>30</v>
      </c>
      <c r="Y18" t="s">
        <v>476</v>
      </c>
    </row>
    <row r="19" spans="1:25" ht="16" x14ac:dyDescent="0.2">
      <c r="A19" t="s">
        <v>474</v>
      </c>
      <c r="B19" t="s">
        <v>647</v>
      </c>
      <c r="C19" t="s">
        <v>474</v>
      </c>
      <c r="D19" t="s">
        <v>474</v>
      </c>
      <c r="E19" t="s">
        <v>47</v>
      </c>
      <c r="F19" t="s">
        <v>648</v>
      </c>
      <c r="G19" t="s">
        <v>655</v>
      </c>
      <c r="H19" t="s">
        <v>474</v>
      </c>
      <c r="I19" t="s">
        <v>656</v>
      </c>
      <c r="J19" t="s">
        <v>474</v>
      </c>
      <c r="K19" t="s">
        <v>474</v>
      </c>
      <c r="L19" t="s">
        <v>474</v>
      </c>
      <c r="M19" t="s">
        <v>474</v>
      </c>
      <c r="N19" t="s">
        <v>474</v>
      </c>
      <c r="O19" t="s">
        <v>474</v>
      </c>
      <c r="P19" t="s">
        <v>474</v>
      </c>
      <c r="Q19" t="s">
        <v>474</v>
      </c>
      <c r="R19" t="s">
        <v>474</v>
      </c>
      <c r="S19" t="s">
        <v>474</v>
      </c>
      <c r="T19" t="s">
        <v>474</v>
      </c>
      <c r="U19" t="s">
        <v>474</v>
      </c>
      <c r="V19" t="s">
        <v>486</v>
      </c>
      <c r="W19" t="s">
        <v>657</v>
      </c>
      <c r="X19" t="s">
        <v>30</v>
      </c>
      <c r="Y19" t="s">
        <v>476</v>
      </c>
    </row>
    <row r="20" spans="1:25" ht="16" x14ac:dyDescent="0.2">
      <c r="A20" t="s">
        <v>474</v>
      </c>
      <c r="B20" t="s">
        <v>647</v>
      </c>
      <c r="C20" t="s">
        <v>474</v>
      </c>
      <c r="D20" t="s">
        <v>474</v>
      </c>
      <c r="E20" t="s">
        <v>51</v>
      </c>
      <c r="F20" t="s">
        <v>648</v>
      </c>
      <c r="G20" t="s">
        <v>658</v>
      </c>
      <c r="H20" t="s">
        <v>474</v>
      </c>
      <c r="I20" t="s">
        <v>659</v>
      </c>
      <c r="J20" t="s">
        <v>474</v>
      </c>
      <c r="K20" t="s">
        <v>474</v>
      </c>
      <c r="L20" t="s">
        <v>474</v>
      </c>
      <c r="M20" t="s">
        <v>474</v>
      </c>
      <c r="N20" t="s">
        <v>474</v>
      </c>
      <c r="O20" t="s">
        <v>474</v>
      </c>
      <c r="P20" t="s">
        <v>474</v>
      </c>
      <c r="Q20" t="s">
        <v>474</v>
      </c>
      <c r="R20" t="s">
        <v>474</v>
      </c>
      <c r="S20" t="s">
        <v>474</v>
      </c>
      <c r="T20" t="s">
        <v>474</v>
      </c>
      <c r="U20" t="s">
        <v>474</v>
      </c>
      <c r="V20" t="s">
        <v>604</v>
      </c>
      <c r="W20" t="s">
        <v>660</v>
      </c>
      <c r="X20" t="s">
        <v>30</v>
      </c>
      <c r="Y20" t="s">
        <v>476</v>
      </c>
    </row>
    <row r="21" spans="1:25" ht="16" x14ac:dyDescent="0.2">
      <c r="A21" t="s">
        <v>474</v>
      </c>
      <c r="B21" t="s">
        <v>647</v>
      </c>
      <c r="C21" t="s">
        <v>474</v>
      </c>
      <c r="D21" t="s">
        <v>474</v>
      </c>
      <c r="E21" t="s">
        <v>55</v>
      </c>
      <c r="F21" t="s">
        <v>648</v>
      </c>
      <c r="G21" t="s">
        <v>661</v>
      </c>
      <c r="H21" t="s">
        <v>474</v>
      </c>
      <c r="I21" t="s">
        <v>662</v>
      </c>
      <c r="J21" t="s">
        <v>474</v>
      </c>
      <c r="K21" t="s">
        <v>474</v>
      </c>
      <c r="L21" t="s">
        <v>474</v>
      </c>
      <c r="M21" t="s">
        <v>474</v>
      </c>
      <c r="N21" t="s">
        <v>474</v>
      </c>
      <c r="O21" t="s">
        <v>474</v>
      </c>
      <c r="P21" t="s">
        <v>474</v>
      </c>
      <c r="Q21" t="s">
        <v>474</v>
      </c>
      <c r="R21" t="s">
        <v>474</v>
      </c>
      <c r="S21" t="s">
        <v>474</v>
      </c>
      <c r="T21" t="s">
        <v>474</v>
      </c>
      <c r="U21" t="s">
        <v>474</v>
      </c>
      <c r="V21" t="s">
        <v>614</v>
      </c>
      <c r="W21" t="s">
        <v>663</v>
      </c>
      <c r="X21" t="s">
        <v>30</v>
      </c>
      <c r="Y21" t="s">
        <v>476</v>
      </c>
    </row>
    <row r="22" spans="1:25" ht="16" x14ac:dyDescent="0.2">
      <c r="A22" t="s">
        <v>474</v>
      </c>
      <c r="B22" t="s">
        <v>664</v>
      </c>
      <c r="C22" t="s">
        <v>474</v>
      </c>
      <c r="D22" t="s">
        <v>474</v>
      </c>
      <c r="E22" t="s">
        <v>36</v>
      </c>
      <c r="F22" t="s">
        <v>665</v>
      </c>
      <c r="G22" t="s">
        <v>666</v>
      </c>
      <c r="H22" t="s">
        <v>474</v>
      </c>
      <c r="I22" t="s">
        <v>667</v>
      </c>
      <c r="J22" t="s">
        <v>474</v>
      </c>
      <c r="K22" t="s">
        <v>474</v>
      </c>
      <c r="L22" t="s">
        <v>474</v>
      </c>
      <c r="M22" t="s">
        <v>474</v>
      </c>
      <c r="N22" t="s">
        <v>474</v>
      </c>
      <c r="O22" t="s">
        <v>474</v>
      </c>
      <c r="P22" t="s">
        <v>474</v>
      </c>
      <c r="Q22" t="s">
        <v>474</v>
      </c>
      <c r="R22" t="s">
        <v>474</v>
      </c>
      <c r="S22" t="s">
        <v>474</v>
      </c>
      <c r="T22" t="s">
        <v>474</v>
      </c>
      <c r="U22" t="s">
        <v>474</v>
      </c>
      <c r="V22" t="s">
        <v>600</v>
      </c>
      <c r="W22" t="s">
        <v>668</v>
      </c>
      <c r="X22" t="s">
        <v>30</v>
      </c>
      <c r="Y22" t="s">
        <v>476</v>
      </c>
    </row>
    <row r="23" spans="1:25" ht="16" x14ac:dyDescent="0.2">
      <c r="A23" t="s">
        <v>474</v>
      </c>
      <c r="B23" t="s">
        <v>664</v>
      </c>
      <c r="C23" t="s">
        <v>474</v>
      </c>
      <c r="D23" t="s">
        <v>474</v>
      </c>
      <c r="E23" t="s">
        <v>43</v>
      </c>
      <c r="F23" t="s">
        <v>665</v>
      </c>
      <c r="G23" t="s">
        <v>669</v>
      </c>
      <c r="H23" t="s">
        <v>474</v>
      </c>
      <c r="I23" t="s">
        <v>670</v>
      </c>
      <c r="J23" t="s">
        <v>474</v>
      </c>
      <c r="K23" t="s">
        <v>474</v>
      </c>
      <c r="L23" t="s">
        <v>474</v>
      </c>
      <c r="M23" t="s">
        <v>474</v>
      </c>
      <c r="N23" t="s">
        <v>474</v>
      </c>
      <c r="O23" t="s">
        <v>474</v>
      </c>
      <c r="P23" t="s">
        <v>474</v>
      </c>
      <c r="Q23" t="s">
        <v>474</v>
      </c>
      <c r="R23" t="s">
        <v>474</v>
      </c>
      <c r="S23" t="s">
        <v>474</v>
      </c>
      <c r="T23" t="s">
        <v>474</v>
      </c>
      <c r="U23" t="s">
        <v>474</v>
      </c>
      <c r="V23" t="s">
        <v>604</v>
      </c>
      <c r="W23" t="s">
        <v>671</v>
      </c>
      <c r="X23" t="s">
        <v>30</v>
      </c>
      <c r="Y23" t="s">
        <v>476</v>
      </c>
    </row>
    <row r="24" spans="1:25" ht="16" x14ac:dyDescent="0.2">
      <c r="A24" t="s">
        <v>474</v>
      </c>
      <c r="B24" t="s">
        <v>664</v>
      </c>
      <c r="C24" t="s">
        <v>474</v>
      </c>
      <c r="D24" t="s">
        <v>474</v>
      </c>
      <c r="E24" t="s">
        <v>47</v>
      </c>
      <c r="F24" t="s">
        <v>665</v>
      </c>
      <c r="G24" t="s">
        <v>672</v>
      </c>
      <c r="H24" t="s">
        <v>474</v>
      </c>
      <c r="I24" t="s">
        <v>673</v>
      </c>
      <c r="J24" t="s">
        <v>474</v>
      </c>
      <c r="K24" t="s">
        <v>474</v>
      </c>
      <c r="L24" t="s">
        <v>474</v>
      </c>
      <c r="M24" t="s">
        <v>474</v>
      </c>
      <c r="N24" t="s">
        <v>474</v>
      </c>
      <c r="O24" t="s">
        <v>474</v>
      </c>
      <c r="P24" t="s">
        <v>474</v>
      </c>
      <c r="Q24" t="s">
        <v>474</v>
      </c>
      <c r="R24" t="s">
        <v>474</v>
      </c>
      <c r="S24" t="s">
        <v>474</v>
      </c>
      <c r="T24" t="s">
        <v>474</v>
      </c>
      <c r="U24" t="s">
        <v>474</v>
      </c>
      <c r="V24" t="s">
        <v>486</v>
      </c>
      <c r="W24" t="s">
        <v>674</v>
      </c>
      <c r="X24" t="s">
        <v>30</v>
      </c>
      <c r="Y24" t="s">
        <v>476</v>
      </c>
    </row>
    <row r="25" spans="1:25" ht="16" x14ac:dyDescent="0.2">
      <c r="A25" t="s">
        <v>474</v>
      </c>
      <c r="B25" t="s">
        <v>664</v>
      </c>
      <c r="C25" t="s">
        <v>474</v>
      </c>
      <c r="D25" t="s">
        <v>474</v>
      </c>
      <c r="E25" t="s">
        <v>51</v>
      </c>
      <c r="F25" t="s">
        <v>665</v>
      </c>
      <c r="G25" t="s">
        <v>675</v>
      </c>
      <c r="H25" t="s">
        <v>474</v>
      </c>
      <c r="I25" t="s">
        <v>676</v>
      </c>
      <c r="J25" t="s">
        <v>474</v>
      </c>
      <c r="K25" t="s">
        <v>474</v>
      </c>
      <c r="L25" t="s">
        <v>474</v>
      </c>
      <c r="M25" t="s">
        <v>474</v>
      </c>
      <c r="N25" t="s">
        <v>474</v>
      </c>
      <c r="O25" t="s">
        <v>474</v>
      </c>
      <c r="P25" t="s">
        <v>474</v>
      </c>
      <c r="Q25" t="s">
        <v>474</v>
      </c>
      <c r="R25" t="s">
        <v>474</v>
      </c>
      <c r="S25" t="s">
        <v>474</v>
      </c>
      <c r="T25" t="s">
        <v>474</v>
      </c>
      <c r="U25" t="s">
        <v>474</v>
      </c>
      <c r="V25" t="s">
        <v>604</v>
      </c>
      <c r="W25" t="s">
        <v>677</v>
      </c>
      <c r="X25" t="s">
        <v>30</v>
      </c>
      <c r="Y25" t="s">
        <v>476</v>
      </c>
    </row>
    <row r="26" spans="1:25" ht="16" x14ac:dyDescent="0.2">
      <c r="A26" t="s">
        <v>474</v>
      </c>
      <c r="B26" t="s">
        <v>664</v>
      </c>
      <c r="C26" t="s">
        <v>474</v>
      </c>
      <c r="D26" t="s">
        <v>474</v>
      </c>
      <c r="E26" t="s">
        <v>55</v>
      </c>
      <c r="F26" t="s">
        <v>665</v>
      </c>
      <c r="G26" t="s">
        <v>678</v>
      </c>
      <c r="H26" t="s">
        <v>474</v>
      </c>
      <c r="I26" t="s">
        <v>679</v>
      </c>
      <c r="J26" t="s">
        <v>474</v>
      </c>
      <c r="K26" t="s">
        <v>474</v>
      </c>
      <c r="L26" t="s">
        <v>474</v>
      </c>
      <c r="M26" t="s">
        <v>474</v>
      </c>
      <c r="N26" t="s">
        <v>474</v>
      </c>
      <c r="O26" t="s">
        <v>474</v>
      </c>
      <c r="P26" t="s">
        <v>474</v>
      </c>
      <c r="Q26" t="s">
        <v>474</v>
      </c>
      <c r="R26" t="s">
        <v>474</v>
      </c>
      <c r="S26" t="s">
        <v>474</v>
      </c>
      <c r="T26" t="s">
        <v>474</v>
      </c>
      <c r="U26" t="s">
        <v>474</v>
      </c>
      <c r="V26" t="s">
        <v>614</v>
      </c>
      <c r="W26" t="s">
        <v>680</v>
      </c>
      <c r="X26" t="s">
        <v>30</v>
      </c>
      <c r="Y26" t="s">
        <v>476</v>
      </c>
    </row>
    <row r="27" spans="1:25" ht="16" x14ac:dyDescent="0.2">
      <c r="A27" t="s">
        <v>474</v>
      </c>
      <c r="B27" t="s">
        <v>681</v>
      </c>
      <c r="C27" t="s">
        <v>474</v>
      </c>
      <c r="D27" t="s">
        <v>474</v>
      </c>
      <c r="E27" t="s">
        <v>36</v>
      </c>
      <c r="F27" t="s">
        <v>597</v>
      </c>
      <c r="G27" t="s">
        <v>598</v>
      </c>
      <c r="H27" t="s">
        <v>474</v>
      </c>
      <c r="I27" t="s">
        <v>599</v>
      </c>
      <c r="J27" t="s">
        <v>474</v>
      </c>
      <c r="K27" t="s">
        <v>474</v>
      </c>
      <c r="L27" t="s">
        <v>474</v>
      </c>
      <c r="M27" t="s">
        <v>474</v>
      </c>
      <c r="N27" t="s">
        <v>474</v>
      </c>
      <c r="O27" t="s">
        <v>474</v>
      </c>
      <c r="P27" t="s">
        <v>474</v>
      </c>
      <c r="Q27" t="s">
        <v>474</v>
      </c>
      <c r="R27" t="s">
        <v>474</v>
      </c>
      <c r="S27" t="s">
        <v>474</v>
      </c>
      <c r="T27" t="s">
        <v>474</v>
      </c>
      <c r="U27" t="s">
        <v>474</v>
      </c>
      <c r="V27" t="s">
        <v>519</v>
      </c>
      <c r="W27" t="s">
        <v>601</v>
      </c>
      <c r="X27" t="s">
        <v>59</v>
      </c>
      <c r="Y27" t="s">
        <v>479</v>
      </c>
    </row>
    <row r="28" spans="1:25" ht="16" x14ac:dyDescent="0.2">
      <c r="A28" t="s">
        <v>474</v>
      </c>
      <c r="B28" t="s">
        <v>681</v>
      </c>
      <c r="C28" t="s">
        <v>474</v>
      </c>
      <c r="D28" t="s">
        <v>474</v>
      </c>
      <c r="E28" t="s">
        <v>43</v>
      </c>
      <c r="F28" t="s">
        <v>597</v>
      </c>
      <c r="G28" t="s">
        <v>602</v>
      </c>
      <c r="H28" t="s">
        <v>474</v>
      </c>
      <c r="I28" t="s">
        <v>603</v>
      </c>
      <c r="J28" t="s">
        <v>474</v>
      </c>
      <c r="K28" t="s">
        <v>474</v>
      </c>
      <c r="L28" t="s">
        <v>474</v>
      </c>
      <c r="M28" t="s">
        <v>474</v>
      </c>
      <c r="N28" t="s">
        <v>474</v>
      </c>
      <c r="O28" t="s">
        <v>474</v>
      </c>
      <c r="P28" t="s">
        <v>474</v>
      </c>
      <c r="Q28" t="s">
        <v>474</v>
      </c>
      <c r="R28" t="s">
        <v>474</v>
      </c>
      <c r="S28" t="s">
        <v>474</v>
      </c>
      <c r="T28" t="s">
        <v>474</v>
      </c>
      <c r="U28" t="s">
        <v>474</v>
      </c>
      <c r="V28" t="s">
        <v>682</v>
      </c>
      <c r="W28" t="s">
        <v>605</v>
      </c>
      <c r="X28" t="s">
        <v>59</v>
      </c>
      <c r="Y28" t="s">
        <v>479</v>
      </c>
    </row>
    <row r="29" spans="1:25" ht="16" x14ac:dyDescent="0.2">
      <c r="A29" t="s">
        <v>474</v>
      </c>
      <c r="B29" t="s">
        <v>681</v>
      </c>
      <c r="C29" t="s">
        <v>474</v>
      </c>
      <c r="D29" t="s">
        <v>474</v>
      </c>
      <c r="E29" t="s">
        <v>47</v>
      </c>
      <c r="F29" t="s">
        <v>597</v>
      </c>
      <c r="G29" t="s">
        <v>606</v>
      </c>
      <c r="H29" t="s">
        <v>474</v>
      </c>
      <c r="I29" t="s">
        <v>607</v>
      </c>
      <c r="J29" t="s">
        <v>474</v>
      </c>
      <c r="K29" t="s">
        <v>474</v>
      </c>
      <c r="L29" t="s">
        <v>474</v>
      </c>
      <c r="M29" t="s">
        <v>474</v>
      </c>
      <c r="N29" t="s">
        <v>474</v>
      </c>
      <c r="O29" t="s">
        <v>474</v>
      </c>
      <c r="P29" t="s">
        <v>474</v>
      </c>
      <c r="Q29" t="s">
        <v>474</v>
      </c>
      <c r="R29" t="s">
        <v>474</v>
      </c>
      <c r="S29" t="s">
        <v>474</v>
      </c>
      <c r="T29" t="s">
        <v>474</v>
      </c>
      <c r="U29" t="s">
        <v>474</v>
      </c>
      <c r="V29" t="s">
        <v>478</v>
      </c>
      <c r="W29" t="s">
        <v>608</v>
      </c>
      <c r="X29" t="s">
        <v>59</v>
      </c>
      <c r="Y29" t="s">
        <v>479</v>
      </c>
    </row>
    <row r="30" spans="1:25" ht="16" x14ac:dyDescent="0.2">
      <c r="A30" t="s">
        <v>474</v>
      </c>
      <c r="B30" t="s">
        <v>681</v>
      </c>
      <c r="C30" t="s">
        <v>474</v>
      </c>
      <c r="D30" t="s">
        <v>474</v>
      </c>
      <c r="E30" t="s">
        <v>51</v>
      </c>
      <c r="F30" t="s">
        <v>597</v>
      </c>
      <c r="G30" t="s">
        <v>609</v>
      </c>
      <c r="H30" t="s">
        <v>474</v>
      </c>
      <c r="I30" t="s">
        <v>610</v>
      </c>
      <c r="J30" t="s">
        <v>474</v>
      </c>
      <c r="K30" t="s">
        <v>474</v>
      </c>
      <c r="L30" t="s">
        <v>474</v>
      </c>
      <c r="M30" t="s">
        <v>474</v>
      </c>
      <c r="N30" t="s">
        <v>474</v>
      </c>
      <c r="O30" t="s">
        <v>474</v>
      </c>
      <c r="P30" t="s">
        <v>474</v>
      </c>
      <c r="Q30" t="s">
        <v>474</v>
      </c>
      <c r="R30" t="s">
        <v>474</v>
      </c>
      <c r="S30" t="s">
        <v>474</v>
      </c>
      <c r="T30" t="s">
        <v>474</v>
      </c>
      <c r="U30" t="s">
        <v>474</v>
      </c>
      <c r="V30" t="s">
        <v>682</v>
      </c>
      <c r="W30" t="s">
        <v>611</v>
      </c>
      <c r="X30" t="s">
        <v>59</v>
      </c>
      <c r="Y30" t="s">
        <v>479</v>
      </c>
    </row>
    <row r="31" spans="1:25" ht="16" x14ac:dyDescent="0.2">
      <c r="A31" t="s">
        <v>474</v>
      </c>
      <c r="B31" t="s">
        <v>681</v>
      </c>
      <c r="C31" t="s">
        <v>474</v>
      </c>
      <c r="D31" t="s">
        <v>474</v>
      </c>
      <c r="E31" t="s">
        <v>55</v>
      </c>
      <c r="F31" t="s">
        <v>597</v>
      </c>
      <c r="G31" t="s">
        <v>612</v>
      </c>
      <c r="H31" t="s">
        <v>474</v>
      </c>
      <c r="I31" t="s">
        <v>613</v>
      </c>
      <c r="J31" t="s">
        <v>474</v>
      </c>
      <c r="K31" t="s">
        <v>474</v>
      </c>
      <c r="L31" t="s">
        <v>474</v>
      </c>
      <c r="M31" t="s">
        <v>474</v>
      </c>
      <c r="N31" t="s">
        <v>474</v>
      </c>
      <c r="O31" t="s">
        <v>474</v>
      </c>
      <c r="P31" t="s">
        <v>474</v>
      </c>
      <c r="Q31" t="s">
        <v>474</v>
      </c>
      <c r="R31" t="s">
        <v>474</v>
      </c>
      <c r="S31" t="s">
        <v>474</v>
      </c>
      <c r="T31" t="s">
        <v>474</v>
      </c>
      <c r="U31" t="s">
        <v>474</v>
      </c>
      <c r="V31" t="s">
        <v>683</v>
      </c>
      <c r="W31" t="s">
        <v>176</v>
      </c>
      <c r="X31" t="s">
        <v>59</v>
      </c>
      <c r="Y31" t="s">
        <v>479</v>
      </c>
    </row>
    <row r="32" spans="1:25" ht="16" x14ac:dyDescent="0.2">
      <c r="A32" t="s">
        <v>474</v>
      </c>
      <c r="B32" t="s">
        <v>684</v>
      </c>
      <c r="C32" t="s">
        <v>474</v>
      </c>
      <c r="D32" t="s">
        <v>474</v>
      </c>
      <c r="E32" t="s">
        <v>36</v>
      </c>
      <c r="F32" t="s">
        <v>685</v>
      </c>
      <c r="G32" t="s">
        <v>686</v>
      </c>
      <c r="H32" t="s">
        <v>474</v>
      </c>
      <c r="I32" t="s">
        <v>687</v>
      </c>
      <c r="J32" t="s">
        <v>474</v>
      </c>
      <c r="K32" t="s">
        <v>474</v>
      </c>
      <c r="L32" t="s">
        <v>474</v>
      </c>
      <c r="M32" t="s">
        <v>474</v>
      </c>
      <c r="N32" t="s">
        <v>474</v>
      </c>
      <c r="O32" t="s">
        <v>474</v>
      </c>
      <c r="P32" t="s">
        <v>474</v>
      </c>
      <c r="Q32" t="s">
        <v>474</v>
      </c>
      <c r="R32" t="s">
        <v>474</v>
      </c>
      <c r="S32" t="s">
        <v>474</v>
      </c>
      <c r="T32" t="s">
        <v>474</v>
      </c>
      <c r="U32" t="s">
        <v>474</v>
      </c>
      <c r="V32" t="s">
        <v>600</v>
      </c>
      <c r="W32" t="s">
        <v>688</v>
      </c>
      <c r="X32" t="s">
        <v>30</v>
      </c>
      <c r="Y32" t="s">
        <v>476</v>
      </c>
    </row>
    <row r="33" spans="1:25" ht="16" x14ac:dyDescent="0.2">
      <c r="A33" t="s">
        <v>474</v>
      </c>
      <c r="B33" t="s">
        <v>684</v>
      </c>
      <c r="C33" t="s">
        <v>474</v>
      </c>
      <c r="D33" t="s">
        <v>474</v>
      </c>
      <c r="E33" t="s">
        <v>43</v>
      </c>
      <c r="F33" t="s">
        <v>685</v>
      </c>
      <c r="G33" t="s">
        <v>689</v>
      </c>
      <c r="H33" t="s">
        <v>474</v>
      </c>
      <c r="I33" t="s">
        <v>690</v>
      </c>
      <c r="J33" t="s">
        <v>474</v>
      </c>
      <c r="K33" t="s">
        <v>474</v>
      </c>
      <c r="L33" t="s">
        <v>474</v>
      </c>
      <c r="M33" t="s">
        <v>474</v>
      </c>
      <c r="N33" t="s">
        <v>474</v>
      </c>
      <c r="O33" t="s">
        <v>474</v>
      </c>
      <c r="P33" t="s">
        <v>474</v>
      </c>
      <c r="Q33" t="s">
        <v>474</v>
      </c>
      <c r="R33" t="s">
        <v>474</v>
      </c>
      <c r="S33" t="s">
        <v>474</v>
      </c>
      <c r="T33" t="s">
        <v>474</v>
      </c>
      <c r="U33" t="s">
        <v>474</v>
      </c>
      <c r="V33" t="s">
        <v>604</v>
      </c>
      <c r="W33" t="s">
        <v>691</v>
      </c>
      <c r="X33" t="s">
        <v>30</v>
      </c>
      <c r="Y33" t="s">
        <v>476</v>
      </c>
    </row>
    <row r="34" spans="1:25" ht="16" x14ac:dyDescent="0.2">
      <c r="A34" t="s">
        <v>474</v>
      </c>
      <c r="B34" t="s">
        <v>684</v>
      </c>
      <c r="C34" t="s">
        <v>474</v>
      </c>
      <c r="D34" t="s">
        <v>474</v>
      </c>
      <c r="E34" t="s">
        <v>47</v>
      </c>
      <c r="F34" t="s">
        <v>685</v>
      </c>
      <c r="G34" t="s">
        <v>692</v>
      </c>
      <c r="H34" t="s">
        <v>474</v>
      </c>
      <c r="I34" t="s">
        <v>693</v>
      </c>
      <c r="J34" t="s">
        <v>474</v>
      </c>
      <c r="K34" t="s">
        <v>474</v>
      </c>
      <c r="L34" t="s">
        <v>474</v>
      </c>
      <c r="M34" t="s">
        <v>474</v>
      </c>
      <c r="N34" t="s">
        <v>474</v>
      </c>
      <c r="O34" t="s">
        <v>474</v>
      </c>
      <c r="P34" t="s">
        <v>474</v>
      </c>
      <c r="Q34" t="s">
        <v>474</v>
      </c>
      <c r="R34" t="s">
        <v>474</v>
      </c>
      <c r="S34" t="s">
        <v>474</v>
      </c>
      <c r="T34" t="s">
        <v>474</v>
      </c>
      <c r="U34" t="s">
        <v>474</v>
      </c>
      <c r="V34" t="s">
        <v>486</v>
      </c>
      <c r="W34" t="s">
        <v>694</v>
      </c>
      <c r="X34" t="s">
        <v>30</v>
      </c>
      <c r="Y34" t="s">
        <v>476</v>
      </c>
    </row>
    <row r="35" spans="1:25" ht="16" x14ac:dyDescent="0.2">
      <c r="A35" t="s">
        <v>474</v>
      </c>
      <c r="B35" t="s">
        <v>684</v>
      </c>
      <c r="C35" t="s">
        <v>474</v>
      </c>
      <c r="D35" t="s">
        <v>474</v>
      </c>
      <c r="E35" t="s">
        <v>51</v>
      </c>
      <c r="F35" t="s">
        <v>685</v>
      </c>
      <c r="G35" t="s">
        <v>695</v>
      </c>
      <c r="H35" t="s">
        <v>474</v>
      </c>
      <c r="I35" t="s">
        <v>696</v>
      </c>
      <c r="J35" t="s">
        <v>474</v>
      </c>
      <c r="K35" t="s">
        <v>474</v>
      </c>
      <c r="L35" t="s">
        <v>474</v>
      </c>
      <c r="M35" t="s">
        <v>474</v>
      </c>
      <c r="N35" t="s">
        <v>474</v>
      </c>
      <c r="O35" t="s">
        <v>474</v>
      </c>
      <c r="P35" t="s">
        <v>474</v>
      </c>
      <c r="Q35" t="s">
        <v>474</v>
      </c>
      <c r="R35" t="s">
        <v>474</v>
      </c>
      <c r="S35" t="s">
        <v>474</v>
      </c>
      <c r="T35" t="s">
        <v>474</v>
      </c>
      <c r="U35" t="s">
        <v>474</v>
      </c>
      <c r="V35" t="s">
        <v>604</v>
      </c>
      <c r="W35" t="s">
        <v>697</v>
      </c>
      <c r="X35" t="s">
        <v>30</v>
      </c>
      <c r="Y35" t="s">
        <v>476</v>
      </c>
    </row>
    <row r="36" spans="1:25" ht="16" x14ac:dyDescent="0.2">
      <c r="A36" t="s">
        <v>474</v>
      </c>
      <c r="B36" t="s">
        <v>684</v>
      </c>
      <c r="C36" t="s">
        <v>474</v>
      </c>
      <c r="D36" t="s">
        <v>474</v>
      </c>
      <c r="E36" t="s">
        <v>55</v>
      </c>
      <c r="F36" t="s">
        <v>685</v>
      </c>
      <c r="G36" t="s">
        <v>698</v>
      </c>
      <c r="H36" t="s">
        <v>474</v>
      </c>
      <c r="I36" t="s">
        <v>699</v>
      </c>
      <c r="J36" t="s">
        <v>474</v>
      </c>
      <c r="K36" t="s">
        <v>474</v>
      </c>
      <c r="L36" t="s">
        <v>474</v>
      </c>
      <c r="M36" t="s">
        <v>474</v>
      </c>
      <c r="N36" t="s">
        <v>474</v>
      </c>
      <c r="O36" t="s">
        <v>474</v>
      </c>
      <c r="P36" t="s">
        <v>474</v>
      </c>
      <c r="Q36" t="s">
        <v>474</v>
      </c>
      <c r="R36" t="s">
        <v>474</v>
      </c>
      <c r="S36" t="s">
        <v>474</v>
      </c>
      <c r="T36" t="s">
        <v>474</v>
      </c>
      <c r="U36" t="s">
        <v>474</v>
      </c>
      <c r="V36" t="s">
        <v>614</v>
      </c>
      <c r="W36" t="s">
        <v>700</v>
      </c>
      <c r="X36" t="s">
        <v>30</v>
      </c>
      <c r="Y36" t="s">
        <v>476</v>
      </c>
    </row>
    <row r="37" spans="1:25" ht="16" x14ac:dyDescent="0.2">
      <c r="A37" t="s">
        <v>474</v>
      </c>
      <c r="B37" t="s">
        <v>701</v>
      </c>
      <c r="C37" t="s">
        <v>474</v>
      </c>
      <c r="D37" t="s">
        <v>474</v>
      </c>
      <c r="E37" t="s">
        <v>36</v>
      </c>
      <c r="F37" t="s">
        <v>616</v>
      </c>
      <c r="G37" t="s">
        <v>617</v>
      </c>
      <c r="H37" t="s">
        <v>474</v>
      </c>
      <c r="I37" t="s">
        <v>618</v>
      </c>
      <c r="J37" t="s">
        <v>474</v>
      </c>
      <c r="K37" t="s">
        <v>474</v>
      </c>
      <c r="L37" t="s">
        <v>474</v>
      </c>
      <c r="M37" t="s">
        <v>474</v>
      </c>
      <c r="N37" t="s">
        <v>474</v>
      </c>
      <c r="O37" t="s">
        <v>474</v>
      </c>
      <c r="P37" t="s">
        <v>474</v>
      </c>
      <c r="Q37" t="s">
        <v>474</v>
      </c>
      <c r="R37" t="s">
        <v>474</v>
      </c>
      <c r="S37" t="s">
        <v>474</v>
      </c>
      <c r="T37" t="s">
        <v>474</v>
      </c>
      <c r="U37" t="s">
        <v>474</v>
      </c>
      <c r="V37" t="s">
        <v>519</v>
      </c>
      <c r="W37" t="s">
        <v>619</v>
      </c>
      <c r="X37" t="s">
        <v>59</v>
      </c>
      <c r="Y37" t="s">
        <v>479</v>
      </c>
    </row>
    <row r="38" spans="1:25" ht="16" x14ac:dyDescent="0.2">
      <c r="A38" t="s">
        <v>474</v>
      </c>
      <c r="B38" t="s">
        <v>701</v>
      </c>
      <c r="C38" t="s">
        <v>474</v>
      </c>
      <c r="D38" t="s">
        <v>474</v>
      </c>
      <c r="E38" t="s">
        <v>43</v>
      </c>
      <c r="F38" t="s">
        <v>616</v>
      </c>
      <c r="G38" t="s">
        <v>620</v>
      </c>
      <c r="H38" t="s">
        <v>474</v>
      </c>
      <c r="I38" t="s">
        <v>621</v>
      </c>
      <c r="J38" t="s">
        <v>474</v>
      </c>
      <c r="K38" t="s">
        <v>474</v>
      </c>
      <c r="L38" t="s">
        <v>474</v>
      </c>
      <c r="M38" t="s">
        <v>474</v>
      </c>
      <c r="N38" t="s">
        <v>474</v>
      </c>
      <c r="O38" t="s">
        <v>474</v>
      </c>
      <c r="P38" t="s">
        <v>474</v>
      </c>
      <c r="Q38" t="s">
        <v>474</v>
      </c>
      <c r="R38" t="s">
        <v>474</v>
      </c>
      <c r="S38" t="s">
        <v>474</v>
      </c>
      <c r="T38" t="s">
        <v>474</v>
      </c>
      <c r="U38" t="s">
        <v>474</v>
      </c>
      <c r="V38" t="s">
        <v>682</v>
      </c>
      <c r="W38" t="s">
        <v>622</v>
      </c>
      <c r="X38" t="s">
        <v>59</v>
      </c>
      <c r="Y38" t="s">
        <v>479</v>
      </c>
    </row>
    <row r="39" spans="1:25" ht="16" x14ac:dyDescent="0.2">
      <c r="A39" t="s">
        <v>474</v>
      </c>
      <c r="B39" t="s">
        <v>701</v>
      </c>
      <c r="C39" t="s">
        <v>474</v>
      </c>
      <c r="D39" t="s">
        <v>474</v>
      </c>
      <c r="E39" t="s">
        <v>47</v>
      </c>
      <c r="F39" t="s">
        <v>616</v>
      </c>
      <c r="G39" t="s">
        <v>623</v>
      </c>
      <c r="H39" t="s">
        <v>474</v>
      </c>
      <c r="I39" t="s">
        <v>624</v>
      </c>
      <c r="J39" t="s">
        <v>474</v>
      </c>
      <c r="K39" t="s">
        <v>474</v>
      </c>
      <c r="L39" t="s">
        <v>474</v>
      </c>
      <c r="M39" t="s">
        <v>474</v>
      </c>
      <c r="N39" t="s">
        <v>474</v>
      </c>
      <c r="O39" t="s">
        <v>474</v>
      </c>
      <c r="P39" t="s">
        <v>474</v>
      </c>
      <c r="Q39" t="s">
        <v>474</v>
      </c>
      <c r="R39" t="s">
        <v>474</v>
      </c>
      <c r="S39" t="s">
        <v>474</v>
      </c>
      <c r="T39" t="s">
        <v>474</v>
      </c>
      <c r="U39" t="s">
        <v>474</v>
      </c>
      <c r="V39" t="s">
        <v>478</v>
      </c>
      <c r="W39" t="s">
        <v>625</v>
      </c>
      <c r="X39" t="s">
        <v>59</v>
      </c>
      <c r="Y39" t="s">
        <v>479</v>
      </c>
    </row>
    <row r="40" spans="1:25" ht="16" x14ac:dyDescent="0.2">
      <c r="A40" t="s">
        <v>474</v>
      </c>
      <c r="B40" t="s">
        <v>701</v>
      </c>
      <c r="C40" t="s">
        <v>474</v>
      </c>
      <c r="D40" t="s">
        <v>474</v>
      </c>
      <c r="E40" t="s">
        <v>51</v>
      </c>
      <c r="F40" t="s">
        <v>616</v>
      </c>
      <c r="G40" t="s">
        <v>626</v>
      </c>
      <c r="H40" t="s">
        <v>474</v>
      </c>
      <c r="I40" t="s">
        <v>627</v>
      </c>
      <c r="J40" t="s">
        <v>474</v>
      </c>
      <c r="K40" t="s">
        <v>474</v>
      </c>
      <c r="L40" t="s">
        <v>474</v>
      </c>
      <c r="M40" t="s">
        <v>474</v>
      </c>
      <c r="N40" t="s">
        <v>474</v>
      </c>
      <c r="O40" t="s">
        <v>474</v>
      </c>
      <c r="P40" t="s">
        <v>474</v>
      </c>
      <c r="Q40" t="s">
        <v>474</v>
      </c>
      <c r="R40" t="s">
        <v>474</v>
      </c>
      <c r="S40" t="s">
        <v>474</v>
      </c>
      <c r="T40" t="s">
        <v>474</v>
      </c>
      <c r="U40" t="s">
        <v>474</v>
      </c>
      <c r="V40" t="s">
        <v>682</v>
      </c>
      <c r="W40" t="s">
        <v>628</v>
      </c>
      <c r="X40" t="s">
        <v>59</v>
      </c>
      <c r="Y40" t="s">
        <v>479</v>
      </c>
    </row>
    <row r="41" spans="1:25" ht="16" x14ac:dyDescent="0.2">
      <c r="A41" t="s">
        <v>474</v>
      </c>
      <c r="B41" t="s">
        <v>701</v>
      </c>
      <c r="C41" t="s">
        <v>474</v>
      </c>
      <c r="D41" t="s">
        <v>474</v>
      </c>
      <c r="E41" t="s">
        <v>55</v>
      </c>
      <c r="F41" t="s">
        <v>616</v>
      </c>
      <c r="G41" t="s">
        <v>629</v>
      </c>
      <c r="H41" t="s">
        <v>474</v>
      </c>
      <c r="I41" t="s">
        <v>630</v>
      </c>
      <c r="J41" t="s">
        <v>474</v>
      </c>
      <c r="K41" t="s">
        <v>474</v>
      </c>
      <c r="L41" t="s">
        <v>474</v>
      </c>
      <c r="M41" t="s">
        <v>474</v>
      </c>
      <c r="N41" t="s">
        <v>474</v>
      </c>
      <c r="O41" t="s">
        <v>474</v>
      </c>
      <c r="P41" t="s">
        <v>474</v>
      </c>
      <c r="Q41" t="s">
        <v>474</v>
      </c>
      <c r="R41" t="s">
        <v>474</v>
      </c>
      <c r="S41" t="s">
        <v>474</v>
      </c>
      <c r="T41" t="s">
        <v>474</v>
      </c>
      <c r="U41" t="s">
        <v>474</v>
      </c>
      <c r="V41" t="s">
        <v>683</v>
      </c>
      <c r="W41" t="s">
        <v>631</v>
      </c>
      <c r="X41" t="s">
        <v>59</v>
      </c>
      <c r="Y41" t="s">
        <v>479</v>
      </c>
    </row>
    <row r="42" spans="1:25" ht="16" x14ac:dyDescent="0.2">
      <c r="A42" t="s">
        <v>474</v>
      </c>
      <c r="B42" t="s">
        <v>702</v>
      </c>
      <c r="C42" t="s">
        <v>474</v>
      </c>
      <c r="D42" t="s">
        <v>474</v>
      </c>
      <c r="E42" t="s">
        <v>36</v>
      </c>
      <c r="F42" t="s">
        <v>633</v>
      </c>
      <c r="G42" t="s">
        <v>634</v>
      </c>
      <c r="H42" t="s">
        <v>474</v>
      </c>
      <c r="I42" t="s">
        <v>635</v>
      </c>
      <c r="J42" t="s">
        <v>474</v>
      </c>
      <c r="K42" t="s">
        <v>474</v>
      </c>
      <c r="L42" t="s">
        <v>474</v>
      </c>
      <c r="M42" t="s">
        <v>474</v>
      </c>
      <c r="N42" t="s">
        <v>474</v>
      </c>
      <c r="O42" t="s">
        <v>474</v>
      </c>
      <c r="P42" t="s">
        <v>474</v>
      </c>
      <c r="Q42" t="s">
        <v>474</v>
      </c>
      <c r="R42" t="s">
        <v>474</v>
      </c>
      <c r="S42" t="s">
        <v>474</v>
      </c>
      <c r="T42" t="s">
        <v>474</v>
      </c>
      <c r="U42" t="s">
        <v>474</v>
      </c>
      <c r="V42" t="s">
        <v>519</v>
      </c>
      <c r="W42" t="s">
        <v>636</v>
      </c>
      <c r="X42" t="s">
        <v>59</v>
      </c>
      <c r="Y42" t="s">
        <v>479</v>
      </c>
    </row>
    <row r="43" spans="1:25" ht="16" x14ac:dyDescent="0.2">
      <c r="A43" t="s">
        <v>474</v>
      </c>
      <c r="B43" t="s">
        <v>702</v>
      </c>
      <c r="C43" t="s">
        <v>474</v>
      </c>
      <c r="D43" t="s">
        <v>474</v>
      </c>
      <c r="E43" t="s">
        <v>43</v>
      </c>
      <c r="F43" t="s">
        <v>633</v>
      </c>
      <c r="G43" t="s">
        <v>637</v>
      </c>
      <c r="H43" t="s">
        <v>474</v>
      </c>
      <c r="I43" t="s">
        <v>638</v>
      </c>
      <c r="J43" t="s">
        <v>474</v>
      </c>
      <c r="K43" t="s">
        <v>474</v>
      </c>
      <c r="L43" t="s">
        <v>474</v>
      </c>
      <c r="M43" t="s">
        <v>474</v>
      </c>
      <c r="N43" t="s">
        <v>474</v>
      </c>
      <c r="O43" t="s">
        <v>474</v>
      </c>
      <c r="P43" t="s">
        <v>474</v>
      </c>
      <c r="Q43" t="s">
        <v>474</v>
      </c>
      <c r="R43" t="s">
        <v>474</v>
      </c>
      <c r="S43" t="s">
        <v>474</v>
      </c>
      <c r="T43" t="s">
        <v>474</v>
      </c>
      <c r="U43" t="s">
        <v>474</v>
      </c>
      <c r="V43" t="s">
        <v>682</v>
      </c>
      <c r="W43" t="s">
        <v>639</v>
      </c>
      <c r="X43" t="s">
        <v>59</v>
      </c>
      <c r="Y43" t="s">
        <v>479</v>
      </c>
    </row>
    <row r="44" spans="1:25" ht="16" x14ac:dyDescent="0.2">
      <c r="A44" t="s">
        <v>474</v>
      </c>
      <c r="B44" t="s">
        <v>702</v>
      </c>
      <c r="C44" t="s">
        <v>474</v>
      </c>
      <c r="D44" t="s">
        <v>474</v>
      </c>
      <c r="E44" t="s">
        <v>47</v>
      </c>
      <c r="F44" t="s">
        <v>633</v>
      </c>
      <c r="G44" t="s">
        <v>640</v>
      </c>
      <c r="H44" t="s">
        <v>474</v>
      </c>
      <c r="I44" t="s">
        <v>641</v>
      </c>
      <c r="J44" t="s">
        <v>474</v>
      </c>
      <c r="K44" t="s">
        <v>474</v>
      </c>
      <c r="L44" t="s">
        <v>474</v>
      </c>
      <c r="M44" t="s">
        <v>474</v>
      </c>
      <c r="N44" t="s">
        <v>474</v>
      </c>
      <c r="O44" t="s">
        <v>474</v>
      </c>
      <c r="P44" t="s">
        <v>474</v>
      </c>
      <c r="Q44" t="s">
        <v>474</v>
      </c>
      <c r="R44" t="s">
        <v>474</v>
      </c>
      <c r="S44" t="s">
        <v>474</v>
      </c>
      <c r="T44" t="s">
        <v>474</v>
      </c>
      <c r="U44" t="s">
        <v>474</v>
      </c>
      <c r="V44" t="s">
        <v>478</v>
      </c>
      <c r="W44" t="s">
        <v>642</v>
      </c>
      <c r="X44" t="s">
        <v>59</v>
      </c>
      <c r="Y44" t="s">
        <v>479</v>
      </c>
    </row>
    <row r="45" spans="1:25" ht="16" x14ac:dyDescent="0.2">
      <c r="A45" t="s">
        <v>474</v>
      </c>
      <c r="B45" t="s">
        <v>702</v>
      </c>
      <c r="C45" t="s">
        <v>474</v>
      </c>
      <c r="D45" t="s">
        <v>474</v>
      </c>
      <c r="E45" t="s">
        <v>51</v>
      </c>
      <c r="F45" t="s">
        <v>633</v>
      </c>
      <c r="G45" t="s">
        <v>643</v>
      </c>
      <c r="H45" t="s">
        <v>474</v>
      </c>
      <c r="I45" t="s">
        <v>644</v>
      </c>
      <c r="J45" t="s">
        <v>474</v>
      </c>
      <c r="K45" t="s">
        <v>474</v>
      </c>
      <c r="L45" t="s">
        <v>474</v>
      </c>
      <c r="M45" t="s">
        <v>474</v>
      </c>
      <c r="N45" t="s">
        <v>474</v>
      </c>
      <c r="O45" t="s">
        <v>474</v>
      </c>
      <c r="P45" t="s">
        <v>474</v>
      </c>
      <c r="Q45" t="s">
        <v>474</v>
      </c>
      <c r="R45" t="s">
        <v>474</v>
      </c>
      <c r="S45" t="s">
        <v>474</v>
      </c>
      <c r="T45" t="s">
        <v>474</v>
      </c>
      <c r="U45" t="s">
        <v>474</v>
      </c>
      <c r="V45" t="s">
        <v>682</v>
      </c>
      <c r="W45" t="s">
        <v>628</v>
      </c>
      <c r="X45" t="s">
        <v>59</v>
      </c>
      <c r="Y45" t="s">
        <v>479</v>
      </c>
    </row>
    <row r="46" spans="1:25" ht="16" x14ac:dyDescent="0.2">
      <c r="A46" t="s">
        <v>474</v>
      </c>
      <c r="B46" t="s">
        <v>702</v>
      </c>
      <c r="C46" t="s">
        <v>474</v>
      </c>
      <c r="D46" t="s">
        <v>474</v>
      </c>
      <c r="E46" t="s">
        <v>55</v>
      </c>
      <c r="F46" t="s">
        <v>633</v>
      </c>
      <c r="G46" t="s">
        <v>645</v>
      </c>
      <c r="H46" t="s">
        <v>474</v>
      </c>
      <c r="I46" t="s">
        <v>646</v>
      </c>
      <c r="J46" t="s">
        <v>474</v>
      </c>
      <c r="K46" t="s">
        <v>474</v>
      </c>
      <c r="L46" t="s">
        <v>474</v>
      </c>
      <c r="M46" t="s">
        <v>474</v>
      </c>
      <c r="N46" t="s">
        <v>474</v>
      </c>
      <c r="O46" t="s">
        <v>474</v>
      </c>
      <c r="P46" t="s">
        <v>474</v>
      </c>
      <c r="Q46" t="s">
        <v>474</v>
      </c>
      <c r="R46" t="s">
        <v>474</v>
      </c>
      <c r="S46" t="s">
        <v>474</v>
      </c>
      <c r="T46" t="s">
        <v>474</v>
      </c>
      <c r="U46" t="s">
        <v>474</v>
      </c>
      <c r="V46" t="s">
        <v>683</v>
      </c>
      <c r="W46" t="s">
        <v>631</v>
      </c>
      <c r="X46" t="s">
        <v>59</v>
      </c>
      <c r="Y46" t="s">
        <v>479</v>
      </c>
    </row>
    <row r="47" spans="1:25" ht="16" x14ac:dyDescent="0.2">
      <c r="A47" t="s">
        <v>474</v>
      </c>
      <c r="B47" t="s">
        <v>703</v>
      </c>
      <c r="C47" t="s">
        <v>474</v>
      </c>
      <c r="D47" t="s">
        <v>474</v>
      </c>
      <c r="E47" t="s">
        <v>36</v>
      </c>
      <c r="F47" t="s">
        <v>648</v>
      </c>
      <c r="G47" t="s">
        <v>649</v>
      </c>
      <c r="H47" t="s">
        <v>474</v>
      </c>
      <c r="I47" t="s">
        <v>650</v>
      </c>
      <c r="J47" t="s">
        <v>474</v>
      </c>
      <c r="K47" t="s">
        <v>474</v>
      </c>
      <c r="L47" t="s">
        <v>474</v>
      </c>
      <c r="M47" t="s">
        <v>474</v>
      </c>
      <c r="N47" t="s">
        <v>474</v>
      </c>
      <c r="O47" t="s">
        <v>474</v>
      </c>
      <c r="P47" t="s">
        <v>474</v>
      </c>
      <c r="Q47" t="s">
        <v>474</v>
      </c>
      <c r="R47" t="s">
        <v>474</v>
      </c>
      <c r="S47" t="s">
        <v>474</v>
      </c>
      <c r="T47" t="s">
        <v>474</v>
      </c>
      <c r="U47" t="s">
        <v>474</v>
      </c>
      <c r="V47" t="s">
        <v>519</v>
      </c>
      <c r="W47" t="s">
        <v>651</v>
      </c>
      <c r="X47" t="s">
        <v>59</v>
      </c>
      <c r="Y47" t="s">
        <v>479</v>
      </c>
    </row>
    <row r="48" spans="1:25" ht="16" x14ac:dyDescent="0.2">
      <c r="A48" t="s">
        <v>474</v>
      </c>
      <c r="B48" t="s">
        <v>703</v>
      </c>
      <c r="C48" t="s">
        <v>474</v>
      </c>
      <c r="D48" t="s">
        <v>474</v>
      </c>
      <c r="E48" t="s">
        <v>43</v>
      </c>
      <c r="F48" t="s">
        <v>648</v>
      </c>
      <c r="G48" t="s">
        <v>652</v>
      </c>
      <c r="H48" t="s">
        <v>474</v>
      </c>
      <c r="I48" t="s">
        <v>653</v>
      </c>
      <c r="J48" t="s">
        <v>474</v>
      </c>
      <c r="K48" t="s">
        <v>474</v>
      </c>
      <c r="L48" t="s">
        <v>474</v>
      </c>
      <c r="M48" t="s">
        <v>474</v>
      </c>
      <c r="N48" t="s">
        <v>474</v>
      </c>
      <c r="O48" t="s">
        <v>474</v>
      </c>
      <c r="P48" t="s">
        <v>474</v>
      </c>
      <c r="Q48" t="s">
        <v>474</v>
      </c>
      <c r="R48" t="s">
        <v>474</v>
      </c>
      <c r="S48" t="s">
        <v>474</v>
      </c>
      <c r="T48" t="s">
        <v>474</v>
      </c>
      <c r="U48" t="s">
        <v>474</v>
      </c>
      <c r="V48" t="s">
        <v>682</v>
      </c>
      <c r="W48" t="s">
        <v>654</v>
      </c>
      <c r="X48" t="s">
        <v>59</v>
      </c>
      <c r="Y48" t="s">
        <v>479</v>
      </c>
    </row>
    <row r="49" spans="1:25" ht="16" x14ac:dyDescent="0.2">
      <c r="A49" t="s">
        <v>474</v>
      </c>
      <c r="B49" t="s">
        <v>703</v>
      </c>
      <c r="C49" t="s">
        <v>474</v>
      </c>
      <c r="D49" t="s">
        <v>474</v>
      </c>
      <c r="E49" t="s">
        <v>47</v>
      </c>
      <c r="F49" t="s">
        <v>648</v>
      </c>
      <c r="G49" t="s">
        <v>655</v>
      </c>
      <c r="H49" t="s">
        <v>474</v>
      </c>
      <c r="I49" t="s">
        <v>656</v>
      </c>
      <c r="J49" t="s">
        <v>474</v>
      </c>
      <c r="K49" t="s">
        <v>474</v>
      </c>
      <c r="L49" t="s">
        <v>474</v>
      </c>
      <c r="M49" t="s">
        <v>474</v>
      </c>
      <c r="N49" t="s">
        <v>474</v>
      </c>
      <c r="O49" t="s">
        <v>474</v>
      </c>
      <c r="P49" t="s">
        <v>474</v>
      </c>
      <c r="Q49" t="s">
        <v>474</v>
      </c>
      <c r="R49" t="s">
        <v>474</v>
      </c>
      <c r="S49" t="s">
        <v>474</v>
      </c>
      <c r="T49" t="s">
        <v>474</v>
      </c>
      <c r="U49" t="s">
        <v>474</v>
      </c>
      <c r="V49" t="s">
        <v>478</v>
      </c>
      <c r="W49" t="s">
        <v>657</v>
      </c>
      <c r="X49" t="s">
        <v>59</v>
      </c>
      <c r="Y49" t="s">
        <v>479</v>
      </c>
    </row>
    <row r="50" spans="1:25" ht="16" x14ac:dyDescent="0.2">
      <c r="A50" t="s">
        <v>474</v>
      </c>
      <c r="B50" t="s">
        <v>703</v>
      </c>
      <c r="C50" t="s">
        <v>474</v>
      </c>
      <c r="D50" t="s">
        <v>474</v>
      </c>
      <c r="E50" t="s">
        <v>51</v>
      </c>
      <c r="F50" t="s">
        <v>648</v>
      </c>
      <c r="G50" t="s">
        <v>658</v>
      </c>
      <c r="H50" t="s">
        <v>474</v>
      </c>
      <c r="I50" t="s">
        <v>659</v>
      </c>
      <c r="J50" t="s">
        <v>474</v>
      </c>
      <c r="K50" t="s">
        <v>474</v>
      </c>
      <c r="L50" t="s">
        <v>474</v>
      </c>
      <c r="M50" t="s">
        <v>474</v>
      </c>
      <c r="N50" t="s">
        <v>474</v>
      </c>
      <c r="O50" t="s">
        <v>474</v>
      </c>
      <c r="P50" t="s">
        <v>474</v>
      </c>
      <c r="Q50" t="s">
        <v>474</v>
      </c>
      <c r="R50" t="s">
        <v>474</v>
      </c>
      <c r="S50" t="s">
        <v>474</v>
      </c>
      <c r="T50" t="s">
        <v>474</v>
      </c>
      <c r="U50" t="s">
        <v>474</v>
      </c>
      <c r="V50" t="s">
        <v>682</v>
      </c>
      <c r="W50" t="s">
        <v>660</v>
      </c>
      <c r="X50" t="s">
        <v>59</v>
      </c>
      <c r="Y50" t="s">
        <v>479</v>
      </c>
    </row>
    <row r="51" spans="1:25" ht="16" x14ac:dyDescent="0.2">
      <c r="A51" t="s">
        <v>474</v>
      </c>
      <c r="B51" t="s">
        <v>703</v>
      </c>
      <c r="C51" t="s">
        <v>474</v>
      </c>
      <c r="D51" t="s">
        <v>474</v>
      </c>
      <c r="E51" t="s">
        <v>55</v>
      </c>
      <c r="F51" t="s">
        <v>648</v>
      </c>
      <c r="G51" t="s">
        <v>661</v>
      </c>
      <c r="H51" t="s">
        <v>474</v>
      </c>
      <c r="I51" t="s">
        <v>662</v>
      </c>
      <c r="J51" t="s">
        <v>474</v>
      </c>
      <c r="K51" t="s">
        <v>474</v>
      </c>
      <c r="L51" t="s">
        <v>474</v>
      </c>
      <c r="M51" t="s">
        <v>474</v>
      </c>
      <c r="N51" t="s">
        <v>474</v>
      </c>
      <c r="O51" t="s">
        <v>474</v>
      </c>
      <c r="P51" t="s">
        <v>474</v>
      </c>
      <c r="Q51" t="s">
        <v>474</v>
      </c>
      <c r="R51" t="s">
        <v>474</v>
      </c>
      <c r="S51" t="s">
        <v>474</v>
      </c>
      <c r="T51" t="s">
        <v>474</v>
      </c>
      <c r="U51" t="s">
        <v>474</v>
      </c>
      <c r="V51" t="s">
        <v>683</v>
      </c>
      <c r="W51" t="s">
        <v>663</v>
      </c>
      <c r="X51" t="s">
        <v>59</v>
      </c>
      <c r="Y51" t="s">
        <v>479</v>
      </c>
    </row>
    <row r="52" spans="1:25" ht="16" x14ac:dyDescent="0.2">
      <c r="A52" t="s">
        <v>474</v>
      </c>
      <c r="B52" t="s">
        <v>704</v>
      </c>
      <c r="C52" t="s">
        <v>474</v>
      </c>
      <c r="D52" t="s">
        <v>474</v>
      </c>
      <c r="E52" t="s">
        <v>36</v>
      </c>
      <c r="F52" t="s">
        <v>597</v>
      </c>
      <c r="G52" t="s">
        <v>598</v>
      </c>
      <c r="H52" t="s">
        <v>474</v>
      </c>
      <c r="I52" t="s">
        <v>599</v>
      </c>
      <c r="J52" t="s">
        <v>474</v>
      </c>
      <c r="K52" t="s">
        <v>474</v>
      </c>
      <c r="L52" t="s">
        <v>474</v>
      </c>
      <c r="M52" t="s">
        <v>474</v>
      </c>
      <c r="N52" t="s">
        <v>474</v>
      </c>
      <c r="O52" t="s">
        <v>474</v>
      </c>
      <c r="P52" t="s">
        <v>474</v>
      </c>
      <c r="Q52" t="s">
        <v>474</v>
      </c>
      <c r="R52" t="s">
        <v>474</v>
      </c>
      <c r="S52" t="s">
        <v>474</v>
      </c>
      <c r="T52" t="s">
        <v>474</v>
      </c>
      <c r="U52" t="s">
        <v>474</v>
      </c>
      <c r="V52" t="s">
        <v>485</v>
      </c>
      <c r="W52" t="s">
        <v>601</v>
      </c>
      <c r="X52" t="s">
        <v>61</v>
      </c>
      <c r="Y52" t="s">
        <v>482</v>
      </c>
    </row>
    <row r="53" spans="1:25" ht="16" x14ac:dyDescent="0.2">
      <c r="A53" t="s">
        <v>474</v>
      </c>
      <c r="B53" t="s">
        <v>704</v>
      </c>
      <c r="C53" t="s">
        <v>474</v>
      </c>
      <c r="D53" t="s">
        <v>474</v>
      </c>
      <c r="E53" t="s">
        <v>43</v>
      </c>
      <c r="F53" t="s">
        <v>597</v>
      </c>
      <c r="G53" t="s">
        <v>602</v>
      </c>
      <c r="H53" t="s">
        <v>474</v>
      </c>
      <c r="I53" t="s">
        <v>603</v>
      </c>
      <c r="J53" t="s">
        <v>474</v>
      </c>
      <c r="K53" t="s">
        <v>474</v>
      </c>
      <c r="L53" t="s">
        <v>474</v>
      </c>
      <c r="M53" t="s">
        <v>474</v>
      </c>
      <c r="N53" t="s">
        <v>474</v>
      </c>
      <c r="O53" t="s">
        <v>474</v>
      </c>
      <c r="P53" t="s">
        <v>474</v>
      </c>
      <c r="Q53" t="s">
        <v>474</v>
      </c>
      <c r="R53" t="s">
        <v>474</v>
      </c>
      <c r="S53" t="s">
        <v>474</v>
      </c>
      <c r="T53" t="s">
        <v>474</v>
      </c>
      <c r="U53" t="s">
        <v>474</v>
      </c>
      <c r="V53" t="s">
        <v>705</v>
      </c>
      <c r="W53" t="s">
        <v>605</v>
      </c>
      <c r="X53" t="s">
        <v>61</v>
      </c>
      <c r="Y53" t="s">
        <v>482</v>
      </c>
    </row>
    <row r="54" spans="1:25" ht="16" x14ac:dyDescent="0.2">
      <c r="A54" t="s">
        <v>474</v>
      </c>
      <c r="B54" t="s">
        <v>704</v>
      </c>
      <c r="C54" t="s">
        <v>474</v>
      </c>
      <c r="D54" t="s">
        <v>474</v>
      </c>
      <c r="E54" t="s">
        <v>47</v>
      </c>
      <c r="F54" t="s">
        <v>597</v>
      </c>
      <c r="G54" t="s">
        <v>606</v>
      </c>
      <c r="H54" t="s">
        <v>474</v>
      </c>
      <c r="I54" t="s">
        <v>607</v>
      </c>
      <c r="J54" t="s">
        <v>474</v>
      </c>
      <c r="K54" t="s">
        <v>474</v>
      </c>
      <c r="L54" t="s">
        <v>474</v>
      </c>
      <c r="M54" t="s">
        <v>474</v>
      </c>
      <c r="N54" t="s">
        <v>474</v>
      </c>
      <c r="O54" t="s">
        <v>474</v>
      </c>
      <c r="P54" t="s">
        <v>474</v>
      </c>
      <c r="Q54" t="s">
        <v>474</v>
      </c>
      <c r="R54" t="s">
        <v>474</v>
      </c>
      <c r="S54" t="s">
        <v>474</v>
      </c>
      <c r="T54" t="s">
        <v>474</v>
      </c>
      <c r="U54" t="s">
        <v>474</v>
      </c>
      <c r="V54" t="s">
        <v>505</v>
      </c>
      <c r="W54" t="s">
        <v>608</v>
      </c>
      <c r="X54" t="s">
        <v>61</v>
      </c>
      <c r="Y54" t="s">
        <v>482</v>
      </c>
    </row>
    <row r="55" spans="1:25" ht="16" x14ac:dyDescent="0.2">
      <c r="A55" t="s">
        <v>474</v>
      </c>
      <c r="B55" t="s">
        <v>704</v>
      </c>
      <c r="C55" t="s">
        <v>474</v>
      </c>
      <c r="D55" t="s">
        <v>474</v>
      </c>
      <c r="E55" t="s">
        <v>51</v>
      </c>
      <c r="F55" t="s">
        <v>597</v>
      </c>
      <c r="G55" t="s">
        <v>609</v>
      </c>
      <c r="H55" t="s">
        <v>474</v>
      </c>
      <c r="I55" t="s">
        <v>610</v>
      </c>
      <c r="J55" t="s">
        <v>474</v>
      </c>
      <c r="K55" t="s">
        <v>474</v>
      </c>
      <c r="L55" t="s">
        <v>474</v>
      </c>
      <c r="M55" t="s">
        <v>474</v>
      </c>
      <c r="N55" t="s">
        <v>474</v>
      </c>
      <c r="O55" t="s">
        <v>474</v>
      </c>
      <c r="P55" t="s">
        <v>474</v>
      </c>
      <c r="Q55" t="s">
        <v>474</v>
      </c>
      <c r="R55" t="s">
        <v>474</v>
      </c>
      <c r="S55" t="s">
        <v>474</v>
      </c>
      <c r="T55" t="s">
        <v>474</v>
      </c>
      <c r="U55" t="s">
        <v>474</v>
      </c>
      <c r="V55" t="s">
        <v>705</v>
      </c>
      <c r="W55" t="s">
        <v>611</v>
      </c>
      <c r="X55" t="s">
        <v>61</v>
      </c>
      <c r="Y55" t="s">
        <v>482</v>
      </c>
    </row>
    <row r="56" spans="1:25" ht="16" x14ac:dyDescent="0.2">
      <c r="A56" t="s">
        <v>474</v>
      </c>
      <c r="B56" t="s">
        <v>704</v>
      </c>
      <c r="C56" t="s">
        <v>474</v>
      </c>
      <c r="D56" t="s">
        <v>474</v>
      </c>
      <c r="E56" t="s">
        <v>55</v>
      </c>
      <c r="F56" t="s">
        <v>597</v>
      </c>
      <c r="G56" t="s">
        <v>612</v>
      </c>
      <c r="H56" t="s">
        <v>474</v>
      </c>
      <c r="I56" t="s">
        <v>613</v>
      </c>
      <c r="J56" t="s">
        <v>474</v>
      </c>
      <c r="K56" t="s">
        <v>474</v>
      </c>
      <c r="L56" t="s">
        <v>474</v>
      </c>
      <c r="M56" t="s">
        <v>474</v>
      </c>
      <c r="N56" t="s">
        <v>474</v>
      </c>
      <c r="O56" t="s">
        <v>474</v>
      </c>
      <c r="P56" t="s">
        <v>474</v>
      </c>
      <c r="Q56" t="s">
        <v>474</v>
      </c>
      <c r="R56" t="s">
        <v>474</v>
      </c>
      <c r="S56" t="s">
        <v>474</v>
      </c>
      <c r="T56" t="s">
        <v>474</v>
      </c>
      <c r="U56" t="s">
        <v>474</v>
      </c>
      <c r="V56" t="s">
        <v>514</v>
      </c>
      <c r="W56" t="s">
        <v>176</v>
      </c>
      <c r="X56" t="s">
        <v>61</v>
      </c>
      <c r="Y56" t="s">
        <v>482</v>
      </c>
    </row>
    <row r="57" spans="1:25" ht="16" x14ac:dyDescent="0.2">
      <c r="A57" t="s">
        <v>474</v>
      </c>
      <c r="B57" t="s">
        <v>706</v>
      </c>
      <c r="C57" t="s">
        <v>474</v>
      </c>
      <c r="D57" t="s">
        <v>474</v>
      </c>
      <c r="E57" t="s">
        <v>36</v>
      </c>
      <c r="F57" t="s">
        <v>665</v>
      </c>
      <c r="G57" t="s">
        <v>666</v>
      </c>
      <c r="H57" t="s">
        <v>474</v>
      </c>
      <c r="I57" t="s">
        <v>667</v>
      </c>
      <c r="J57" t="s">
        <v>474</v>
      </c>
      <c r="K57" t="s">
        <v>474</v>
      </c>
      <c r="L57" t="s">
        <v>474</v>
      </c>
      <c r="M57" t="s">
        <v>474</v>
      </c>
      <c r="N57" t="s">
        <v>474</v>
      </c>
      <c r="O57" t="s">
        <v>474</v>
      </c>
      <c r="P57" t="s">
        <v>474</v>
      </c>
      <c r="Q57" t="s">
        <v>474</v>
      </c>
      <c r="R57" t="s">
        <v>474</v>
      </c>
      <c r="S57" t="s">
        <v>474</v>
      </c>
      <c r="T57" t="s">
        <v>474</v>
      </c>
      <c r="U57" t="s">
        <v>474</v>
      </c>
      <c r="V57" t="s">
        <v>519</v>
      </c>
      <c r="W57" t="s">
        <v>668</v>
      </c>
      <c r="X57" t="s">
        <v>59</v>
      </c>
      <c r="Y57" t="s">
        <v>479</v>
      </c>
    </row>
    <row r="58" spans="1:25" ht="16" x14ac:dyDescent="0.2">
      <c r="A58" t="s">
        <v>474</v>
      </c>
      <c r="B58" t="s">
        <v>706</v>
      </c>
      <c r="C58" t="s">
        <v>474</v>
      </c>
      <c r="D58" t="s">
        <v>474</v>
      </c>
      <c r="E58" t="s">
        <v>43</v>
      </c>
      <c r="F58" t="s">
        <v>665</v>
      </c>
      <c r="G58" t="s">
        <v>669</v>
      </c>
      <c r="H58" t="s">
        <v>474</v>
      </c>
      <c r="I58" t="s">
        <v>670</v>
      </c>
      <c r="J58" t="s">
        <v>474</v>
      </c>
      <c r="K58" t="s">
        <v>474</v>
      </c>
      <c r="L58" t="s">
        <v>474</v>
      </c>
      <c r="M58" t="s">
        <v>474</v>
      </c>
      <c r="N58" t="s">
        <v>474</v>
      </c>
      <c r="O58" t="s">
        <v>474</v>
      </c>
      <c r="P58" t="s">
        <v>474</v>
      </c>
      <c r="Q58" t="s">
        <v>474</v>
      </c>
      <c r="R58" t="s">
        <v>474</v>
      </c>
      <c r="S58" t="s">
        <v>474</v>
      </c>
      <c r="T58" t="s">
        <v>474</v>
      </c>
      <c r="U58" t="s">
        <v>474</v>
      </c>
      <c r="V58" t="s">
        <v>682</v>
      </c>
      <c r="W58" t="s">
        <v>671</v>
      </c>
      <c r="X58" t="s">
        <v>59</v>
      </c>
      <c r="Y58" t="s">
        <v>479</v>
      </c>
    </row>
    <row r="59" spans="1:25" ht="16" x14ac:dyDescent="0.2">
      <c r="A59" t="s">
        <v>474</v>
      </c>
      <c r="B59" t="s">
        <v>706</v>
      </c>
      <c r="C59" t="s">
        <v>474</v>
      </c>
      <c r="D59" t="s">
        <v>474</v>
      </c>
      <c r="E59" t="s">
        <v>47</v>
      </c>
      <c r="F59" t="s">
        <v>665</v>
      </c>
      <c r="G59" t="s">
        <v>672</v>
      </c>
      <c r="H59" t="s">
        <v>474</v>
      </c>
      <c r="I59" t="s">
        <v>673</v>
      </c>
      <c r="J59" t="s">
        <v>474</v>
      </c>
      <c r="K59" t="s">
        <v>474</v>
      </c>
      <c r="L59" t="s">
        <v>474</v>
      </c>
      <c r="M59" t="s">
        <v>474</v>
      </c>
      <c r="N59" t="s">
        <v>474</v>
      </c>
      <c r="O59" t="s">
        <v>474</v>
      </c>
      <c r="P59" t="s">
        <v>474</v>
      </c>
      <c r="Q59" t="s">
        <v>474</v>
      </c>
      <c r="R59" t="s">
        <v>474</v>
      </c>
      <c r="S59" t="s">
        <v>474</v>
      </c>
      <c r="T59" t="s">
        <v>474</v>
      </c>
      <c r="U59" t="s">
        <v>474</v>
      </c>
      <c r="V59" t="s">
        <v>478</v>
      </c>
      <c r="W59" t="s">
        <v>674</v>
      </c>
      <c r="X59" t="s">
        <v>59</v>
      </c>
      <c r="Y59" t="s">
        <v>479</v>
      </c>
    </row>
    <row r="60" spans="1:25" ht="16" x14ac:dyDescent="0.2">
      <c r="A60" t="s">
        <v>474</v>
      </c>
      <c r="B60" t="s">
        <v>706</v>
      </c>
      <c r="C60" t="s">
        <v>474</v>
      </c>
      <c r="D60" t="s">
        <v>474</v>
      </c>
      <c r="E60" t="s">
        <v>51</v>
      </c>
      <c r="F60" t="s">
        <v>665</v>
      </c>
      <c r="G60" t="s">
        <v>675</v>
      </c>
      <c r="H60" t="s">
        <v>474</v>
      </c>
      <c r="I60" t="s">
        <v>676</v>
      </c>
      <c r="J60" t="s">
        <v>474</v>
      </c>
      <c r="K60" t="s">
        <v>474</v>
      </c>
      <c r="L60" t="s">
        <v>474</v>
      </c>
      <c r="M60" t="s">
        <v>474</v>
      </c>
      <c r="N60" t="s">
        <v>474</v>
      </c>
      <c r="O60" t="s">
        <v>474</v>
      </c>
      <c r="P60" t="s">
        <v>474</v>
      </c>
      <c r="Q60" t="s">
        <v>474</v>
      </c>
      <c r="R60" t="s">
        <v>474</v>
      </c>
      <c r="S60" t="s">
        <v>474</v>
      </c>
      <c r="T60" t="s">
        <v>474</v>
      </c>
      <c r="U60" t="s">
        <v>474</v>
      </c>
      <c r="V60" t="s">
        <v>682</v>
      </c>
      <c r="W60" t="s">
        <v>677</v>
      </c>
      <c r="X60" t="s">
        <v>59</v>
      </c>
      <c r="Y60" t="s">
        <v>479</v>
      </c>
    </row>
    <row r="61" spans="1:25" ht="16" x14ac:dyDescent="0.2">
      <c r="A61" t="s">
        <v>474</v>
      </c>
      <c r="B61" t="s">
        <v>706</v>
      </c>
      <c r="C61" t="s">
        <v>474</v>
      </c>
      <c r="D61" t="s">
        <v>474</v>
      </c>
      <c r="E61" t="s">
        <v>55</v>
      </c>
      <c r="F61" t="s">
        <v>665</v>
      </c>
      <c r="G61" t="s">
        <v>678</v>
      </c>
      <c r="H61" t="s">
        <v>474</v>
      </c>
      <c r="I61" t="s">
        <v>679</v>
      </c>
      <c r="J61" t="s">
        <v>474</v>
      </c>
      <c r="K61" t="s">
        <v>474</v>
      </c>
      <c r="L61" t="s">
        <v>474</v>
      </c>
      <c r="M61" t="s">
        <v>474</v>
      </c>
      <c r="N61" t="s">
        <v>474</v>
      </c>
      <c r="O61" t="s">
        <v>474</v>
      </c>
      <c r="P61" t="s">
        <v>474</v>
      </c>
      <c r="Q61" t="s">
        <v>474</v>
      </c>
      <c r="R61" t="s">
        <v>474</v>
      </c>
      <c r="S61" t="s">
        <v>474</v>
      </c>
      <c r="T61" t="s">
        <v>474</v>
      </c>
      <c r="U61" t="s">
        <v>474</v>
      </c>
      <c r="V61" t="s">
        <v>683</v>
      </c>
      <c r="W61" t="s">
        <v>680</v>
      </c>
      <c r="X61" t="s">
        <v>59</v>
      </c>
      <c r="Y61" t="s">
        <v>479</v>
      </c>
    </row>
    <row r="62" spans="1:25" ht="16" x14ac:dyDescent="0.2">
      <c r="A62" t="s">
        <v>474</v>
      </c>
      <c r="B62" t="s">
        <v>707</v>
      </c>
      <c r="C62" t="s">
        <v>474</v>
      </c>
      <c r="D62" t="s">
        <v>474</v>
      </c>
      <c r="E62" t="s">
        <v>36</v>
      </c>
      <c r="F62" t="s">
        <v>685</v>
      </c>
      <c r="G62" t="s">
        <v>686</v>
      </c>
      <c r="H62" t="s">
        <v>474</v>
      </c>
      <c r="I62" t="s">
        <v>687</v>
      </c>
      <c r="J62" t="s">
        <v>474</v>
      </c>
      <c r="K62" t="s">
        <v>474</v>
      </c>
      <c r="L62" t="s">
        <v>474</v>
      </c>
      <c r="M62" t="s">
        <v>474</v>
      </c>
      <c r="N62" t="s">
        <v>474</v>
      </c>
      <c r="O62" t="s">
        <v>474</v>
      </c>
      <c r="P62" t="s">
        <v>474</v>
      </c>
      <c r="Q62" t="s">
        <v>474</v>
      </c>
      <c r="R62" t="s">
        <v>474</v>
      </c>
      <c r="S62" t="s">
        <v>474</v>
      </c>
      <c r="T62" t="s">
        <v>474</v>
      </c>
      <c r="U62" t="s">
        <v>474</v>
      </c>
      <c r="V62" t="s">
        <v>519</v>
      </c>
      <c r="W62" t="s">
        <v>688</v>
      </c>
      <c r="X62" t="s">
        <v>59</v>
      </c>
      <c r="Y62" t="s">
        <v>479</v>
      </c>
    </row>
    <row r="63" spans="1:25" ht="16" x14ac:dyDescent="0.2">
      <c r="A63" t="s">
        <v>474</v>
      </c>
      <c r="B63" t="s">
        <v>707</v>
      </c>
      <c r="C63" t="s">
        <v>474</v>
      </c>
      <c r="D63" t="s">
        <v>474</v>
      </c>
      <c r="E63" t="s">
        <v>43</v>
      </c>
      <c r="F63" t="s">
        <v>685</v>
      </c>
      <c r="G63" t="s">
        <v>689</v>
      </c>
      <c r="H63" t="s">
        <v>474</v>
      </c>
      <c r="I63" t="s">
        <v>690</v>
      </c>
      <c r="J63" t="s">
        <v>474</v>
      </c>
      <c r="K63" t="s">
        <v>474</v>
      </c>
      <c r="L63" t="s">
        <v>474</v>
      </c>
      <c r="M63" t="s">
        <v>474</v>
      </c>
      <c r="N63" t="s">
        <v>474</v>
      </c>
      <c r="O63" t="s">
        <v>474</v>
      </c>
      <c r="P63" t="s">
        <v>474</v>
      </c>
      <c r="Q63" t="s">
        <v>474</v>
      </c>
      <c r="R63" t="s">
        <v>474</v>
      </c>
      <c r="S63" t="s">
        <v>474</v>
      </c>
      <c r="T63" t="s">
        <v>474</v>
      </c>
      <c r="U63" t="s">
        <v>474</v>
      </c>
      <c r="V63" t="s">
        <v>682</v>
      </c>
      <c r="W63" t="s">
        <v>691</v>
      </c>
      <c r="X63" t="s">
        <v>59</v>
      </c>
      <c r="Y63" t="s">
        <v>479</v>
      </c>
    </row>
    <row r="64" spans="1:25" ht="16" x14ac:dyDescent="0.2">
      <c r="A64" t="s">
        <v>474</v>
      </c>
      <c r="B64" t="s">
        <v>707</v>
      </c>
      <c r="C64" t="s">
        <v>474</v>
      </c>
      <c r="D64" t="s">
        <v>474</v>
      </c>
      <c r="E64" t="s">
        <v>47</v>
      </c>
      <c r="F64" t="s">
        <v>685</v>
      </c>
      <c r="G64" t="s">
        <v>692</v>
      </c>
      <c r="H64" t="s">
        <v>474</v>
      </c>
      <c r="I64" t="s">
        <v>693</v>
      </c>
      <c r="J64" t="s">
        <v>474</v>
      </c>
      <c r="K64" t="s">
        <v>474</v>
      </c>
      <c r="L64" t="s">
        <v>474</v>
      </c>
      <c r="M64" t="s">
        <v>474</v>
      </c>
      <c r="N64" t="s">
        <v>474</v>
      </c>
      <c r="O64" t="s">
        <v>474</v>
      </c>
      <c r="P64" t="s">
        <v>474</v>
      </c>
      <c r="Q64" t="s">
        <v>474</v>
      </c>
      <c r="R64" t="s">
        <v>474</v>
      </c>
      <c r="S64" t="s">
        <v>474</v>
      </c>
      <c r="T64" t="s">
        <v>474</v>
      </c>
      <c r="U64" t="s">
        <v>474</v>
      </c>
      <c r="V64" t="s">
        <v>478</v>
      </c>
      <c r="W64" t="s">
        <v>694</v>
      </c>
      <c r="X64" t="s">
        <v>59</v>
      </c>
      <c r="Y64" t="s">
        <v>479</v>
      </c>
    </row>
    <row r="65" spans="1:25" ht="16" x14ac:dyDescent="0.2">
      <c r="A65" t="s">
        <v>474</v>
      </c>
      <c r="B65" t="s">
        <v>707</v>
      </c>
      <c r="C65" t="s">
        <v>474</v>
      </c>
      <c r="D65" t="s">
        <v>474</v>
      </c>
      <c r="E65" t="s">
        <v>51</v>
      </c>
      <c r="F65" t="s">
        <v>685</v>
      </c>
      <c r="G65" t="s">
        <v>695</v>
      </c>
      <c r="H65" t="s">
        <v>474</v>
      </c>
      <c r="I65" t="s">
        <v>696</v>
      </c>
      <c r="J65" t="s">
        <v>474</v>
      </c>
      <c r="K65" t="s">
        <v>474</v>
      </c>
      <c r="L65" t="s">
        <v>474</v>
      </c>
      <c r="M65" t="s">
        <v>474</v>
      </c>
      <c r="N65" t="s">
        <v>474</v>
      </c>
      <c r="O65" t="s">
        <v>474</v>
      </c>
      <c r="P65" t="s">
        <v>474</v>
      </c>
      <c r="Q65" t="s">
        <v>474</v>
      </c>
      <c r="R65" t="s">
        <v>474</v>
      </c>
      <c r="S65" t="s">
        <v>474</v>
      </c>
      <c r="T65" t="s">
        <v>474</v>
      </c>
      <c r="U65" t="s">
        <v>474</v>
      </c>
      <c r="V65" t="s">
        <v>682</v>
      </c>
      <c r="W65" t="s">
        <v>697</v>
      </c>
      <c r="X65" t="s">
        <v>59</v>
      </c>
      <c r="Y65" t="s">
        <v>479</v>
      </c>
    </row>
    <row r="66" spans="1:25" ht="16" x14ac:dyDescent="0.2">
      <c r="A66" t="s">
        <v>474</v>
      </c>
      <c r="B66" t="s">
        <v>707</v>
      </c>
      <c r="C66" t="s">
        <v>474</v>
      </c>
      <c r="D66" t="s">
        <v>474</v>
      </c>
      <c r="E66" t="s">
        <v>55</v>
      </c>
      <c r="F66" t="s">
        <v>685</v>
      </c>
      <c r="G66" t="s">
        <v>698</v>
      </c>
      <c r="H66" t="s">
        <v>474</v>
      </c>
      <c r="I66" t="s">
        <v>699</v>
      </c>
      <c r="J66" t="s">
        <v>474</v>
      </c>
      <c r="K66" t="s">
        <v>474</v>
      </c>
      <c r="L66" t="s">
        <v>474</v>
      </c>
      <c r="M66" t="s">
        <v>474</v>
      </c>
      <c r="N66" t="s">
        <v>474</v>
      </c>
      <c r="O66" t="s">
        <v>474</v>
      </c>
      <c r="P66" t="s">
        <v>474</v>
      </c>
      <c r="Q66" t="s">
        <v>474</v>
      </c>
      <c r="R66" t="s">
        <v>474</v>
      </c>
      <c r="S66" t="s">
        <v>474</v>
      </c>
      <c r="T66" t="s">
        <v>474</v>
      </c>
      <c r="U66" t="s">
        <v>474</v>
      </c>
      <c r="V66" t="s">
        <v>683</v>
      </c>
      <c r="W66" t="s">
        <v>700</v>
      </c>
      <c r="X66" t="s">
        <v>59</v>
      </c>
      <c r="Y66" t="s">
        <v>479</v>
      </c>
    </row>
    <row r="67" spans="1:25" ht="16" x14ac:dyDescent="0.2">
      <c r="A67" t="s">
        <v>474</v>
      </c>
      <c r="B67" t="s">
        <v>708</v>
      </c>
      <c r="C67" t="s">
        <v>474</v>
      </c>
      <c r="D67" t="s">
        <v>474</v>
      </c>
      <c r="E67" t="s">
        <v>36</v>
      </c>
      <c r="F67" t="s">
        <v>616</v>
      </c>
      <c r="G67" t="s">
        <v>617</v>
      </c>
      <c r="H67" t="s">
        <v>474</v>
      </c>
      <c r="I67" t="s">
        <v>618</v>
      </c>
      <c r="J67" t="s">
        <v>474</v>
      </c>
      <c r="K67" t="s">
        <v>474</v>
      </c>
      <c r="L67" t="s">
        <v>474</v>
      </c>
      <c r="M67" t="s">
        <v>474</v>
      </c>
      <c r="N67" t="s">
        <v>474</v>
      </c>
      <c r="O67" t="s">
        <v>474</v>
      </c>
      <c r="P67" t="s">
        <v>474</v>
      </c>
      <c r="Q67" t="s">
        <v>474</v>
      </c>
      <c r="R67" t="s">
        <v>474</v>
      </c>
      <c r="S67" t="s">
        <v>474</v>
      </c>
      <c r="T67" t="s">
        <v>474</v>
      </c>
      <c r="U67" t="s">
        <v>474</v>
      </c>
      <c r="V67" t="s">
        <v>485</v>
      </c>
      <c r="W67" t="s">
        <v>619</v>
      </c>
      <c r="X67" t="s">
        <v>61</v>
      </c>
      <c r="Y67" t="s">
        <v>482</v>
      </c>
    </row>
    <row r="68" spans="1:25" ht="16" x14ac:dyDescent="0.2">
      <c r="A68" t="s">
        <v>474</v>
      </c>
      <c r="B68" t="s">
        <v>708</v>
      </c>
      <c r="C68" t="s">
        <v>474</v>
      </c>
      <c r="D68" t="s">
        <v>474</v>
      </c>
      <c r="E68" t="s">
        <v>43</v>
      </c>
      <c r="F68" t="s">
        <v>616</v>
      </c>
      <c r="G68" t="s">
        <v>620</v>
      </c>
      <c r="H68" t="s">
        <v>474</v>
      </c>
      <c r="I68" t="s">
        <v>621</v>
      </c>
      <c r="J68" t="s">
        <v>474</v>
      </c>
      <c r="K68" t="s">
        <v>474</v>
      </c>
      <c r="L68" t="s">
        <v>474</v>
      </c>
      <c r="M68" t="s">
        <v>474</v>
      </c>
      <c r="N68" t="s">
        <v>474</v>
      </c>
      <c r="O68" t="s">
        <v>474</v>
      </c>
      <c r="P68" t="s">
        <v>474</v>
      </c>
      <c r="Q68" t="s">
        <v>474</v>
      </c>
      <c r="R68" t="s">
        <v>474</v>
      </c>
      <c r="S68" t="s">
        <v>474</v>
      </c>
      <c r="T68" t="s">
        <v>474</v>
      </c>
      <c r="U68" t="s">
        <v>474</v>
      </c>
      <c r="V68" t="s">
        <v>705</v>
      </c>
      <c r="W68" t="s">
        <v>622</v>
      </c>
      <c r="X68" t="s">
        <v>61</v>
      </c>
      <c r="Y68" t="s">
        <v>482</v>
      </c>
    </row>
    <row r="69" spans="1:25" ht="16" x14ac:dyDescent="0.2">
      <c r="A69" t="s">
        <v>474</v>
      </c>
      <c r="B69" t="s">
        <v>708</v>
      </c>
      <c r="C69" t="s">
        <v>474</v>
      </c>
      <c r="D69" t="s">
        <v>474</v>
      </c>
      <c r="E69" t="s">
        <v>47</v>
      </c>
      <c r="F69" t="s">
        <v>616</v>
      </c>
      <c r="G69" t="s">
        <v>623</v>
      </c>
      <c r="H69" t="s">
        <v>474</v>
      </c>
      <c r="I69" t="s">
        <v>624</v>
      </c>
      <c r="J69" t="s">
        <v>474</v>
      </c>
      <c r="K69" t="s">
        <v>474</v>
      </c>
      <c r="L69" t="s">
        <v>474</v>
      </c>
      <c r="M69" t="s">
        <v>474</v>
      </c>
      <c r="N69" t="s">
        <v>474</v>
      </c>
      <c r="O69" t="s">
        <v>474</v>
      </c>
      <c r="P69" t="s">
        <v>474</v>
      </c>
      <c r="Q69" t="s">
        <v>474</v>
      </c>
      <c r="R69" t="s">
        <v>474</v>
      </c>
      <c r="S69" t="s">
        <v>474</v>
      </c>
      <c r="T69" t="s">
        <v>474</v>
      </c>
      <c r="U69" t="s">
        <v>474</v>
      </c>
      <c r="V69" t="s">
        <v>505</v>
      </c>
      <c r="W69" t="s">
        <v>625</v>
      </c>
      <c r="X69" t="s">
        <v>61</v>
      </c>
      <c r="Y69" t="s">
        <v>482</v>
      </c>
    </row>
    <row r="70" spans="1:25" ht="16" x14ac:dyDescent="0.2">
      <c r="A70" t="s">
        <v>474</v>
      </c>
      <c r="B70" t="s">
        <v>708</v>
      </c>
      <c r="C70" t="s">
        <v>474</v>
      </c>
      <c r="D70" t="s">
        <v>474</v>
      </c>
      <c r="E70" t="s">
        <v>51</v>
      </c>
      <c r="F70" t="s">
        <v>616</v>
      </c>
      <c r="G70" t="s">
        <v>626</v>
      </c>
      <c r="H70" t="s">
        <v>474</v>
      </c>
      <c r="I70" t="s">
        <v>627</v>
      </c>
      <c r="J70" t="s">
        <v>474</v>
      </c>
      <c r="K70" t="s">
        <v>474</v>
      </c>
      <c r="L70" t="s">
        <v>474</v>
      </c>
      <c r="M70" t="s">
        <v>474</v>
      </c>
      <c r="N70" t="s">
        <v>474</v>
      </c>
      <c r="O70" t="s">
        <v>474</v>
      </c>
      <c r="P70" t="s">
        <v>474</v>
      </c>
      <c r="Q70" t="s">
        <v>474</v>
      </c>
      <c r="R70" t="s">
        <v>474</v>
      </c>
      <c r="S70" t="s">
        <v>474</v>
      </c>
      <c r="T70" t="s">
        <v>474</v>
      </c>
      <c r="U70" t="s">
        <v>474</v>
      </c>
      <c r="V70" t="s">
        <v>705</v>
      </c>
      <c r="W70" t="s">
        <v>628</v>
      </c>
      <c r="X70" t="s">
        <v>61</v>
      </c>
      <c r="Y70" t="s">
        <v>482</v>
      </c>
    </row>
    <row r="71" spans="1:25" ht="16" x14ac:dyDescent="0.2">
      <c r="A71" t="s">
        <v>474</v>
      </c>
      <c r="B71" t="s">
        <v>708</v>
      </c>
      <c r="C71" t="s">
        <v>474</v>
      </c>
      <c r="D71" t="s">
        <v>474</v>
      </c>
      <c r="E71" t="s">
        <v>55</v>
      </c>
      <c r="F71" t="s">
        <v>616</v>
      </c>
      <c r="G71" t="s">
        <v>629</v>
      </c>
      <c r="H71" t="s">
        <v>474</v>
      </c>
      <c r="I71" t="s">
        <v>630</v>
      </c>
      <c r="J71" t="s">
        <v>474</v>
      </c>
      <c r="K71" t="s">
        <v>474</v>
      </c>
      <c r="L71" t="s">
        <v>474</v>
      </c>
      <c r="M71" t="s">
        <v>474</v>
      </c>
      <c r="N71" t="s">
        <v>474</v>
      </c>
      <c r="O71" t="s">
        <v>474</v>
      </c>
      <c r="P71" t="s">
        <v>474</v>
      </c>
      <c r="Q71" t="s">
        <v>474</v>
      </c>
      <c r="R71" t="s">
        <v>474</v>
      </c>
      <c r="S71" t="s">
        <v>474</v>
      </c>
      <c r="T71" t="s">
        <v>474</v>
      </c>
      <c r="U71" t="s">
        <v>474</v>
      </c>
      <c r="V71" t="s">
        <v>514</v>
      </c>
      <c r="W71" t="s">
        <v>631</v>
      </c>
      <c r="X71" t="s">
        <v>61</v>
      </c>
      <c r="Y71" t="s">
        <v>482</v>
      </c>
    </row>
    <row r="72" spans="1:25" ht="16" x14ac:dyDescent="0.2">
      <c r="A72" t="s">
        <v>474</v>
      </c>
      <c r="B72" t="s">
        <v>709</v>
      </c>
      <c r="C72" t="s">
        <v>474</v>
      </c>
      <c r="D72" t="s">
        <v>474</v>
      </c>
      <c r="E72" t="s">
        <v>36</v>
      </c>
      <c r="F72" t="s">
        <v>633</v>
      </c>
      <c r="G72" t="s">
        <v>634</v>
      </c>
      <c r="H72" t="s">
        <v>474</v>
      </c>
      <c r="I72" t="s">
        <v>635</v>
      </c>
      <c r="J72" t="s">
        <v>474</v>
      </c>
      <c r="K72" t="s">
        <v>474</v>
      </c>
      <c r="L72" t="s">
        <v>474</v>
      </c>
      <c r="M72" t="s">
        <v>474</v>
      </c>
      <c r="N72" t="s">
        <v>474</v>
      </c>
      <c r="O72" t="s">
        <v>474</v>
      </c>
      <c r="P72" t="s">
        <v>474</v>
      </c>
      <c r="Q72" t="s">
        <v>474</v>
      </c>
      <c r="R72" t="s">
        <v>474</v>
      </c>
      <c r="S72" t="s">
        <v>474</v>
      </c>
      <c r="T72" t="s">
        <v>474</v>
      </c>
      <c r="U72" t="s">
        <v>474</v>
      </c>
      <c r="V72" t="s">
        <v>485</v>
      </c>
      <c r="W72" t="s">
        <v>636</v>
      </c>
      <c r="X72" t="s">
        <v>61</v>
      </c>
      <c r="Y72" t="s">
        <v>482</v>
      </c>
    </row>
    <row r="73" spans="1:25" ht="16" x14ac:dyDescent="0.2">
      <c r="A73" t="s">
        <v>474</v>
      </c>
      <c r="B73" t="s">
        <v>709</v>
      </c>
      <c r="C73" t="s">
        <v>474</v>
      </c>
      <c r="D73" t="s">
        <v>474</v>
      </c>
      <c r="E73" t="s">
        <v>43</v>
      </c>
      <c r="F73" t="s">
        <v>633</v>
      </c>
      <c r="G73" t="s">
        <v>637</v>
      </c>
      <c r="H73" t="s">
        <v>474</v>
      </c>
      <c r="I73" t="s">
        <v>638</v>
      </c>
      <c r="J73" t="s">
        <v>474</v>
      </c>
      <c r="K73" t="s">
        <v>474</v>
      </c>
      <c r="L73" t="s">
        <v>474</v>
      </c>
      <c r="M73" t="s">
        <v>474</v>
      </c>
      <c r="N73" t="s">
        <v>474</v>
      </c>
      <c r="O73" t="s">
        <v>474</v>
      </c>
      <c r="P73" t="s">
        <v>474</v>
      </c>
      <c r="Q73" t="s">
        <v>474</v>
      </c>
      <c r="R73" t="s">
        <v>474</v>
      </c>
      <c r="S73" t="s">
        <v>474</v>
      </c>
      <c r="T73" t="s">
        <v>474</v>
      </c>
      <c r="U73" t="s">
        <v>474</v>
      </c>
      <c r="V73" t="s">
        <v>705</v>
      </c>
      <c r="W73" t="s">
        <v>639</v>
      </c>
      <c r="X73" t="s">
        <v>61</v>
      </c>
      <c r="Y73" t="s">
        <v>482</v>
      </c>
    </row>
    <row r="74" spans="1:25" ht="16" x14ac:dyDescent="0.2">
      <c r="A74" t="s">
        <v>474</v>
      </c>
      <c r="B74" t="s">
        <v>709</v>
      </c>
      <c r="C74" t="s">
        <v>474</v>
      </c>
      <c r="D74" t="s">
        <v>474</v>
      </c>
      <c r="E74" t="s">
        <v>47</v>
      </c>
      <c r="F74" t="s">
        <v>633</v>
      </c>
      <c r="G74" t="s">
        <v>640</v>
      </c>
      <c r="H74" t="s">
        <v>474</v>
      </c>
      <c r="I74" t="s">
        <v>641</v>
      </c>
      <c r="J74" t="s">
        <v>474</v>
      </c>
      <c r="K74" t="s">
        <v>474</v>
      </c>
      <c r="L74" t="s">
        <v>474</v>
      </c>
      <c r="M74" t="s">
        <v>474</v>
      </c>
      <c r="N74" t="s">
        <v>474</v>
      </c>
      <c r="O74" t="s">
        <v>474</v>
      </c>
      <c r="P74" t="s">
        <v>474</v>
      </c>
      <c r="Q74" t="s">
        <v>474</v>
      </c>
      <c r="R74" t="s">
        <v>474</v>
      </c>
      <c r="S74" t="s">
        <v>474</v>
      </c>
      <c r="T74" t="s">
        <v>474</v>
      </c>
      <c r="U74" t="s">
        <v>474</v>
      </c>
      <c r="V74" t="s">
        <v>505</v>
      </c>
      <c r="W74" t="s">
        <v>642</v>
      </c>
      <c r="X74" t="s">
        <v>61</v>
      </c>
      <c r="Y74" t="s">
        <v>482</v>
      </c>
    </row>
    <row r="75" spans="1:25" ht="16" x14ac:dyDescent="0.2">
      <c r="A75" t="s">
        <v>474</v>
      </c>
      <c r="B75" t="s">
        <v>709</v>
      </c>
      <c r="C75" t="s">
        <v>474</v>
      </c>
      <c r="D75" t="s">
        <v>474</v>
      </c>
      <c r="E75" t="s">
        <v>51</v>
      </c>
      <c r="F75" t="s">
        <v>633</v>
      </c>
      <c r="G75" t="s">
        <v>643</v>
      </c>
      <c r="H75" t="s">
        <v>474</v>
      </c>
      <c r="I75" t="s">
        <v>644</v>
      </c>
      <c r="J75" t="s">
        <v>474</v>
      </c>
      <c r="K75" t="s">
        <v>474</v>
      </c>
      <c r="L75" t="s">
        <v>474</v>
      </c>
      <c r="M75" t="s">
        <v>474</v>
      </c>
      <c r="N75" t="s">
        <v>474</v>
      </c>
      <c r="O75" t="s">
        <v>474</v>
      </c>
      <c r="P75" t="s">
        <v>474</v>
      </c>
      <c r="Q75" t="s">
        <v>474</v>
      </c>
      <c r="R75" t="s">
        <v>474</v>
      </c>
      <c r="S75" t="s">
        <v>474</v>
      </c>
      <c r="T75" t="s">
        <v>474</v>
      </c>
      <c r="U75" t="s">
        <v>474</v>
      </c>
      <c r="V75" t="s">
        <v>705</v>
      </c>
      <c r="W75" t="s">
        <v>628</v>
      </c>
      <c r="X75" t="s">
        <v>61</v>
      </c>
      <c r="Y75" t="s">
        <v>482</v>
      </c>
    </row>
    <row r="76" spans="1:25" ht="16" x14ac:dyDescent="0.2">
      <c r="A76" t="s">
        <v>474</v>
      </c>
      <c r="B76" t="s">
        <v>709</v>
      </c>
      <c r="C76" t="s">
        <v>474</v>
      </c>
      <c r="D76" t="s">
        <v>474</v>
      </c>
      <c r="E76" t="s">
        <v>55</v>
      </c>
      <c r="F76" t="s">
        <v>633</v>
      </c>
      <c r="G76" t="s">
        <v>645</v>
      </c>
      <c r="H76" t="s">
        <v>474</v>
      </c>
      <c r="I76" t="s">
        <v>646</v>
      </c>
      <c r="J76" t="s">
        <v>474</v>
      </c>
      <c r="K76" t="s">
        <v>474</v>
      </c>
      <c r="L76" t="s">
        <v>474</v>
      </c>
      <c r="M76" t="s">
        <v>474</v>
      </c>
      <c r="N76" t="s">
        <v>474</v>
      </c>
      <c r="O76" t="s">
        <v>474</v>
      </c>
      <c r="P76" t="s">
        <v>474</v>
      </c>
      <c r="Q76" t="s">
        <v>474</v>
      </c>
      <c r="R76" t="s">
        <v>474</v>
      </c>
      <c r="S76" t="s">
        <v>474</v>
      </c>
      <c r="T76" t="s">
        <v>474</v>
      </c>
      <c r="U76" t="s">
        <v>474</v>
      </c>
      <c r="V76" t="s">
        <v>514</v>
      </c>
      <c r="W76" t="s">
        <v>631</v>
      </c>
      <c r="X76" t="s">
        <v>61</v>
      </c>
      <c r="Y76" t="s">
        <v>482</v>
      </c>
    </row>
    <row r="77" spans="1:25" ht="16" x14ac:dyDescent="0.2">
      <c r="A77" t="s">
        <v>474</v>
      </c>
      <c r="B77" t="s">
        <v>710</v>
      </c>
      <c r="C77" t="s">
        <v>474</v>
      </c>
      <c r="D77" t="s">
        <v>474</v>
      </c>
      <c r="E77" t="s">
        <v>36</v>
      </c>
      <c r="F77" t="s">
        <v>648</v>
      </c>
      <c r="G77" t="s">
        <v>649</v>
      </c>
      <c r="H77" t="s">
        <v>474</v>
      </c>
      <c r="I77" t="s">
        <v>650</v>
      </c>
      <c r="J77" t="s">
        <v>474</v>
      </c>
      <c r="K77" t="s">
        <v>474</v>
      </c>
      <c r="L77" t="s">
        <v>474</v>
      </c>
      <c r="M77" t="s">
        <v>474</v>
      </c>
      <c r="N77" t="s">
        <v>474</v>
      </c>
      <c r="O77" t="s">
        <v>474</v>
      </c>
      <c r="P77" t="s">
        <v>474</v>
      </c>
      <c r="Q77" t="s">
        <v>474</v>
      </c>
      <c r="R77" t="s">
        <v>474</v>
      </c>
      <c r="S77" t="s">
        <v>474</v>
      </c>
      <c r="T77" t="s">
        <v>474</v>
      </c>
      <c r="U77" t="s">
        <v>474</v>
      </c>
      <c r="V77" t="s">
        <v>485</v>
      </c>
      <c r="W77" t="s">
        <v>651</v>
      </c>
      <c r="X77" t="s">
        <v>61</v>
      </c>
      <c r="Y77" t="s">
        <v>482</v>
      </c>
    </row>
    <row r="78" spans="1:25" ht="16" x14ac:dyDescent="0.2">
      <c r="A78" t="s">
        <v>474</v>
      </c>
      <c r="B78" t="s">
        <v>710</v>
      </c>
      <c r="C78" t="s">
        <v>474</v>
      </c>
      <c r="D78" t="s">
        <v>474</v>
      </c>
      <c r="E78" t="s">
        <v>43</v>
      </c>
      <c r="F78" t="s">
        <v>648</v>
      </c>
      <c r="G78" t="s">
        <v>652</v>
      </c>
      <c r="H78" t="s">
        <v>474</v>
      </c>
      <c r="I78" t="s">
        <v>653</v>
      </c>
      <c r="J78" t="s">
        <v>474</v>
      </c>
      <c r="K78" t="s">
        <v>474</v>
      </c>
      <c r="L78" t="s">
        <v>474</v>
      </c>
      <c r="M78" t="s">
        <v>474</v>
      </c>
      <c r="N78" t="s">
        <v>474</v>
      </c>
      <c r="O78" t="s">
        <v>474</v>
      </c>
      <c r="P78" t="s">
        <v>474</v>
      </c>
      <c r="Q78" t="s">
        <v>474</v>
      </c>
      <c r="R78" t="s">
        <v>474</v>
      </c>
      <c r="S78" t="s">
        <v>474</v>
      </c>
      <c r="T78" t="s">
        <v>474</v>
      </c>
      <c r="U78" t="s">
        <v>474</v>
      </c>
      <c r="V78" t="s">
        <v>705</v>
      </c>
      <c r="W78" t="s">
        <v>654</v>
      </c>
      <c r="X78" t="s">
        <v>61</v>
      </c>
      <c r="Y78" t="s">
        <v>482</v>
      </c>
    </row>
    <row r="79" spans="1:25" ht="16" x14ac:dyDescent="0.2">
      <c r="A79" t="s">
        <v>474</v>
      </c>
      <c r="B79" t="s">
        <v>710</v>
      </c>
      <c r="C79" t="s">
        <v>474</v>
      </c>
      <c r="D79" t="s">
        <v>474</v>
      </c>
      <c r="E79" t="s">
        <v>47</v>
      </c>
      <c r="F79" t="s">
        <v>648</v>
      </c>
      <c r="G79" t="s">
        <v>655</v>
      </c>
      <c r="H79" t="s">
        <v>474</v>
      </c>
      <c r="I79" t="s">
        <v>656</v>
      </c>
      <c r="J79" t="s">
        <v>474</v>
      </c>
      <c r="K79" t="s">
        <v>474</v>
      </c>
      <c r="L79" t="s">
        <v>474</v>
      </c>
      <c r="M79" t="s">
        <v>474</v>
      </c>
      <c r="N79" t="s">
        <v>474</v>
      </c>
      <c r="O79" t="s">
        <v>474</v>
      </c>
      <c r="P79" t="s">
        <v>474</v>
      </c>
      <c r="Q79" t="s">
        <v>474</v>
      </c>
      <c r="R79" t="s">
        <v>474</v>
      </c>
      <c r="S79" t="s">
        <v>474</v>
      </c>
      <c r="T79" t="s">
        <v>474</v>
      </c>
      <c r="U79" t="s">
        <v>474</v>
      </c>
      <c r="V79" t="s">
        <v>505</v>
      </c>
      <c r="W79" t="s">
        <v>657</v>
      </c>
      <c r="X79" t="s">
        <v>61</v>
      </c>
      <c r="Y79" t="s">
        <v>482</v>
      </c>
    </row>
    <row r="80" spans="1:25" ht="16" x14ac:dyDescent="0.2">
      <c r="A80" t="s">
        <v>474</v>
      </c>
      <c r="B80" t="s">
        <v>710</v>
      </c>
      <c r="C80" t="s">
        <v>474</v>
      </c>
      <c r="D80" t="s">
        <v>474</v>
      </c>
      <c r="E80" t="s">
        <v>51</v>
      </c>
      <c r="F80" t="s">
        <v>648</v>
      </c>
      <c r="G80" t="s">
        <v>658</v>
      </c>
      <c r="H80" t="s">
        <v>474</v>
      </c>
      <c r="I80" t="s">
        <v>659</v>
      </c>
      <c r="J80" t="s">
        <v>474</v>
      </c>
      <c r="K80" t="s">
        <v>474</v>
      </c>
      <c r="L80" t="s">
        <v>474</v>
      </c>
      <c r="M80" t="s">
        <v>474</v>
      </c>
      <c r="N80" t="s">
        <v>474</v>
      </c>
      <c r="O80" t="s">
        <v>474</v>
      </c>
      <c r="P80" t="s">
        <v>474</v>
      </c>
      <c r="Q80" t="s">
        <v>474</v>
      </c>
      <c r="R80" t="s">
        <v>474</v>
      </c>
      <c r="S80" t="s">
        <v>474</v>
      </c>
      <c r="T80" t="s">
        <v>474</v>
      </c>
      <c r="U80" t="s">
        <v>474</v>
      </c>
      <c r="V80" t="s">
        <v>705</v>
      </c>
      <c r="W80" t="s">
        <v>660</v>
      </c>
      <c r="X80" t="s">
        <v>61</v>
      </c>
      <c r="Y80" t="s">
        <v>482</v>
      </c>
    </row>
    <row r="81" spans="1:25" ht="16" x14ac:dyDescent="0.2">
      <c r="A81" t="s">
        <v>474</v>
      </c>
      <c r="B81" t="s">
        <v>710</v>
      </c>
      <c r="C81" t="s">
        <v>474</v>
      </c>
      <c r="D81" t="s">
        <v>474</v>
      </c>
      <c r="E81" t="s">
        <v>55</v>
      </c>
      <c r="F81" t="s">
        <v>648</v>
      </c>
      <c r="G81" t="s">
        <v>661</v>
      </c>
      <c r="H81" t="s">
        <v>474</v>
      </c>
      <c r="I81" t="s">
        <v>662</v>
      </c>
      <c r="J81" t="s">
        <v>474</v>
      </c>
      <c r="K81" t="s">
        <v>474</v>
      </c>
      <c r="L81" t="s">
        <v>474</v>
      </c>
      <c r="M81" t="s">
        <v>474</v>
      </c>
      <c r="N81" t="s">
        <v>474</v>
      </c>
      <c r="O81" t="s">
        <v>474</v>
      </c>
      <c r="P81" t="s">
        <v>474</v>
      </c>
      <c r="Q81" t="s">
        <v>474</v>
      </c>
      <c r="R81" t="s">
        <v>474</v>
      </c>
      <c r="S81" t="s">
        <v>474</v>
      </c>
      <c r="T81" t="s">
        <v>474</v>
      </c>
      <c r="U81" t="s">
        <v>474</v>
      </c>
      <c r="V81" t="s">
        <v>514</v>
      </c>
      <c r="W81" t="s">
        <v>663</v>
      </c>
      <c r="X81" t="s">
        <v>61</v>
      </c>
      <c r="Y81" t="s">
        <v>482</v>
      </c>
    </row>
    <row r="82" spans="1:25" ht="16" x14ac:dyDescent="0.2">
      <c r="A82" t="s">
        <v>474</v>
      </c>
      <c r="B82" t="s">
        <v>711</v>
      </c>
      <c r="C82" t="s">
        <v>474</v>
      </c>
      <c r="D82" t="s">
        <v>474</v>
      </c>
      <c r="E82" t="s">
        <v>36</v>
      </c>
      <c r="F82" t="s">
        <v>665</v>
      </c>
      <c r="G82" t="s">
        <v>666</v>
      </c>
      <c r="H82" t="s">
        <v>474</v>
      </c>
      <c r="I82" t="s">
        <v>667</v>
      </c>
      <c r="J82" t="s">
        <v>474</v>
      </c>
      <c r="K82" t="s">
        <v>474</v>
      </c>
      <c r="L82" t="s">
        <v>474</v>
      </c>
      <c r="M82" t="s">
        <v>474</v>
      </c>
      <c r="N82" t="s">
        <v>474</v>
      </c>
      <c r="O82" t="s">
        <v>474</v>
      </c>
      <c r="P82" t="s">
        <v>474</v>
      </c>
      <c r="Q82" t="s">
        <v>474</v>
      </c>
      <c r="R82" t="s">
        <v>474</v>
      </c>
      <c r="S82" t="s">
        <v>474</v>
      </c>
      <c r="T82" t="s">
        <v>474</v>
      </c>
      <c r="U82" t="s">
        <v>474</v>
      </c>
      <c r="V82" t="s">
        <v>485</v>
      </c>
      <c r="W82" t="s">
        <v>668</v>
      </c>
      <c r="X82" t="s">
        <v>61</v>
      </c>
      <c r="Y82" t="s">
        <v>482</v>
      </c>
    </row>
    <row r="83" spans="1:25" ht="16" x14ac:dyDescent="0.2">
      <c r="A83" t="s">
        <v>474</v>
      </c>
      <c r="B83" t="s">
        <v>711</v>
      </c>
      <c r="C83" t="s">
        <v>474</v>
      </c>
      <c r="D83" t="s">
        <v>474</v>
      </c>
      <c r="E83" t="s">
        <v>43</v>
      </c>
      <c r="F83" t="s">
        <v>665</v>
      </c>
      <c r="G83" t="s">
        <v>669</v>
      </c>
      <c r="H83" t="s">
        <v>474</v>
      </c>
      <c r="I83" t="s">
        <v>670</v>
      </c>
      <c r="J83" t="s">
        <v>474</v>
      </c>
      <c r="K83" t="s">
        <v>474</v>
      </c>
      <c r="L83" t="s">
        <v>474</v>
      </c>
      <c r="M83" t="s">
        <v>474</v>
      </c>
      <c r="N83" t="s">
        <v>474</v>
      </c>
      <c r="O83" t="s">
        <v>474</v>
      </c>
      <c r="P83" t="s">
        <v>474</v>
      </c>
      <c r="Q83" t="s">
        <v>474</v>
      </c>
      <c r="R83" t="s">
        <v>474</v>
      </c>
      <c r="S83" t="s">
        <v>474</v>
      </c>
      <c r="T83" t="s">
        <v>474</v>
      </c>
      <c r="U83" t="s">
        <v>474</v>
      </c>
      <c r="V83" t="s">
        <v>705</v>
      </c>
      <c r="W83" t="s">
        <v>671</v>
      </c>
      <c r="X83" t="s">
        <v>61</v>
      </c>
      <c r="Y83" t="s">
        <v>482</v>
      </c>
    </row>
    <row r="84" spans="1:25" ht="16" x14ac:dyDescent="0.2">
      <c r="A84" t="s">
        <v>474</v>
      </c>
      <c r="B84" t="s">
        <v>711</v>
      </c>
      <c r="C84" t="s">
        <v>474</v>
      </c>
      <c r="D84" t="s">
        <v>474</v>
      </c>
      <c r="E84" t="s">
        <v>47</v>
      </c>
      <c r="F84" t="s">
        <v>665</v>
      </c>
      <c r="G84" t="s">
        <v>672</v>
      </c>
      <c r="H84" t="s">
        <v>474</v>
      </c>
      <c r="I84" t="s">
        <v>673</v>
      </c>
      <c r="J84" t="s">
        <v>474</v>
      </c>
      <c r="K84" t="s">
        <v>474</v>
      </c>
      <c r="L84" t="s">
        <v>474</v>
      </c>
      <c r="M84" t="s">
        <v>474</v>
      </c>
      <c r="N84" t="s">
        <v>474</v>
      </c>
      <c r="O84" t="s">
        <v>474</v>
      </c>
      <c r="P84" t="s">
        <v>474</v>
      </c>
      <c r="Q84" t="s">
        <v>474</v>
      </c>
      <c r="R84" t="s">
        <v>474</v>
      </c>
      <c r="S84" t="s">
        <v>474</v>
      </c>
      <c r="T84" t="s">
        <v>474</v>
      </c>
      <c r="U84" t="s">
        <v>474</v>
      </c>
      <c r="V84" t="s">
        <v>505</v>
      </c>
      <c r="W84" t="s">
        <v>674</v>
      </c>
      <c r="X84" t="s">
        <v>61</v>
      </c>
      <c r="Y84" t="s">
        <v>482</v>
      </c>
    </row>
    <row r="85" spans="1:25" ht="16" x14ac:dyDescent="0.2">
      <c r="A85" t="s">
        <v>474</v>
      </c>
      <c r="B85" t="s">
        <v>711</v>
      </c>
      <c r="C85" t="s">
        <v>474</v>
      </c>
      <c r="D85" t="s">
        <v>474</v>
      </c>
      <c r="E85" t="s">
        <v>51</v>
      </c>
      <c r="F85" t="s">
        <v>665</v>
      </c>
      <c r="G85" t="s">
        <v>675</v>
      </c>
      <c r="H85" t="s">
        <v>474</v>
      </c>
      <c r="I85" t="s">
        <v>676</v>
      </c>
      <c r="J85" t="s">
        <v>474</v>
      </c>
      <c r="K85" t="s">
        <v>474</v>
      </c>
      <c r="L85" t="s">
        <v>474</v>
      </c>
      <c r="M85" t="s">
        <v>474</v>
      </c>
      <c r="N85" t="s">
        <v>474</v>
      </c>
      <c r="O85" t="s">
        <v>474</v>
      </c>
      <c r="P85" t="s">
        <v>474</v>
      </c>
      <c r="Q85" t="s">
        <v>474</v>
      </c>
      <c r="R85" t="s">
        <v>474</v>
      </c>
      <c r="S85" t="s">
        <v>474</v>
      </c>
      <c r="T85" t="s">
        <v>474</v>
      </c>
      <c r="U85" t="s">
        <v>474</v>
      </c>
      <c r="V85" t="s">
        <v>705</v>
      </c>
      <c r="W85" t="s">
        <v>677</v>
      </c>
      <c r="X85" t="s">
        <v>61</v>
      </c>
      <c r="Y85" t="s">
        <v>482</v>
      </c>
    </row>
    <row r="86" spans="1:25" ht="16" x14ac:dyDescent="0.2">
      <c r="A86" t="s">
        <v>474</v>
      </c>
      <c r="B86" t="s">
        <v>711</v>
      </c>
      <c r="C86" t="s">
        <v>474</v>
      </c>
      <c r="D86" t="s">
        <v>474</v>
      </c>
      <c r="E86" t="s">
        <v>55</v>
      </c>
      <c r="F86" t="s">
        <v>665</v>
      </c>
      <c r="G86" t="s">
        <v>678</v>
      </c>
      <c r="H86" t="s">
        <v>474</v>
      </c>
      <c r="I86" t="s">
        <v>679</v>
      </c>
      <c r="J86" t="s">
        <v>474</v>
      </c>
      <c r="K86" t="s">
        <v>474</v>
      </c>
      <c r="L86" t="s">
        <v>474</v>
      </c>
      <c r="M86" t="s">
        <v>474</v>
      </c>
      <c r="N86" t="s">
        <v>474</v>
      </c>
      <c r="O86" t="s">
        <v>474</v>
      </c>
      <c r="P86" t="s">
        <v>474</v>
      </c>
      <c r="Q86" t="s">
        <v>474</v>
      </c>
      <c r="R86" t="s">
        <v>474</v>
      </c>
      <c r="S86" t="s">
        <v>474</v>
      </c>
      <c r="T86" t="s">
        <v>474</v>
      </c>
      <c r="U86" t="s">
        <v>474</v>
      </c>
      <c r="V86" t="s">
        <v>514</v>
      </c>
      <c r="W86" t="s">
        <v>680</v>
      </c>
      <c r="X86" t="s">
        <v>61</v>
      </c>
      <c r="Y86" t="s">
        <v>482</v>
      </c>
    </row>
    <row r="87" spans="1:25" ht="16" x14ac:dyDescent="0.2">
      <c r="A87" t="s">
        <v>474</v>
      </c>
      <c r="B87" t="s">
        <v>712</v>
      </c>
      <c r="C87" t="s">
        <v>474</v>
      </c>
      <c r="D87" t="s">
        <v>474</v>
      </c>
      <c r="E87" t="s">
        <v>36</v>
      </c>
      <c r="F87" t="s">
        <v>685</v>
      </c>
      <c r="G87" t="s">
        <v>686</v>
      </c>
      <c r="H87" t="s">
        <v>474</v>
      </c>
      <c r="I87" t="s">
        <v>687</v>
      </c>
      <c r="J87" t="s">
        <v>474</v>
      </c>
      <c r="K87" t="s">
        <v>474</v>
      </c>
      <c r="L87" t="s">
        <v>474</v>
      </c>
      <c r="M87" t="s">
        <v>474</v>
      </c>
      <c r="N87" t="s">
        <v>474</v>
      </c>
      <c r="O87" t="s">
        <v>474</v>
      </c>
      <c r="P87" t="s">
        <v>474</v>
      </c>
      <c r="Q87" t="s">
        <v>474</v>
      </c>
      <c r="R87" t="s">
        <v>474</v>
      </c>
      <c r="S87" t="s">
        <v>474</v>
      </c>
      <c r="T87" t="s">
        <v>474</v>
      </c>
      <c r="U87" t="s">
        <v>474</v>
      </c>
      <c r="V87" t="s">
        <v>485</v>
      </c>
      <c r="W87" t="s">
        <v>688</v>
      </c>
      <c r="X87" t="s">
        <v>61</v>
      </c>
      <c r="Y87" t="s">
        <v>482</v>
      </c>
    </row>
    <row r="88" spans="1:25" ht="16" x14ac:dyDescent="0.2">
      <c r="A88" t="s">
        <v>474</v>
      </c>
      <c r="B88" t="s">
        <v>712</v>
      </c>
      <c r="C88" t="s">
        <v>474</v>
      </c>
      <c r="D88" t="s">
        <v>474</v>
      </c>
      <c r="E88" t="s">
        <v>43</v>
      </c>
      <c r="F88" t="s">
        <v>685</v>
      </c>
      <c r="G88" t="s">
        <v>689</v>
      </c>
      <c r="H88" t="s">
        <v>474</v>
      </c>
      <c r="I88" t="s">
        <v>690</v>
      </c>
      <c r="J88" t="s">
        <v>474</v>
      </c>
      <c r="K88" t="s">
        <v>474</v>
      </c>
      <c r="L88" t="s">
        <v>474</v>
      </c>
      <c r="M88" t="s">
        <v>474</v>
      </c>
      <c r="N88" t="s">
        <v>474</v>
      </c>
      <c r="O88" t="s">
        <v>474</v>
      </c>
      <c r="P88" t="s">
        <v>474</v>
      </c>
      <c r="Q88" t="s">
        <v>474</v>
      </c>
      <c r="R88" t="s">
        <v>474</v>
      </c>
      <c r="S88" t="s">
        <v>474</v>
      </c>
      <c r="T88" t="s">
        <v>474</v>
      </c>
      <c r="U88" t="s">
        <v>474</v>
      </c>
      <c r="V88" t="s">
        <v>705</v>
      </c>
      <c r="W88" t="s">
        <v>691</v>
      </c>
      <c r="X88" t="s">
        <v>61</v>
      </c>
      <c r="Y88" t="s">
        <v>482</v>
      </c>
    </row>
    <row r="89" spans="1:25" ht="16" x14ac:dyDescent="0.2">
      <c r="A89" t="s">
        <v>474</v>
      </c>
      <c r="B89" t="s">
        <v>712</v>
      </c>
      <c r="C89" t="s">
        <v>474</v>
      </c>
      <c r="D89" t="s">
        <v>474</v>
      </c>
      <c r="E89" t="s">
        <v>47</v>
      </c>
      <c r="F89" t="s">
        <v>685</v>
      </c>
      <c r="G89" t="s">
        <v>692</v>
      </c>
      <c r="H89" t="s">
        <v>474</v>
      </c>
      <c r="I89" t="s">
        <v>693</v>
      </c>
      <c r="J89" t="s">
        <v>474</v>
      </c>
      <c r="K89" t="s">
        <v>474</v>
      </c>
      <c r="L89" t="s">
        <v>474</v>
      </c>
      <c r="M89" t="s">
        <v>474</v>
      </c>
      <c r="N89" t="s">
        <v>474</v>
      </c>
      <c r="O89" t="s">
        <v>474</v>
      </c>
      <c r="P89" t="s">
        <v>474</v>
      </c>
      <c r="Q89" t="s">
        <v>474</v>
      </c>
      <c r="R89" t="s">
        <v>474</v>
      </c>
      <c r="S89" t="s">
        <v>474</v>
      </c>
      <c r="T89" t="s">
        <v>474</v>
      </c>
      <c r="U89" t="s">
        <v>474</v>
      </c>
      <c r="V89" t="s">
        <v>505</v>
      </c>
      <c r="W89" t="s">
        <v>694</v>
      </c>
      <c r="X89" t="s">
        <v>61</v>
      </c>
      <c r="Y89" t="s">
        <v>482</v>
      </c>
    </row>
    <row r="90" spans="1:25" ht="16" x14ac:dyDescent="0.2">
      <c r="A90" t="s">
        <v>474</v>
      </c>
      <c r="B90" t="s">
        <v>712</v>
      </c>
      <c r="C90" t="s">
        <v>474</v>
      </c>
      <c r="D90" t="s">
        <v>474</v>
      </c>
      <c r="E90" t="s">
        <v>51</v>
      </c>
      <c r="F90" t="s">
        <v>685</v>
      </c>
      <c r="G90" t="s">
        <v>695</v>
      </c>
      <c r="H90" t="s">
        <v>474</v>
      </c>
      <c r="I90" t="s">
        <v>696</v>
      </c>
      <c r="J90" t="s">
        <v>474</v>
      </c>
      <c r="K90" t="s">
        <v>474</v>
      </c>
      <c r="L90" t="s">
        <v>474</v>
      </c>
      <c r="M90" t="s">
        <v>474</v>
      </c>
      <c r="N90" t="s">
        <v>474</v>
      </c>
      <c r="O90" t="s">
        <v>474</v>
      </c>
      <c r="P90" t="s">
        <v>474</v>
      </c>
      <c r="Q90" t="s">
        <v>474</v>
      </c>
      <c r="R90" t="s">
        <v>474</v>
      </c>
      <c r="S90" t="s">
        <v>474</v>
      </c>
      <c r="T90" t="s">
        <v>474</v>
      </c>
      <c r="U90" t="s">
        <v>474</v>
      </c>
      <c r="V90" t="s">
        <v>705</v>
      </c>
      <c r="W90" t="s">
        <v>697</v>
      </c>
      <c r="X90" t="s">
        <v>61</v>
      </c>
      <c r="Y90" t="s">
        <v>482</v>
      </c>
    </row>
    <row r="91" spans="1:25" ht="16" x14ac:dyDescent="0.2">
      <c r="A91" t="s">
        <v>474</v>
      </c>
      <c r="B91" t="s">
        <v>712</v>
      </c>
      <c r="C91" t="s">
        <v>474</v>
      </c>
      <c r="D91" t="s">
        <v>474</v>
      </c>
      <c r="E91" t="s">
        <v>55</v>
      </c>
      <c r="F91" t="s">
        <v>685</v>
      </c>
      <c r="G91" t="s">
        <v>698</v>
      </c>
      <c r="H91" t="s">
        <v>474</v>
      </c>
      <c r="I91" t="s">
        <v>699</v>
      </c>
      <c r="J91" t="s">
        <v>474</v>
      </c>
      <c r="K91" t="s">
        <v>474</v>
      </c>
      <c r="L91" t="s">
        <v>474</v>
      </c>
      <c r="M91" t="s">
        <v>474</v>
      </c>
      <c r="N91" t="s">
        <v>474</v>
      </c>
      <c r="O91" t="s">
        <v>474</v>
      </c>
      <c r="P91" t="s">
        <v>474</v>
      </c>
      <c r="Q91" t="s">
        <v>474</v>
      </c>
      <c r="R91" t="s">
        <v>474</v>
      </c>
      <c r="S91" t="s">
        <v>474</v>
      </c>
      <c r="T91" t="s">
        <v>474</v>
      </c>
      <c r="U91" t="s">
        <v>474</v>
      </c>
      <c r="V91" t="s">
        <v>514</v>
      </c>
      <c r="W91" t="s">
        <v>700</v>
      </c>
      <c r="X91" t="s">
        <v>61</v>
      </c>
      <c r="Y91" t="s">
        <v>482</v>
      </c>
    </row>
    <row r="92" spans="1:25" ht="16" x14ac:dyDescent="0.2">
      <c r="A92" t="s">
        <v>474</v>
      </c>
      <c r="B92" t="s">
        <v>713</v>
      </c>
      <c r="C92" t="s">
        <v>474</v>
      </c>
      <c r="D92" t="s">
        <v>474</v>
      </c>
      <c r="E92" t="s">
        <v>36</v>
      </c>
      <c r="F92" t="s">
        <v>714</v>
      </c>
      <c r="G92" t="s">
        <v>715</v>
      </c>
      <c r="H92" t="s">
        <v>474</v>
      </c>
      <c r="I92" t="s">
        <v>716</v>
      </c>
      <c r="J92" t="s">
        <v>474</v>
      </c>
      <c r="K92" t="s">
        <v>474</v>
      </c>
      <c r="L92" t="s">
        <v>474</v>
      </c>
      <c r="M92" t="s">
        <v>474</v>
      </c>
      <c r="N92" t="s">
        <v>474</v>
      </c>
      <c r="O92" t="s">
        <v>474</v>
      </c>
      <c r="P92" t="s">
        <v>474</v>
      </c>
      <c r="Q92" t="s">
        <v>474</v>
      </c>
      <c r="R92" t="s">
        <v>474</v>
      </c>
      <c r="S92" t="s">
        <v>474</v>
      </c>
      <c r="T92" t="s">
        <v>474</v>
      </c>
      <c r="U92" t="s">
        <v>474</v>
      </c>
      <c r="V92" t="s">
        <v>600</v>
      </c>
      <c r="W92" t="s">
        <v>717</v>
      </c>
      <c r="X92" t="s">
        <v>30</v>
      </c>
      <c r="Y92" t="s">
        <v>476</v>
      </c>
    </row>
    <row r="93" spans="1:25" ht="16" x14ac:dyDescent="0.2">
      <c r="A93" t="s">
        <v>474</v>
      </c>
      <c r="B93" t="s">
        <v>713</v>
      </c>
      <c r="C93" t="s">
        <v>474</v>
      </c>
      <c r="D93" t="s">
        <v>474</v>
      </c>
      <c r="E93" t="s">
        <v>43</v>
      </c>
      <c r="F93" t="s">
        <v>714</v>
      </c>
      <c r="G93" t="s">
        <v>718</v>
      </c>
      <c r="H93" t="s">
        <v>474</v>
      </c>
      <c r="I93" t="s">
        <v>719</v>
      </c>
      <c r="J93" t="s">
        <v>474</v>
      </c>
      <c r="K93" t="s">
        <v>474</v>
      </c>
      <c r="L93" t="s">
        <v>474</v>
      </c>
      <c r="M93" t="s">
        <v>474</v>
      </c>
      <c r="N93" t="s">
        <v>474</v>
      </c>
      <c r="O93" t="s">
        <v>474</v>
      </c>
      <c r="P93" t="s">
        <v>474</v>
      </c>
      <c r="Q93" t="s">
        <v>474</v>
      </c>
      <c r="R93" t="s">
        <v>474</v>
      </c>
      <c r="S93" t="s">
        <v>474</v>
      </c>
      <c r="T93" t="s">
        <v>474</v>
      </c>
      <c r="U93" t="s">
        <v>474</v>
      </c>
      <c r="V93" t="s">
        <v>604</v>
      </c>
      <c r="W93" t="s">
        <v>720</v>
      </c>
      <c r="X93" t="s">
        <v>30</v>
      </c>
      <c r="Y93" t="s">
        <v>476</v>
      </c>
    </row>
    <row r="94" spans="1:25" ht="16" x14ac:dyDescent="0.2">
      <c r="A94" t="s">
        <v>474</v>
      </c>
      <c r="B94" t="s">
        <v>713</v>
      </c>
      <c r="C94" t="s">
        <v>474</v>
      </c>
      <c r="D94" t="s">
        <v>474</v>
      </c>
      <c r="E94" t="s">
        <v>47</v>
      </c>
      <c r="F94" t="s">
        <v>714</v>
      </c>
      <c r="G94" t="s">
        <v>721</v>
      </c>
      <c r="H94" t="s">
        <v>474</v>
      </c>
      <c r="I94" t="s">
        <v>722</v>
      </c>
      <c r="J94" t="s">
        <v>474</v>
      </c>
      <c r="K94" t="s">
        <v>474</v>
      </c>
      <c r="L94" t="s">
        <v>474</v>
      </c>
      <c r="M94" t="s">
        <v>474</v>
      </c>
      <c r="N94" t="s">
        <v>474</v>
      </c>
      <c r="O94" t="s">
        <v>474</v>
      </c>
      <c r="P94" t="s">
        <v>474</v>
      </c>
      <c r="Q94" t="s">
        <v>474</v>
      </c>
      <c r="R94" t="s">
        <v>474</v>
      </c>
      <c r="S94" t="s">
        <v>474</v>
      </c>
      <c r="T94" t="s">
        <v>474</v>
      </c>
      <c r="U94" t="s">
        <v>474</v>
      </c>
      <c r="V94" t="s">
        <v>486</v>
      </c>
      <c r="W94" t="s">
        <v>723</v>
      </c>
      <c r="X94" t="s">
        <v>30</v>
      </c>
      <c r="Y94" t="s">
        <v>476</v>
      </c>
    </row>
    <row r="95" spans="1:25" ht="16" x14ac:dyDescent="0.2">
      <c r="A95" t="s">
        <v>474</v>
      </c>
      <c r="B95" t="s">
        <v>713</v>
      </c>
      <c r="C95" t="s">
        <v>474</v>
      </c>
      <c r="D95" t="s">
        <v>474</v>
      </c>
      <c r="E95" t="s">
        <v>51</v>
      </c>
      <c r="F95" t="s">
        <v>714</v>
      </c>
      <c r="G95" t="s">
        <v>724</v>
      </c>
      <c r="H95" t="s">
        <v>474</v>
      </c>
      <c r="I95" t="s">
        <v>725</v>
      </c>
      <c r="J95" t="s">
        <v>474</v>
      </c>
      <c r="K95" t="s">
        <v>474</v>
      </c>
      <c r="L95" t="s">
        <v>474</v>
      </c>
      <c r="M95" t="s">
        <v>474</v>
      </c>
      <c r="N95" t="s">
        <v>474</v>
      </c>
      <c r="O95" t="s">
        <v>474</v>
      </c>
      <c r="P95" t="s">
        <v>474</v>
      </c>
      <c r="Q95" t="s">
        <v>474</v>
      </c>
      <c r="R95" t="s">
        <v>474</v>
      </c>
      <c r="S95" t="s">
        <v>474</v>
      </c>
      <c r="T95" t="s">
        <v>474</v>
      </c>
      <c r="U95" t="s">
        <v>474</v>
      </c>
      <c r="V95" t="s">
        <v>604</v>
      </c>
      <c r="W95" t="s">
        <v>726</v>
      </c>
      <c r="X95" t="s">
        <v>30</v>
      </c>
      <c r="Y95" t="s">
        <v>476</v>
      </c>
    </row>
    <row r="96" spans="1:25" ht="16" x14ac:dyDescent="0.2">
      <c r="A96" t="s">
        <v>474</v>
      </c>
      <c r="B96" t="s">
        <v>713</v>
      </c>
      <c r="C96" t="s">
        <v>474</v>
      </c>
      <c r="D96" t="s">
        <v>474</v>
      </c>
      <c r="E96" t="s">
        <v>55</v>
      </c>
      <c r="F96" t="s">
        <v>714</v>
      </c>
      <c r="G96" t="s">
        <v>727</v>
      </c>
      <c r="H96" t="s">
        <v>474</v>
      </c>
      <c r="I96" t="s">
        <v>728</v>
      </c>
      <c r="J96" t="s">
        <v>474</v>
      </c>
      <c r="K96" t="s">
        <v>474</v>
      </c>
      <c r="L96" t="s">
        <v>474</v>
      </c>
      <c r="M96" t="s">
        <v>474</v>
      </c>
      <c r="N96" t="s">
        <v>474</v>
      </c>
      <c r="O96" t="s">
        <v>474</v>
      </c>
      <c r="P96" t="s">
        <v>474</v>
      </c>
      <c r="Q96" t="s">
        <v>474</v>
      </c>
      <c r="R96" t="s">
        <v>474</v>
      </c>
      <c r="S96" t="s">
        <v>474</v>
      </c>
      <c r="T96" t="s">
        <v>474</v>
      </c>
      <c r="U96" t="s">
        <v>474</v>
      </c>
      <c r="V96" t="s">
        <v>614</v>
      </c>
      <c r="W96" t="s">
        <v>729</v>
      </c>
      <c r="X96" t="s">
        <v>30</v>
      </c>
      <c r="Y96" t="s">
        <v>476</v>
      </c>
    </row>
    <row r="97" spans="1:25" ht="16" x14ac:dyDescent="0.2">
      <c r="A97" t="s">
        <v>474</v>
      </c>
      <c r="B97" t="s">
        <v>730</v>
      </c>
      <c r="C97" t="s">
        <v>474</v>
      </c>
      <c r="D97" t="s">
        <v>474</v>
      </c>
      <c r="E97" t="s">
        <v>36</v>
      </c>
      <c r="F97" t="s">
        <v>731</v>
      </c>
      <c r="G97" t="s">
        <v>732</v>
      </c>
      <c r="H97" t="s">
        <v>474</v>
      </c>
      <c r="I97" t="s">
        <v>733</v>
      </c>
      <c r="J97" t="s">
        <v>474</v>
      </c>
      <c r="K97" t="s">
        <v>474</v>
      </c>
      <c r="L97" t="s">
        <v>474</v>
      </c>
      <c r="M97" t="s">
        <v>474</v>
      </c>
      <c r="N97" t="s">
        <v>474</v>
      </c>
      <c r="O97" t="s">
        <v>474</v>
      </c>
      <c r="P97" t="s">
        <v>474</v>
      </c>
      <c r="Q97" t="s">
        <v>474</v>
      </c>
      <c r="R97" t="s">
        <v>474</v>
      </c>
      <c r="S97" t="s">
        <v>474</v>
      </c>
      <c r="T97" t="s">
        <v>474</v>
      </c>
      <c r="U97" t="s">
        <v>474</v>
      </c>
      <c r="V97" t="s">
        <v>600</v>
      </c>
      <c r="W97" t="s">
        <v>734</v>
      </c>
      <c r="X97" t="s">
        <v>30</v>
      </c>
      <c r="Y97" t="s">
        <v>476</v>
      </c>
    </row>
    <row r="98" spans="1:25" ht="16" x14ac:dyDescent="0.2">
      <c r="A98" t="s">
        <v>474</v>
      </c>
      <c r="B98" t="s">
        <v>730</v>
      </c>
      <c r="C98" t="s">
        <v>474</v>
      </c>
      <c r="D98" t="s">
        <v>474</v>
      </c>
      <c r="E98" t="s">
        <v>43</v>
      </c>
      <c r="F98" t="s">
        <v>731</v>
      </c>
      <c r="G98" t="s">
        <v>735</v>
      </c>
      <c r="H98" t="s">
        <v>474</v>
      </c>
      <c r="I98" t="s">
        <v>736</v>
      </c>
      <c r="J98" t="s">
        <v>474</v>
      </c>
      <c r="K98" t="s">
        <v>474</v>
      </c>
      <c r="L98" t="s">
        <v>474</v>
      </c>
      <c r="M98" t="s">
        <v>474</v>
      </c>
      <c r="N98" t="s">
        <v>474</v>
      </c>
      <c r="O98" t="s">
        <v>474</v>
      </c>
      <c r="P98" t="s">
        <v>474</v>
      </c>
      <c r="Q98" t="s">
        <v>474</v>
      </c>
      <c r="R98" t="s">
        <v>474</v>
      </c>
      <c r="S98" t="s">
        <v>474</v>
      </c>
      <c r="T98" t="s">
        <v>474</v>
      </c>
      <c r="U98" t="s">
        <v>474</v>
      </c>
      <c r="V98" t="s">
        <v>604</v>
      </c>
      <c r="W98" t="s">
        <v>737</v>
      </c>
      <c r="X98" t="s">
        <v>30</v>
      </c>
      <c r="Y98" t="s">
        <v>476</v>
      </c>
    </row>
    <row r="99" spans="1:25" ht="16" x14ac:dyDescent="0.2">
      <c r="A99" t="s">
        <v>474</v>
      </c>
      <c r="B99" t="s">
        <v>730</v>
      </c>
      <c r="C99" t="s">
        <v>474</v>
      </c>
      <c r="D99" t="s">
        <v>474</v>
      </c>
      <c r="E99" t="s">
        <v>47</v>
      </c>
      <c r="F99" t="s">
        <v>731</v>
      </c>
      <c r="G99" t="s">
        <v>738</v>
      </c>
      <c r="H99" t="s">
        <v>474</v>
      </c>
      <c r="I99" t="s">
        <v>739</v>
      </c>
      <c r="J99" t="s">
        <v>474</v>
      </c>
      <c r="K99" t="s">
        <v>474</v>
      </c>
      <c r="L99" t="s">
        <v>474</v>
      </c>
      <c r="M99" t="s">
        <v>474</v>
      </c>
      <c r="N99" t="s">
        <v>474</v>
      </c>
      <c r="O99" t="s">
        <v>474</v>
      </c>
      <c r="P99" t="s">
        <v>474</v>
      </c>
      <c r="Q99" t="s">
        <v>474</v>
      </c>
      <c r="R99" t="s">
        <v>474</v>
      </c>
      <c r="S99" t="s">
        <v>474</v>
      </c>
      <c r="T99" t="s">
        <v>474</v>
      </c>
      <c r="U99" t="s">
        <v>474</v>
      </c>
      <c r="V99" t="s">
        <v>486</v>
      </c>
      <c r="W99" t="s">
        <v>740</v>
      </c>
      <c r="X99" t="s">
        <v>30</v>
      </c>
      <c r="Y99" t="s">
        <v>476</v>
      </c>
    </row>
    <row r="100" spans="1:25" ht="16" x14ac:dyDescent="0.2">
      <c r="A100" t="s">
        <v>474</v>
      </c>
      <c r="B100" t="s">
        <v>730</v>
      </c>
      <c r="C100" t="s">
        <v>474</v>
      </c>
      <c r="D100" t="s">
        <v>474</v>
      </c>
      <c r="E100" t="s">
        <v>51</v>
      </c>
      <c r="F100" t="s">
        <v>731</v>
      </c>
      <c r="G100" t="s">
        <v>741</v>
      </c>
      <c r="H100" t="s">
        <v>474</v>
      </c>
      <c r="I100" t="s">
        <v>742</v>
      </c>
      <c r="J100" t="s">
        <v>474</v>
      </c>
      <c r="K100" t="s">
        <v>474</v>
      </c>
      <c r="L100" t="s">
        <v>474</v>
      </c>
      <c r="M100" t="s">
        <v>474</v>
      </c>
      <c r="N100" t="s">
        <v>474</v>
      </c>
      <c r="O100" t="s">
        <v>474</v>
      </c>
      <c r="P100" t="s">
        <v>474</v>
      </c>
      <c r="Q100" t="s">
        <v>474</v>
      </c>
      <c r="R100" t="s">
        <v>474</v>
      </c>
      <c r="S100" t="s">
        <v>474</v>
      </c>
      <c r="T100" t="s">
        <v>474</v>
      </c>
      <c r="U100" t="s">
        <v>474</v>
      </c>
      <c r="V100" t="s">
        <v>604</v>
      </c>
      <c r="W100" t="s">
        <v>743</v>
      </c>
      <c r="X100" t="s">
        <v>30</v>
      </c>
      <c r="Y100" t="s">
        <v>476</v>
      </c>
    </row>
    <row r="101" spans="1:25" ht="16" x14ac:dyDescent="0.2">
      <c r="A101" t="s">
        <v>474</v>
      </c>
      <c r="B101" t="s">
        <v>730</v>
      </c>
      <c r="C101" t="s">
        <v>474</v>
      </c>
      <c r="D101" t="s">
        <v>474</v>
      </c>
      <c r="E101" t="s">
        <v>55</v>
      </c>
      <c r="F101" t="s">
        <v>731</v>
      </c>
      <c r="G101" t="s">
        <v>744</v>
      </c>
      <c r="H101" t="s">
        <v>474</v>
      </c>
      <c r="I101" t="s">
        <v>745</v>
      </c>
      <c r="J101" t="s">
        <v>474</v>
      </c>
      <c r="K101" t="s">
        <v>474</v>
      </c>
      <c r="L101" t="s">
        <v>474</v>
      </c>
      <c r="M101" t="s">
        <v>474</v>
      </c>
      <c r="N101" t="s">
        <v>474</v>
      </c>
      <c r="O101" t="s">
        <v>474</v>
      </c>
      <c r="P101" t="s">
        <v>474</v>
      </c>
      <c r="Q101" t="s">
        <v>474</v>
      </c>
      <c r="R101" t="s">
        <v>474</v>
      </c>
      <c r="S101" t="s">
        <v>474</v>
      </c>
      <c r="T101" t="s">
        <v>474</v>
      </c>
      <c r="U101" t="s">
        <v>474</v>
      </c>
      <c r="V101" t="s">
        <v>614</v>
      </c>
      <c r="W101" t="s">
        <v>746</v>
      </c>
      <c r="X101" t="s">
        <v>30</v>
      </c>
      <c r="Y101" t="s">
        <v>476</v>
      </c>
    </row>
    <row r="102" spans="1:25" ht="16" x14ac:dyDescent="0.2">
      <c r="A102" t="s">
        <v>474</v>
      </c>
      <c r="B102" t="s">
        <v>747</v>
      </c>
      <c r="C102" t="s">
        <v>474</v>
      </c>
      <c r="D102" t="s">
        <v>474</v>
      </c>
      <c r="E102" t="s">
        <v>36</v>
      </c>
      <c r="F102" t="s">
        <v>748</v>
      </c>
      <c r="G102" t="s">
        <v>749</v>
      </c>
      <c r="H102" t="s">
        <v>474</v>
      </c>
      <c r="I102" t="s">
        <v>750</v>
      </c>
      <c r="J102" t="s">
        <v>474</v>
      </c>
      <c r="K102" t="s">
        <v>474</v>
      </c>
      <c r="L102" t="s">
        <v>474</v>
      </c>
      <c r="M102" t="s">
        <v>474</v>
      </c>
      <c r="N102" t="s">
        <v>474</v>
      </c>
      <c r="O102" t="s">
        <v>474</v>
      </c>
      <c r="P102" t="s">
        <v>474</v>
      </c>
      <c r="Q102" t="s">
        <v>474</v>
      </c>
      <c r="R102" t="s">
        <v>474</v>
      </c>
      <c r="S102" t="s">
        <v>474</v>
      </c>
      <c r="T102" t="s">
        <v>474</v>
      </c>
      <c r="U102" t="s">
        <v>474</v>
      </c>
      <c r="V102" t="s">
        <v>600</v>
      </c>
      <c r="W102" t="s">
        <v>751</v>
      </c>
      <c r="X102" t="s">
        <v>30</v>
      </c>
      <c r="Y102" t="s">
        <v>476</v>
      </c>
    </row>
    <row r="103" spans="1:25" ht="16" x14ac:dyDescent="0.2">
      <c r="A103" t="s">
        <v>474</v>
      </c>
      <c r="B103" t="s">
        <v>747</v>
      </c>
      <c r="C103" t="s">
        <v>474</v>
      </c>
      <c r="D103" t="s">
        <v>474</v>
      </c>
      <c r="E103" t="s">
        <v>43</v>
      </c>
      <c r="F103" t="s">
        <v>748</v>
      </c>
      <c r="G103" t="s">
        <v>752</v>
      </c>
      <c r="H103" t="s">
        <v>474</v>
      </c>
      <c r="I103" t="s">
        <v>753</v>
      </c>
      <c r="J103" t="s">
        <v>474</v>
      </c>
      <c r="K103" t="s">
        <v>474</v>
      </c>
      <c r="L103" t="s">
        <v>474</v>
      </c>
      <c r="M103" t="s">
        <v>474</v>
      </c>
      <c r="N103" t="s">
        <v>474</v>
      </c>
      <c r="O103" t="s">
        <v>474</v>
      </c>
      <c r="P103" t="s">
        <v>474</v>
      </c>
      <c r="Q103" t="s">
        <v>474</v>
      </c>
      <c r="R103" t="s">
        <v>474</v>
      </c>
      <c r="S103" t="s">
        <v>474</v>
      </c>
      <c r="T103" t="s">
        <v>474</v>
      </c>
      <c r="U103" t="s">
        <v>474</v>
      </c>
      <c r="V103" t="s">
        <v>604</v>
      </c>
      <c r="W103" t="s">
        <v>754</v>
      </c>
      <c r="X103" t="s">
        <v>30</v>
      </c>
      <c r="Y103" t="s">
        <v>476</v>
      </c>
    </row>
    <row r="104" spans="1:25" ht="16" x14ac:dyDescent="0.2">
      <c r="A104" t="s">
        <v>474</v>
      </c>
      <c r="B104" t="s">
        <v>747</v>
      </c>
      <c r="C104" t="s">
        <v>474</v>
      </c>
      <c r="D104" t="s">
        <v>474</v>
      </c>
      <c r="E104" t="s">
        <v>47</v>
      </c>
      <c r="F104" t="s">
        <v>748</v>
      </c>
      <c r="G104" t="s">
        <v>755</v>
      </c>
      <c r="H104" t="s">
        <v>474</v>
      </c>
      <c r="I104" t="s">
        <v>756</v>
      </c>
      <c r="J104" t="s">
        <v>474</v>
      </c>
      <c r="K104" t="s">
        <v>474</v>
      </c>
      <c r="L104" t="s">
        <v>474</v>
      </c>
      <c r="M104" t="s">
        <v>474</v>
      </c>
      <c r="N104" t="s">
        <v>474</v>
      </c>
      <c r="O104" t="s">
        <v>474</v>
      </c>
      <c r="P104" t="s">
        <v>474</v>
      </c>
      <c r="Q104" t="s">
        <v>474</v>
      </c>
      <c r="R104" t="s">
        <v>474</v>
      </c>
      <c r="S104" t="s">
        <v>474</v>
      </c>
      <c r="T104" t="s">
        <v>474</v>
      </c>
      <c r="U104" t="s">
        <v>474</v>
      </c>
      <c r="V104" t="s">
        <v>486</v>
      </c>
      <c r="W104" t="s">
        <v>757</v>
      </c>
      <c r="X104" t="s">
        <v>30</v>
      </c>
      <c r="Y104" t="s">
        <v>476</v>
      </c>
    </row>
    <row r="105" spans="1:25" ht="16" x14ac:dyDescent="0.2">
      <c r="A105" t="s">
        <v>474</v>
      </c>
      <c r="B105" t="s">
        <v>747</v>
      </c>
      <c r="C105" t="s">
        <v>474</v>
      </c>
      <c r="D105" t="s">
        <v>474</v>
      </c>
      <c r="E105" t="s">
        <v>51</v>
      </c>
      <c r="F105" t="s">
        <v>748</v>
      </c>
      <c r="G105" t="s">
        <v>758</v>
      </c>
      <c r="H105" t="s">
        <v>474</v>
      </c>
      <c r="I105" t="s">
        <v>759</v>
      </c>
      <c r="J105" t="s">
        <v>474</v>
      </c>
      <c r="K105" t="s">
        <v>474</v>
      </c>
      <c r="L105" t="s">
        <v>474</v>
      </c>
      <c r="M105" t="s">
        <v>474</v>
      </c>
      <c r="N105" t="s">
        <v>474</v>
      </c>
      <c r="O105" t="s">
        <v>474</v>
      </c>
      <c r="P105" t="s">
        <v>474</v>
      </c>
      <c r="Q105" t="s">
        <v>474</v>
      </c>
      <c r="R105" t="s">
        <v>474</v>
      </c>
      <c r="S105" t="s">
        <v>474</v>
      </c>
      <c r="T105" t="s">
        <v>474</v>
      </c>
      <c r="U105" t="s">
        <v>474</v>
      </c>
      <c r="V105" t="s">
        <v>604</v>
      </c>
      <c r="W105" t="s">
        <v>760</v>
      </c>
      <c r="X105" t="s">
        <v>30</v>
      </c>
      <c r="Y105" t="s">
        <v>476</v>
      </c>
    </row>
    <row r="106" spans="1:25" ht="16" x14ac:dyDescent="0.2">
      <c r="A106" t="s">
        <v>474</v>
      </c>
      <c r="B106" t="s">
        <v>747</v>
      </c>
      <c r="C106" t="s">
        <v>474</v>
      </c>
      <c r="D106" t="s">
        <v>474</v>
      </c>
      <c r="E106" t="s">
        <v>55</v>
      </c>
      <c r="F106" t="s">
        <v>748</v>
      </c>
      <c r="G106" t="s">
        <v>761</v>
      </c>
      <c r="H106" t="s">
        <v>474</v>
      </c>
      <c r="I106" t="s">
        <v>762</v>
      </c>
      <c r="J106" t="s">
        <v>474</v>
      </c>
      <c r="K106" t="s">
        <v>474</v>
      </c>
      <c r="L106" t="s">
        <v>474</v>
      </c>
      <c r="M106" t="s">
        <v>474</v>
      </c>
      <c r="N106" t="s">
        <v>474</v>
      </c>
      <c r="O106" t="s">
        <v>474</v>
      </c>
      <c r="P106" t="s">
        <v>474</v>
      </c>
      <c r="Q106" t="s">
        <v>474</v>
      </c>
      <c r="R106" t="s">
        <v>474</v>
      </c>
      <c r="S106" t="s">
        <v>474</v>
      </c>
      <c r="T106" t="s">
        <v>474</v>
      </c>
      <c r="U106" t="s">
        <v>474</v>
      </c>
      <c r="V106" t="s">
        <v>614</v>
      </c>
      <c r="W106" t="s">
        <v>763</v>
      </c>
      <c r="X106" t="s">
        <v>30</v>
      </c>
      <c r="Y106" t="s">
        <v>476</v>
      </c>
    </row>
    <row r="107" spans="1:25" ht="16" x14ac:dyDescent="0.2">
      <c r="A107" t="s">
        <v>474</v>
      </c>
      <c r="B107" t="s">
        <v>764</v>
      </c>
      <c r="C107" t="s">
        <v>474</v>
      </c>
      <c r="D107" t="s">
        <v>474</v>
      </c>
      <c r="E107" t="s">
        <v>36</v>
      </c>
      <c r="F107" t="s">
        <v>765</v>
      </c>
      <c r="G107" t="s">
        <v>766</v>
      </c>
      <c r="H107" t="s">
        <v>474</v>
      </c>
      <c r="I107" t="s">
        <v>767</v>
      </c>
      <c r="J107" t="s">
        <v>474</v>
      </c>
      <c r="K107" t="s">
        <v>474</v>
      </c>
      <c r="L107" t="s">
        <v>474</v>
      </c>
      <c r="M107" t="s">
        <v>474</v>
      </c>
      <c r="N107" t="s">
        <v>474</v>
      </c>
      <c r="O107" t="s">
        <v>474</v>
      </c>
      <c r="P107" t="s">
        <v>474</v>
      </c>
      <c r="Q107" t="s">
        <v>474</v>
      </c>
      <c r="R107" t="s">
        <v>474</v>
      </c>
      <c r="S107" t="s">
        <v>474</v>
      </c>
      <c r="T107" t="s">
        <v>474</v>
      </c>
      <c r="U107" t="s">
        <v>474</v>
      </c>
      <c r="V107" t="s">
        <v>600</v>
      </c>
      <c r="W107" t="s">
        <v>768</v>
      </c>
      <c r="X107" t="s">
        <v>30</v>
      </c>
      <c r="Y107" t="s">
        <v>476</v>
      </c>
    </row>
    <row r="108" spans="1:25" ht="16" x14ac:dyDescent="0.2">
      <c r="A108" t="s">
        <v>474</v>
      </c>
      <c r="B108" t="s">
        <v>764</v>
      </c>
      <c r="C108" t="s">
        <v>474</v>
      </c>
      <c r="D108" t="s">
        <v>474</v>
      </c>
      <c r="E108" t="s">
        <v>43</v>
      </c>
      <c r="F108" t="s">
        <v>765</v>
      </c>
      <c r="G108" t="s">
        <v>769</v>
      </c>
      <c r="H108" t="s">
        <v>474</v>
      </c>
      <c r="I108" t="s">
        <v>770</v>
      </c>
      <c r="J108" t="s">
        <v>474</v>
      </c>
      <c r="K108" t="s">
        <v>474</v>
      </c>
      <c r="L108" t="s">
        <v>474</v>
      </c>
      <c r="M108" t="s">
        <v>474</v>
      </c>
      <c r="N108" t="s">
        <v>474</v>
      </c>
      <c r="O108" t="s">
        <v>474</v>
      </c>
      <c r="P108" t="s">
        <v>474</v>
      </c>
      <c r="Q108" t="s">
        <v>474</v>
      </c>
      <c r="R108" t="s">
        <v>474</v>
      </c>
      <c r="S108" t="s">
        <v>474</v>
      </c>
      <c r="T108" t="s">
        <v>474</v>
      </c>
      <c r="U108" t="s">
        <v>474</v>
      </c>
      <c r="V108" t="s">
        <v>604</v>
      </c>
      <c r="W108" t="s">
        <v>771</v>
      </c>
      <c r="X108" t="s">
        <v>30</v>
      </c>
      <c r="Y108" t="s">
        <v>476</v>
      </c>
    </row>
    <row r="109" spans="1:25" ht="16" x14ac:dyDescent="0.2">
      <c r="A109" t="s">
        <v>474</v>
      </c>
      <c r="B109" t="s">
        <v>764</v>
      </c>
      <c r="C109" t="s">
        <v>474</v>
      </c>
      <c r="D109" t="s">
        <v>474</v>
      </c>
      <c r="E109" t="s">
        <v>47</v>
      </c>
      <c r="F109" t="s">
        <v>765</v>
      </c>
      <c r="G109" t="s">
        <v>772</v>
      </c>
      <c r="H109" t="s">
        <v>474</v>
      </c>
      <c r="I109" t="s">
        <v>773</v>
      </c>
      <c r="J109" t="s">
        <v>474</v>
      </c>
      <c r="K109" t="s">
        <v>474</v>
      </c>
      <c r="L109" t="s">
        <v>474</v>
      </c>
      <c r="M109" t="s">
        <v>474</v>
      </c>
      <c r="N109" t="s">
        <v>474</v>
      </c>
      <c r="O109" t="s">
        <v>474</v>
      </c>
      <c r="P109" t="s">
        <v>474</v>
      </c>
      <c r="Q109" t="s">
        <v>474</v>
      </c>
      <c r="R109" t="s">
        <v>474</v>
      </c>
      <c r="S109" t="s">
        <v>474</v>
      </c>
      <c r="T109" t="s">
        <v>474</v>
      </c>
      <c r="U109" t="s">
        <v>474</v>
      </c>
      <c r="V109" t="s">
        <v>486</v>
      </c>
      <c r="W109" t="s">
        <v>774</v>
      </c>
      <c r="X109" t="s">
        <v>30</v>
      </c>
      <c r="Y109" t="s">
        <v>476</v>
      </c>
    </row>
    <row r="110" spans="1:25" ht="16" x14ac:dyDescent="0.2">
      <c r="A110" t="s">
        <v>474</v>
      </c>
      <c r="B110" t="s">
        <v>764</v>
      </c>
      <c r="C110" t="s">
        <v>474</v>
      </c>
      <c r="D110" t="s">
        <v>474</v>
      </c>
      <c r="E110" t="s">
        <v>51</v>
      </c>
      <c r="F110" t="s">
        <v>765</v>
      </c>
      <c r="G110" t="s">
        <v>775</v>
      </c>
      <c r="H110" t="s">
        <v>474</v>
      </c>
      <c r="I110" t="s">
        <v>776</v>
      </c>
      <c r="J110" t="s">
        <v>474</v>
      </c>
      <c r="K110" t="s">
        <v>474</v>
      </c>
      <c r="L110" t="s">
        <v>474</v>
      </c>
      <c r="M110" t="s">
        <v>474</v>
      </c>
      <c r="N110" t="s">
        <v>474</v>
      </c>
      <c r="O110" t="s">
        <v>474</v>
      </c>
      <c r="P110" t="s">
        <v>474</v>
      </c>
      <c r="Q110" t="s">
        <v>474</v>
      </c>
      <c r="R110" t="s">
        <v>474</v>
      </c>
      <c r="S110" t="s">
        <v>474</v>
      </c>
      <c r="T110" t="s">
        <v>474</v>
      </c>
      <c r="U110" t="s">
        <v>474</v>
      </c>
      <c r="V110" t="s">
        <v>604</v>
      </c>
      <c r="W110" t="s">
        <v>777</v>
      </c>
      <c r="X110" t="s">
        <v>30</v>
      </c>
      <c r="Y110" t="s">
        <v>476</v>
      </c>
    </row>
    <row r="111" spans="1:25" ht="16" x14ac:dyDescent="0.2">
      <c r="A111" t="s">
        <v>474</v>
      </c>
      <c r="B111" t="s">
        <v>764</v>
      </c>
      <c r="C111" t="s">
        <v>474</v>
      </c>
      <c r="D111" t="s">
        <v>474</v>
      </c>
      <c r="E111" t="s">
        <v>55</v>
      </c>
      <c r="F111" t="s">
        <v>765</v>
      </c>
      <c r="G111" t="s">
        <v>778</v>
      </c>
      <c r="H111" t="s">
        <v>474</v>
      </c>
      <c r="I111" t="s">
        <v>779</v>
      </c>
      <c r="J111" t="s">
        <v>474</v>
      </c>
      <c r="K111" t="s">
        <v>474</v>
      </c>
      <c r="L111" t="s">
        <v>474</v>
      </c>
      <c r="M111" t="s">
        <v>474</v>
      </c>
      <c r="N111" t="s">
        <v>474</v>
      </c>
      <c r="O111" t="s">
        <v>474</v>
      </c>
      <c r="P111" t="s">
        <v>474</v>
      </c>
      <c r="Q111" t="s">
        <v>474</v>
      </c>
      <c r="R111" t="s">
        <v>474</v>
      </c>
      <c r="S111" t="s">
        <v>474</v>
      </c>
      <c r="T111" t="s">
        <v>474</v>
      </c>
      <c r="U111" t="s">
        <v>474</v>
      </c>
      <c r="V111" t="s">
        <v>614</v>
      </c>
      <c r="W111" t="s">
        <v>780</v>
      </c>
      <c r="X111" t="s">
        <v>30</v>
      </c>
      <c r="Y111" t="s">
        <v>476</v>
      </c>
    </row>
    <row r="112" spans="1:25" ht="16" x14ac:dyDescent="0.2">
      <c r="A112" t="s">
        <v>474</v>
      </c>
      <c r="B112" t="s">
        <v>781</v>
      </c>
      <c r="C112" t="s">
        <v>474</v>
      </c>
      <c r="D112" t="s">
        <v>474</v>
      </c>
      <c r="E112" t="s">
        <v>36</v>
      </c>
      <c r="F112" t="s">
        <v>714</v>
      </c>
      <c r="G112" t="s">
        <v>715</v>
      </c>
      <c r="H112" t="s">
        <v>474</v>
      </c>
      <c r="I112" t="s">
        <v>716</v>
      </c>
      <c r="J112" t="s">
        <v>474</v>
      </c>
      <c r="K112" t="s">
        <v>474</v>
      </c>
      <c r="L112" t="s">
        <v>474</v>
      </c>
      <c r="M112" t="s">
        <v>474</v>
      </c>
      <c r="N112" t="s">
        <v>474</v>
      </c>
      <c r="O112" t="s">
        <v>474</v>
      </c>
      <c r="P112" t="s">
        <v>474</v>
      </c>
      <c r="Q112" t="s">
        <v>474</v>
      </c>
      <c r="R112" t="s">
        <v>474</v>
      </c>
      <c r="S112" t="s">
        <v>474</v>
      </c>
      <c r="T112" t="s">
        <v>474</v>
      </c>
      <c r="U112" t="s">
        <v>474</v>
      </c>
      <c r="V112" t="s">
        <v>519</v>
      </c>
      <c r="W112" t="s">
        <v>717</v>
      </c>
      <c r="X112" t="s">
        <v>59</v>
      </c>
      <c r="Y112" t="s">
        <v>479</v>
      </c>
    </row>
    <row r="113" spans="1:25" ht="16" x14ac:dyDescent="0.2">
      <c r="A113" t="s">
        <v>474</v>
      </c>
      <c r="B113" t="s">
        <v>781</v>
      </c>
      <c r="C113" t="s">
        <v>474</v>
      </c>
      <c r="D113" t="s">
        <v>474</v>
      </c>
      <c r="E113" t="s">
        <v>43</v>
      </c>
      <c r="F113" t="s">
        <v>714</v>
      </c>
      <c r="G113" t="s">
        <v>718</v>
      </c>
      <c r="H113" t="s">
        <v>474</v>
      </c>
      <c r="I113" t="s">
        <v>719</v>
      </c>
      <c r="J113" t="s">
        <v>474</v>
      </c>
      <c r="K113" t="s">
        <v>474</v>
      </c>
      <c r="L113" t="s">
        <v>474</v>
      </c>
      <c r="M113" t="s">
        <v>474</v>
      </c>
      <c r="N113" t="s">
        <v>474</v>
      </c>
      <c r="O113" t="s">
        <v>474</v>
      </c>
      <c r="P113" t="s">
        <v>474</v>
      </c>
      <c r="Q113" t="s">
        <v>474</v>
      </c>
      <c r="R113" t="s">
        <v>474</v>
      </c>
      <c r="S113" t="s">
        <v>474</v>
      </c>
      <c r="T113" t="s">
        <v>474</v>
      </c>
      <c r="U113" t="s">
        <v>474</v>
      </c>
      <c r="V113" t="s">
        <v>682</v>
      </c>
      <c r="W113" t="s">
        <v>720</v>
      </c>
      <c r="X113" t="s">
        <v>59</v>
      </c>
      <c r="Y113" t="s">
        <v>479</v>
      </c>
    </row>
    <row r="114" spans="1:25" ht="16" x14ac:dyDescent="0.2">
      <c r="A114" t="s">
        <v>474</v>
      </c>
      <c r="B114" t="s">
        <v>781</v>
      </c>
      <c r="C114" t="s">
        <v>474</v>
      </c>
      <c r="D114" t="s">
        <v>474</v>
      </c>
      <c r="E114" t="s">
        <v>47</v>
      </c>
      <c r="F114" t="s">
        <v>714</v>
      </c>
      <c r="G114" t="s">
        <v>721</v>
      </c>
      <c r="H114" t="s">
        <v>474</v>
      </c>
      <c r="I114" t="s">
        <v>722</v>
      </c>
      <c r="J114" t="s">
        <v>474</v>
      </c>
      <c r="K114" t="s">
        <v>474</v>
      </c>
      <c r="L114" t="s">
        <v>474</v>
      </c>
      <c r="M114" t="s">
        <v>474</v>
      </c>
      <c r="N114" t="s">
        <v>474</v>
      </c>
      <c r="O114" t="s">
        <v>474</v>
      </c>
      <c r="P114" t="s">
        <v>474</v>
      </c>
      <c r="Q114" t="s">
        <v>474</v>
      </c>
      <c r="R114" t="s">
        <v>474</v>
      </c>
      <c r="S114" t="s">
        <v>474</v>
      </c>
      <c r="T114" t="s">
        <v>474</v>
      </c>
      <c r="U114" t="s">
        <v>474</v>
      </c>
      <c r="V114" t="s">
        <v>478</v>
      </c>
      <c r="W114" t="s">
        <v>723</v>
      </c>
      <c r="X114" t="s">
        <v>59</v>
      </c>
      <c r="Y114" t="s">
        <v>479</v>
      </c>
    </row>
    <row r="115" spans="1:25" ht="16" x14ac:dyDescent="0.2">
      <c r="A115" t="s">
        <v>474</v>
      </c>
      <c r="B115" t="s">
        <v>781</v>
      </c>
      <c r="C115" t="s">
        <v>474</v>
      </c>
      <c r="D115" t="s">
        <v>474</v>
      </c>
      <c r="E115" t="s">
        <v>51</v>
      </c>
      <c r="F115" t="s">
        <v>714</v>
      </c>
      <c r="G115" t="s">
        <v>724</v>
      </c>
      <c r="H115" t="s">
        <v>474</v>
      </c>
      <c r="I115" t="s">
        <v>725</v>
      </c>
      <c r="J115" t="s">
        <v>474</v>
      </c>
      <c r="K115" t="s">
        <v>474</v>
      </c>
      <c r="L115" t="s">
        <v>474</v>
      </c>
      <c r="M115" t="s">
        <v>474</v>
      </c>
      <c r="N115" t="s">
        <v>474</v>
      </c>
      <c r="O115" t="s">
        <v>474</v>
      </c>
      <c r="P115" t="s">
        <v>474</v>
      </c>
      <c r="Q115" t="s">
        <v>474</v>
      </c>
      <c r="R115" t="s">
        <v>474</v>
      </c>
      <c r="S115" t="s">
        <v>474</v>
      </c>
      <c r="T115" t="s">
        <v>474</v>
      </c>
      <c r="U115" t="s">
        <v>474</v>
      </c>
      <c r="V115" t="s">
        <v>682</v>
      </c>
      <c r="W115" t="s">
        <v>726</v>
      </c>
      <c r="X115" t="s">
        <v>59</v>
      </c>
      <c r="Y115" t="s">
        <v>479</v>
      </c>
    </row>
    <row r="116" spans="1:25" ht="16" x14ac:dyDescent="0.2">
      <c r="A116" t="s">
        <v>474</v>
      </c>
      <c r="B116" t="s">
        <v>781</v>
      </c>
      <c r="C116" t="s">
        <v>474</v>
      </c>
      <c r="D116" t="s">
        <v>474</v>
      </c>
      <c r="E116" t="s">
        <v>55</v>
      </c>
      <c r="F116" t="s">
        <v>714</v>
      </c>
      <c r="G116" t="s">
        <v>727</v>
      </c>
      <c r="H116" t="s">
        <v>474</v>
      </c>
      <c r="I116" t="s">
        <v>728</v>
      </c>
      <c r="J116" t="s">
        <v>474</v>
      </c>
      <c r="K116" t="s">
        <v>474</v>
      </c>
      <c r="L116" t="s">
        <v>474</v>
      </c>
      <c r="M116" t="s">
        <v>474</v>
      </c>
      <c r="N116" t="s">
        <v>474</v>
      </c>
      <c r="O116" t="s">
        <v>474</v>
      </c>
      <c r="P116" t="s">
        <v>474</v>
      </c>
      <c r="Q116" t="s">
        <v>474</v>
      </c>
      <c r="R116" t="s">
        <v>474</v>
      </c>
      <c r="S116" t="s">
        <v>474</v>
      </c>
      <c r="T116" t="s">
        <v>474</v>
      </c>
      <c r="U116" t="s">
        <v>474</v>
      </c>
      <c r="V116" t="s">
        <v>683</v>
      </c>
      <c r="W116" t="s">
        <v>729</v>
      </c>
      <c r="X116" t="s">
        <v>59</v>
      </c>
      <c r="Y116" t="s">
        <v>479</v>
      </c>
    </row>
    <row r="117" spans="1:25" ht="16" x14ac:dyDescent="0.2">
      <c r="A117" t="s">
        <v>474</v>
      </c>
      <c r="B117" t="s">
        <v>782</v>
      </c>
      <c r="C117" t="s">
        <v>474</v>
      </c>
      <c r="D117" t="s">
        <v>474</v>
      </c>
      <c r="E117" t="s">
        <v>36</v>
      </c>
      <c r="F117" t="s">
        <v>783</v>
      </c>
      <c r="G117" t="s">
        <v>784</v>
      </c>
      <c r="H117" t="s">
        <v>474</v>
      </c>
      <c r="I117" t="s">
        <v>785</v>
      </c>
      <c r="J117" t="s">
        <v>474</v>
      </c>
      <c r="K117" t="s">
        <v>474</v>
      </c>
      <c r="L117" t="s">
        <v>474</v>
      </c>
      <c r="M117" t="s">
        <v>474</v>
      </c>
      <c r="N117" t="s">
        <v>474</v>
      </c>
      <c r="O117" t="s">
        <v>474</v>
      </c>
      <c r="P117" t="s">
        <v>474</v>
      </c>
      <c r="Q117" t="s">
        <v>474</v>
      </c>
      <c r="R117" t="s">
        <v>474</v>
      </c>
      <c r="S117" t="s">
        <v>474</v>
      </c>
      <c r="T117" t="s">
        <v>474</v>
      </c>
      <c r="U117" t="s">
        <v>474</v>
      </c>
      <c r="V117" t="s">
        <v>600</v>
      </c>
      <c r="W117" t="s">
        <v>786</v>
      </c>
      <c r="X117" t="s">
        <v>30</v>
      </c>
      <c r="Y117" t="s">
        <v>476</v>
      </c>
    </row>
    <row r="118" spans="1:25" ht="16" x14ac:dyDescent="0.2">
      <c r="A118" t="s">
        <v>474</v>
      </c>
      <c r="B118" t="s">
        <v>782</v>
      </c>
      <c r="C118" t="s">
        <v>474</v>
      </c>
      <c r="D118" t="s">
        <v>474</v>
      </c>
      <c r="E118" t="s">
        <v>43</v>
      </c>
      <c r="F118" t="s">
        <v>783</v>
      </c>
      <c r="G118" t="s">
        <v>787</v>
      </c>
      <c r="H118" t="s">
        <v>474</v>
      </c>
      <c r="I118" t="s">
        <v>788</v>
      </c>
      <c r="J118" t="s">
        <v>474</v>
      </c>
      <c r="K118" t="s">
        <v>474</v>
      </c>
      <c r="L118" t="s">
        <v>474</v>
      </c>
      <c r="M118" t="s">
        <v>474</v>
      </c>
      <c r="N118" t="s">
        <v>474</v>
      </c>
      <c r="O118" t="s">
        <v>474</v>
      </c>
      <c r="P118" t="s">
        <v>474</v>
      </c>
      <c r="Q118" t="s">
        <v>474</v>
      </c>
      <c r="R118" t="s">
        <v>474</v>
      </c>
      <c r="S118" t="s">
        <v>474</v>
      </c>
      <c r="T118" t="s">
        <v>474</v>
      </c>
      <c r="U118" t="s">
        <v>474</v>
      </c>
      <c r="V118" t="s">
        <v>604</v>
      </c>
      <c r="W118" t="s">
        <v>789</v>
      </c>
      <c r="X118" t="s">
        <v>30</v>
      </c>
      <c r="Y118" t="s">
        <v>476</v>
      </c>
    </row>
    <row r="119" spans="1:25" ht="16" x14ac:dyDescent="0.2">
      <c r="A119" t="s">
        <v>474</v>
      </c>
      <c r="B119" t="s">
        <v>782</v>
      </c>
      <c r="C119" t="s">
        <v>474</v>
      </c>
      <c r="D119" t="s">
        <v>474</v>
      </c>
      <c r="E119" t="s">
        <v>47</v>
      </c>
      <c r="F119" t="s">
        <v>783</v>
      </c>
      <c r="G119" t="s">
        <v>790</v>
      </c>
      <c r="H119" t="s">
        <v>474</v>
      </c>
      <c r="I119" t="s">
        <v>791</v>
      </c>
      <c r="J119" t="s">
        <v>474</v>
      </c>
      <c r="K119" t="s">
        <v>474</v>
      </c>
      <c r="L119" t="s">
        <v>474</v>
      </c>
      <c r="M119" t="s">
        <v>474</v>
      </c>
      <c r="N119" t="s">
        <v>474</v>
      </c>
      <c r="O119" t="s">
        <v>474</v>
      </c>
      <c r="P119" t="s">
        <v>474</v>
      </c>
      <c r="Q119" t="s">
        <v>474</v>
      </c>
      <c r="R119" t="s">
        <v>474</v>
      </c>
      <c r="S119" t="s">
        <v>474</v>
      </c>
      <c r="T119" t="s">
        <v>474</v>
      </c>
      <c r="U119" t="s">
        <v>474</v>
      </c>
      <c r="V119" t="s">
        <v>486</v>
      </c>
      <c r="W119" t="s">
        <v>792</v>
      </c>
      <c r="X119" t="s">
        <v>30</v>
      </c>
      <c r="Y119" t="s">
        <v>476</v>
      </c>
    </row>
    <row r="120" spans="1:25" ht="16" x14ac:dyDescent="0.2">
      <c r="A120" t="s">
        <v>474</v>
      </c>
      <c r="B120" t="s">
        <v>782</v>
      </c>
      <c r="C120" t="s">
        <v>474</v>
      </c>
      <c r="D120" t="s">
        <v>474</v>
      </c>
      <c r="E120" t="s">
        <v>51</v>
      </c>
      <c r="F120" t="s">
        <v>783</v>
      </c>
      <c r="G120" t="s">
        <v>793</v>
      </c>
      <c r="H120" t="s">
        <v>474</v>
      </c>
      <c r="I120" t="s">
        <v>794</v>
      </c>
      <c r="J120" t="s">
        <v>474</v>
      </c>
      <c r="K120" t="s">
        <v>474</v>
      </c>
      <c r="L120" t="s">
        <v>474</v>
      </c>
      <c r="M120" t="s">
        <v>474</v>
      </c>
      <c r="N120" t="s">
        <v>474</v>
      </c>
      <c r="O120" t="s">
        <v>474</v>
      </c>
      <c r="P120" t="s">
        <v>474</v>
      </c>
      <c r="Q120" t="s">
        <v>474</v>
      </c>
      <c r="R120" t="s">
        <v>474</v>
      </c>
      <c r="S120" t="s">
        <v>474</v>
      </c>
      <c r="T120" t="s">
        <v>474</v>
      </c>
      <c r="U120" t="s">
        <v>474</v>
      </c>
      <c r="V120" t="s">
        <v>604</v>
      </c>
      <c r="W120" t="s">
        <v>795</v>
      </c>
      <c r="X120" t="s">
        <v>30</v>
      </c>
      <c r="Y120" t="s">
        <v>476</v>
      </c>
    </row>
    <row r="121" spans="1:25" ht="16" x14ac:dyDescent="0.2">
      <c r="A121" t="s">
        <v>474</v>
      </c>
      <c r="B121" t="s">
        <v>782</v>
      </c>
      <c r="C121" t="s">
        <v>474</v>
      </c>
      <c r="D121" t="s">
        <v>474</v>
      </c>
      <c r="E121" t="s">
        <v>55</v>
      </c>
      <c r="F121" t="s">
        <v>783</v>
      </c>
      <c r="G121" t="s">
        <v>796</v>
      </c>
      <c r="H121" t="s">
        <v>474</v>
      </c>
      <c r="I121" t="s">
        <v>797</v>
      </c>
      <c r="J121" t="s">
        <v>474</v>
      </c>
      <c r="K121" t="s">
        <v>474</v>
      </c>
      <c r="L121" t="s">
        <v>474</v>
      </c>
      <c r="M121" t="s">
        <v>474</v>
      </c>
      <c r="N121" t="s">
        <v>474</v>
      </c>
      <c r="O121" t="s">
        <v>474</v>
      </c>
      <c r="P121" t="s">
        <v>474</v>
      </c>
      <c r="Q121" t="s">
        <v>474</v>
      </c>
      <c r="R121" t="s">
        <v>474</v>
      </c>
      <c r="S121" t="s">
        <v>474</v>
      </c>
      <c r="T121" t="s">
        <v>474</v>
      </c>
      <c r="U121" t="s">
        <v>474</v>
      </c>
      <c r="V121" t="s">
        <v>614</v>
      </c>
      <c r="W121" t="s">
        <v>798</v>
      </c>
      <c r="X121" t="s">
        <v>30</v>
      </c>
      <c r="Y121" t="s">
        <v>476</v>
      </c>
    </row>
    <row r="122" spans="1:25" ht="16" x14ac:dyDescent="0.2">
      <c r="A122" t="s">
        <v>474</v>
      </c>
      <c r="B122" t="s">
        <v>799</v>
      </c>
      <c r="C122" t="s">
        <v>474</v>
      </c>
      <c r="D122" t="s">
        <v>474</v>
      </c>
      <c r="E122" t="s">
        <v>36</v>
      </c>
      <c r="F122" t="s">
        <v>800</v>
      </c>
      <c r="G122" t="s">
        <v>801</v>
      </c>
      <c r="H122" t="s">
        <v>474</v>
      </c>
      <c r="I122" t="s">
        <v>802</v>
      </c>
      <c r="J122" t="s">
        <v>474</v>
      </c>
      <c r="K122" t="s">
        <v>474</v>
      </c>
      <c r="L122" t="s">
        <v>474</v>
      </c>
      <c r="M122" t="s">
        <v>474</v>
      </c>
      <c r="N122" t="s">
        <v>474</v>
      </c>
      <c r="O122" t="s">
        <v>474</v>
      </c>
      <c r="P122" t="s">
        <v>474</v>
      </c>
      <c r="Q122" t="s">
        <v>474</v>
      </c>
      <c r="R122" t="s">
        <v>474</v>
      </c>
      <c r="S122" t="s">
        <v>474</v>
      </c>
      <c r="T122" t="s">
        <v>474</v>
      </c>
      <c r="U122" t="s">
        <v>474</v>
      </c>
      <c r="V122" t="s">
        <v>600</v>
      </c>
      <c r="W122" t="s">
        <v>803</v>
      </c>
      <c r="X122" t="s">
        <v>30</v>
      </c>
      <c r="Y122" t="s">
        <v>476</v>
      </c>
    </row>
    <row r="123" spans="1:25" ht="16" x14ac:dyDescent="0.2">
      <c r="A123" t="s">
        <v>474</v>
      </c>
      <c r="B123" t="s">
        <v>799</v>
      </c>
      <c r="C123" t="s">
        <v>474</v>
      </c>
      <c r="D123" t="s">
        <v>474</v>
      </c>
      <c r="E123" t="s">
        <v>43</v>
      </c>
      <c r="F123" t="s">
        <v>800</v>
      </c>
      <c r="G123" t="s">
        <v>804</v>
      </c>
      <c r="H123" t="s">
        <v>474</v>
      </c>
      <c r="I123" t="s">
        <v>805</v>
      </c>
      <c r="J123" t="s">
        <v>474</v>
      </c>
      <c r="K123" t="s">
        <v>474</v>
      </c>
      <c r="L123" t="s">
        <v>474</v>
      </c>
      <c r="M123" t="s">
        <v>474</v>
      </c>
      <c r="N123" t="s">
        <v>474</v>
      </c>
      <c r="O123" t="s">
        <v>474</v>
      </c>
      <c r="P123" t="s">
        <v>474</v>
      </c>
      <c r="Q123" t="s">
        <v>474</v>
      </c>
      <c r="R123" t="s">
        <v>474</v>
      </c>
      <c r="S123" t="s">
        <v>474</v>
      </c>
      <c r="T123" t="s">
        <v>474</v>
      </c>
      <c r="U123" t="s">
        <v>474</v>
      </c>
      <c r="V123" t="s">
        <v>604</v>
      </c>
      <c r="W123" t="s">
        <v>806</v>
      </c>
      <c r="X123" t="s">
        <v>30</v>
      </c>
      <c r="Y123" t="s">
        <v>476</v>
      </c>
    </row>
    <row r="124" spans="1:25" ht="16" x14ac:dyDescent="0.2">
      <c r="A124" t="s">
        <v>474</v>
      </c>
      <c r="B124" t="s">
        <v>799</v>
      </c>
      <c r="C124" t="s">
        <v>474</v>
      </c>
      <c r="D124" t="s">
        <v>474</v>
      </c>
      <c r="E124" t="s">
        <v>47</v>
      </c>
      <c r="F124" t="s">
        <v>800</v>
      </c>
      <c r="G124" t="s">
        <v>807</v>
      </c>
      <c r="H124" t="s">
        <v>474</v>
      </c>
      <c r="I124" t="s">
        <v>808</v>
      </c>
      <c r="J124" t="s">
        <v>474</v>
      </c>
      <c r="K124" t="s">
        <v>474</v>
      </c>
      <c r="L124" t="s">
        <v>474</v>
      </c>
      <c r="M124" t="s">
        <v>474</v>
      </c>
      <c r="N124" t="s">
        <v>474</v>
      </c>
      <c r="O124" t="s">
        <v>474</v>
      </c>
      <c r="P124" t="s">
        <v>474</v>
      </c>
      <c r="Q124" t="s">
        <v>474</v>
      </c>
      <c r="R124" t="s">
        <v>474</v>
      </c>
      <c r="S124" t="s">
        <v>474</v>
      </c>
      <c r="T124" t="s">
        <v>474</v>
      </c>
      <c r="U124" t="s">
        <v>474</v>
      </c>
      <c r="V124" t="s">
        <v>486</v>
      </c>
      <c r="W124" t="s">
        <v>809</v>
      </c>
      <c r="X124" t="s">
        <v>30</v>
      </c>
      <c r="Y124" t="s">
        <v>476</v>
      </c>
    </row>
    <row r="125" spans="1:25" ht="16" x14ac:dyDescent="0.2">
      <c r="A125" t="s">
        <v>474</v>
      </c>
      <c r="B125" t="s">
        <v>799</v>
      </c>
      <c r="C125" t="s">
        <v>474</v>
      </c>
      <c r="D125" t="s">
        <v>474</v>
      </c>
      <c r="E125" t="s">
        <v>51</v>
      </c>
      <c r="F125" t="s">
        <v>800</v>
      </c>
      <c r="G125" t="s">
        <v>810</v>
      </c>
      <c r="H125" t="s">
        <v>474</v>
      </c>
      <c r="I125" t="s">
        <v>811</v>
      </c>
      <c r="J125" t="s">
        <v>474</v>
      </c>
      <c r="K125" t="s">
        <v>474</v>
      </c>
      <c r="L125" t="s">
        <v>474</v>
      </c>
      <c r="M125" t="s">
        <v>474</v>
      </c>
      <c r="N125" t="s">
        <v>474</v>
      </c>
      <c r="O125" t="s">
        <v>474</v>
      </c>
      <c r="P125" t="s">
        <v>474</v>
      </c>
      <c r="Q125" t="s">
        <v>474</v>
      </c>
      <c r="R125" t="s">
        <v>474</v>
      </c>
      <c r="S125" t="s">
        <v>474</v>
      </c>
      <c r="T125" t="s">
        <v>474</v>
      </c>
      <c r="U125" t="s">
        <v>474</v>
      </c>
      <c r="V125" t="s">
        <v>604</v>
      </c>
      <c r="W125" t="s">
        <v>812</v>
      </c>
      <c r="X125" t="s">
        <v>30</v>
      </c>
      <c r="Y125" t="s">
        <v>476</v>
      </c>
    </row>
    <row r="126" spans="1:25" ht="16" x14ac:dyDescent="0.2">
      <c r="A126" t="s">
        <v>474</v>
      </c>
      <c r="B126" t="s">
        <v>799</v>
      </c>
      <c r="C126" t="s">
        <v>474</v>
      </c>
      <c r="D126" t="s">
        <v>474</v>
      </c>
      <c r="E126" t="s">
        <v>55</v>
      </c>
      <c r="F126" t="s">
        <v>800</v>
      </c>
      <c r="G126" t="s">
        <v>813</v>
      </c>
      <c r="H126" t="s">
        <v>474</v>
      </c>
      <c r="I126" t="s">
        <v>814</v>
      </c>
      <c r="J126" t="s">
        <v>474</v>
      </c>
      <c r="K126" t="s">
        <v>474</v>
      </c>
      <c r="L126" t="s">
        <v>474</v>
      </c>
      <c r="M126" t="s">
        <v>474</v>
      </c>
      <c r="N126" t="s">
        <v>474</v>
      </c>
      <c r="O126" t="s">
        <v>474</v>
      </c>
      <c r="P126" t="s">
        <v>474</v>
      </c>
      <c r="Q126" t="s">
        <v>474</v>
      </c>
      <c r="R126" t="s">
        <v>474</v>
      </c>
      <c r="S126" t="s">
        <v>474</v>
      </c>
      <c r="T126" t="s">
        <v>474</v>
      </c>
      <c r="U126" t="s">
        <v>474</v>
      </c>
      <c r="V126" t="s">
        <v>614</v>
      </c>
      <c r="W126" t="s">
        <v>815</v>
      </c>
      <c r="X126" t="s">
        <v>30</v>
      </c>
      <c r="Y126" t="s">
        <v>476</v>
      </c>
    </row>
    <row r="127" spans="1:25" ht="16" x14ac:dyDescent="0.2">
      <c r="A127" t="s">
        <v>474</v>
      </c>
      <c r="B127" t="s">
        <v>816</v>
      </c>
      <c r="C127" t="s">
        <v>474</v>
      </c>
      <c r="D127" t="s">
        <v>474</v>
      </c>
      <c r="E127" t="s">
        <v>36</v>
      </c>
      <c r="F127" t="s">
        <v>731</v>
      </c>
      <c r="G127" t="s">
        <v>732</v>
      </c>
      <c r="H127" t="s">
        <v>474</v>
      </c>
      <c r="I127" t="s">
        <v>733</v>
      </c>
      <c r="J127" t="s">
        <v>474</v>
      </c>
      <c r="K127" t="s">
        <v>474</v>
      </c>
      <c r="L127" t="s">
        <v>474</v>
      </c>
      <c r="M127" t="s">
        <v>474</v>
      </c>
      <c r="N127" t="s">
        <v>474</v>
      </c>
      <c r="O127" t="s">
        <v>474</v>
      </c>
      <c r="P127" t="s">
        <v>474</v>
      </c>
      <c r="Q127" t="s">
        <v>474</v>
      </c>
      <c r="R127" t="s">
        <v>474</v>
      </c>
      <c r="S127" t="s">
        <v>474</v>
      </c>
      <c r="T127" t="s">
        <v>474</v>
      </c>
      <c r="U127" t="s">
        <v>474</v>
      </c>
      <c r="V127" t="s">
        <v>519</v>
      </c>
      <c r="W127" t="s">
        <v>734</v>
      </c>
      <c r="X127" t="s">
        <v>59</v>
      </c>
      <c r="Y127" t="s">
        <v>479</v>
      </c>
    </row>
    <row r="128" spans="1:25" ht="16" x14ac:dyDescent="0.2">
      <c r="A128" t="s">
        <v>474</v>
      </c>
      <c r="B128" t="s">
        <v>816</v>
      </c>
      <c r="C128" t="s">
        <v>474</v>
      </c>
      <c r="D128" t="s">
        <v>474</v>
      </c>
      <c r="E128" t="s">
        <v>43</v>
      </c>
      <c r="F128" t="s">
        <v>731</v>
      </c>
      <c r="G128" t="s">
        <v>735</v>
      </c>
      <c r="H128" t="s">
        <v>474</v>
      </c>
      <c r="I128" t="s">
        <v>736</v>
      </c>
      <c r="J128" t="s">
        <v>474</v>
      </c>
      <c r="K128" t="s">
        <v>474</v>
      </c>
      <c r="L128" t="s">
        <v>474</v>
      </c>
      <c r="M128" t="s">
        <v>474</v>
      </c>
      <c r="N128" t="s">
        <v>474</v>
      </c>
      <c r="O128" t="s">
        <v>474</v>
      </c>
      <c r="P128" t="s">
        <v>474</v>
      </c>
      <c r="Q128" t="s">
        <v>474</v>
      </c>
      <c r="R128" t="s">
        <v>474</v>
      </c>
      <c r="S128" t="s">
        <v>474</v>
      </c>
      <c r="T128" t="s">
        <v>474</v>
      </c>
      <c r="U128" t="s">
        <v>474</v>
      </c>
      <c r="V128" t="s">
        <v>682</v>
      </c>
      <c r="W128" t="s">
        <v>737</v>
      </c>
      <c r="X128" t="s">
        <v>59</v>
      </c>
      <c r="Y128" t="s">
        <v>479</v>
      </c>
    </row>
    <row r="129" spans="1:25" ht="16" x14ac:dyDescent="0.2">
      <c r="A129" t="s">
        <v>474</v>
      </c>
      <c r="B129" t="s">
        <v>816</v>
      </c>
      <c r="C129" t="s">
        <v>474</v>
      </c>
      <c r="D129" t="s">
        <v>474</v>
      </c>
      <c r="E129" t="s">
        <v>47</v>
      </c>
      <c r="F129" t="s">
        <v>731</v>
      </c>
      <c r="G129" t="s">
        <v>738</v>
      </c>
      <c r="H129" t="s">
        <v>474</v>
      </c>
      <c r="I129" t="s">
        <v>739</v>
      </c>
      <c r="J129" t="s">
        <v>474</v>
      </c>
      <c r="K129" t="s">
        <v>474</v>
      </c>
      <c r="L129" t="s">
        <v>474</v>
      </c>
      <c r="M129" t="s">
        <v>474</v>
      </c>
      <c r="N129" t="s">
        <v>474</v>
      </c>
      <c r="O129" t="s">
        <v>474</v>
      </c>
      <c r="P129" t="s">
        <v>474</v>
      </c>
      <c r="Q129" t="s">
        <v>474</v>
      </c>
      <c r="R129" t="s">
        <v>474</v>
      </c>
      <c r="S129" t="s">
        <v>474</v>
      </c>
      <c r="T129" t="s">
        <v>474</v>
      </c>
      <c r="U129" t="s">
        <v>474</v>
      </c>
      <c r="V129" t="s">
        <v>478</v>
      </c>
      <c r="W129" t="s">
        <v>740</v>
      </c>
      <c r="X129" t="s">
        <v>59</v>
      </c>
      <c r="Y129" t="s">
        <v>479</v>
      </c>
    </row>
    <row r="130" spans="1:25" ht="16" x14ac:dyDescent="0.2">
      <c r="A130" t="s">
        <v>474</v>
      </c>
      <c r="B130" t="s">
        <v>816</v>
      </c>
      <c r="C130" t="s">
        <v>474</v>
      </c>
      <c r="D130" t="s">
        <v>474</v>
      </c>
      <c r="E130" t="s">
        <v>51</v>
      </c>
      <c r="F130" t="s">
        <v>731</v>
      </c>
      <c r="G130" t="s">
        <v>741</v>
      </c>
      <c r="H130" t="s">
        <v>474</v>
      </c>
      <c r="I130" t="s">
        <v>742</v>
      </c>
      <c r="J130" t="s">
        <v>474</v>
      </c>
      <c r="K130" t="s">
        <v>474</v>
      </c>
      <c r="L130" t="s">
        <v>474</v>
      </c>
      <c r="M130" t="s">
        <v>474</v>
      </c>
      <c r="N130" t="s">
        <v>474</v>
      </c>
      <c r="O130" t="s">
        <v>474</v>
      </c>
      <c r="P130" t="s">
        <v>474</v>
      </c>
      <c r="Q130" t="s">
        <v>474</v>
      </c>
      <c r="R130" t="s">
        <v>474</v>
      </c>
      <c r="S130" t="s">
        <v>474</v>
      </c>
      <c r="T130" t="s">
        <v>474</v>
      </c>
      <c r="U130" t="s">
        <v>474</v>
      </c>
      <c r="V130" t="s">
        <v>682</v>
      </c>
      <c r="W130" t="s">
        <v>743</v>
      </c>
      <c r="X130" t="s">
        <v>59</v>
      </c>
      <c r="Y130" t="s">
        <v>479</v>
      </c>
    </row>
    <row r="131" spans="1:25" ht="16" x14ac:dyDescent="0.2">
      <c r="A131" t="s">
        <v>474</v>
      </c>
      <c r="B131" t="s">
        <v>816</v>
      </c>
      <c r="C131" t="s">
        <v>474</v>
      </c>
      <c r="D131" t="s">
        <v>474</v>
      </c>
      <c r="E131" t="s">
        <v>55</v>
      </c>
      <c r="F131" t="s">
        <v>731</v>
      </c>
      <c r="G131" t="s">
        <v>744</v>
      </c>
      <c r="H131" t="s">
        <v>474</v>
      </c>
      <c r="I131" t="s">
        <v>745</v>
      </c>
      <c r="J131" t="s">
        <v>474</v>
      </c>
      <c r="K131" t="s">
        <v>474</v>
      </c>
      <c r="L131" t="s">
        <v>474</v>
      </c>
      <c r="M131" t="s">
        <v>474</v>
      </c>
      <c r="N131" t="s">
        <v>474</v>
      </c>
      <c r="O131" t="s">
        <v>474</v>
      </c>
      <c r="P131" t="s">
        <v>474</v>
      </c>
      <c r="Q131" t="s">
        <v>474</v>
      </c>
      <c r="R131" t="s">
        <v>474</v>
      </c>
      <c r="S131" t="s">
        <v>474</v>
      </c>
      <c r="T131" t="s">
        <v>474</v>
      </c>
      <c r="U131" t="s">
        <v>474</v>
      </c>
      <c r="V131" t="s">
        <v>683</v>
      </c>
      <c r="W131" t="s">
        <v>746</v>
      </c>
      <c r="X131" t="s">
        <v>59</v>
      </c>
      <c r="Y131" t="s">
        <v>479</v>
      </c>
    </row>
    <row r="132" spans="1:25" ht="16" x14ac:dyDescent="0.2">
      <c r="A132" t="s">
        <v>474</v>
      </c>
      <c r="B132" t="s">
        <v>817</v>
      </c>
      <c r="C132" t="s">
        <v>474</v>
      </c>
      <c r="D132" t="s">
        <v>474</v>
      </c>
      <c r="E132" t="s">
        <v>36</v>
      </c>
      <c r="F132" t="s">
        <v>748</v>
      </c>
      <c r="G132" t="s">
        <v>749</v>
      </c>
      <c r="H132" t="s">
        <v>474</v>
      </c>
      <c r="I132" t="s">
        <v>750</v>
      </c>
      <c r="J132" t="s">
        <v>474</v>
      </c>
      <c r="K132" t="s">
        <v>474</v>
      </c>
      <c r="L132" t="s">
        <v>474</v>
      </c>
      <c r="M132" t="s">
        <v>474</v>
      </c>
      <c r="N132" t="s">
        <v>474</v>
      </c>
      <c r="O132" t="s">
        <v>474</v>
      </c>
      <c r="P132" t="s">
        <v>474</v>
      </c>
      <c r="Q132" t="s">
        <v>474</v>
      </c>
      <c r="R132" t="s">
        <v>474</v>
      </c>
      <c r="S132" t="s">
        <v>474</v>
      </c>
      <c r="T132" t="s">
        <v>474</v>
      </c>
      <c r="U132" t="s">
        <v>474</v>
      </c>
      <c r="V132" t="s">
        <v>519</v>
      </c>
      <c r="W132" t="s">
        <v>751</v>
      </c>
      <c r="X132" t="s">
        <v>59</v>
      </c>
      <c r="Y132" t="s">
        <v>479</v>
      </c>
    </row>
    <row r="133" spans="1:25" ht="16" x14ac:dyDescent="0.2">
      <c r="A133" t="s">
        <v>474</v>
      </c>
      <c r="B133" t="s">
        <v>817</v>
      </c>
      <c r="C133" t="s">
        <v>474</v>
      </c>
      <c r="D133" t="s">
        <v>474</v>
      </c>
      <c r="E133" t="s">
        <v>43</v>
      </c>
      <c r="F133" t="s">
        <v>748</v>
      </c>
      <c r="G133" t="s">
        <v>752</v>
      </c>
      <c r="H133" t="s">
        <v>474</v>
      </c>
      <c r="I133" t="s">
        <v>753</v>
      </c>
      <c r="J133" t="s">
        <v>474</v>
      </c>
      <c r="K133" t="s">
        <v>474</v>
      </c>
      <c r="L133" t="s">
        <v>474</v>
      </c>
      <c r="M133" t="s">
        <v>474</v>
      </c>
      <c r="N133" t="s">
        <v>474</v>
      </c>
      <c r="O133" t="s">
        <v>474</v>
      </c>
      <c r="P133" t="s">
        <v>474</v>
      </c>
      <c r="Q133" t="s">
        <v>474</v>
      </c>
      <c r="R133" t="s">
        <v>474</v>
      </c>
      <c r="S133" t="s">
        <v>474</v>
      </c>
      <c r="T133" t="s">
        <v>474</v>
      </c>
      <c r="U133" t="s">
        <v>474</v>
      </c>
      <c r="V133" t="s">
        <v>682</v>
      </c>
      <c r="W133" t="s">
        <v>754</v>
      </c>
      <c r="X133" t="s">
        <v>59</v>
      </c>
      <c r="Y133" t="s">
        <v>479</v>
      </c>
    </row>
    <row r="134" spans="1:25" ht="16" x14ac:dyDescent="0.2">
      <c r="A134" t="s">
        <v>474</v>
      </c>
      <c r="B134" t="s">
        <v>817</v>
      </c>
      <c r="C134" t="s">
        <v>474</v>
      </c>
      <c r="D134" t="s">
        <v>474</v>
      </c>
      <c r="E134" t="s">
        <v>47</v>
      </c>
      <c r="F134" t="s">
        <v>748</v>
      </c>
      <c r="G134" t="s">
        <v>755</v>
      </c>
      <c r="H134" t="s">
        <v>474</v>
      </c>
      <c r="I134" t="s">
        <v>756</v>
      </c>
      <c r="J134" t="s">
        <v>474</v>
      </c>
      <c r="K134" t="s">
        <v>474</v>
      </c>
      <c r="L134" t="s">
        <v>474</v>
      </c>
      <c r="M134" t="s">
        <v>474</v>
      </c>
      <c r="N134" t="s">
        <v>474</v>
      </c>
      <c r="O134" t="s">
        <v>474</v>
      </c>
      <c r="P134" t="s">
        <v>474</v>
      </c>
      <c r="Q134" t="s">
        <v>474</v>
      </c>
      <c r="R134" t="s">
        <v>474</v>
      </c>
      <c r="S134" t="s">
        <v>474</v>
      </c>
      <c r="T134" t="s">
        <v>474</v>
      </c>
      <c r="U134" t="s">
        <v>474</v>
      </c>
      <c r="V134" t="s">
        <v>478</v>
      </c>
      <c r="W134" t="s">
        <v>757</v>
      </c>
      <c r="X134" t="s">
        <v>59</v>
      </c>
      <c r="Y134" t="s">
        <v>479</v>
      </c>
    </row>
    <row r="135" spans="1:25" ht="16" x14ac:dyDescent="0.2">
      <c r="A135" t="s">
        <v>474</v>
      </c>
      <c r="B135" t="s">
        <v>817</v>
      </c>
      <c r="C135" t="s">
        <v>474</v>
      </c>
      <c r="D135" t="s">
        <v>474</v>
      </c>
      <c r="E135" t="s">
        <v>51</v>
      </c>
      <c r="F135" t="s">
        <v>748</v>
      </c>
      <c r="G135" t="s">
        <v>758</v>
      </c>
      <c r="H135" t="s">
        <v>474</v>
      </c>
      <c r="I135" t="s">
        <v>759</v>
      </c>
      <c r="J135" t="s">
        <v>474</v>
      </c>
      <c r="K135" t="s">
        <v>474</v>
      </c>
      <c r="L135" t="s">
        <v>474</v>
      </c>
      <c r="M135" t="s">
        <v>474</v>
      </c>
      <c r="N135" t="s">
        <v>474</v>
      </c>
      <c r="O135" t="s">
        <v>474</v>
      </c>
      <c r="P135" t="s">
        <v>474</v>
      </c>
      <c r="Q135" t="s">
        <v>474</v>
      </c>
      <c r="R135" t="s">
        <v>474</v>
      </c>
      <c r="S135" t="s">
        <v>474</v>
      </c>
      <c r="T135" t="s">
        <v>474</v>
      </c>
      <c r="U135" t="s">
        <v>474</v>
      </c>
      <c r="V135" t="s">
        <v>682</v>
      </c>
      <c r="W135" t="s">
        <v>760</v>
      </c>
      <c r="X135" t="s">
        <v>59</v>
      </c>
      <c r="Y135" t="s">
        <v>479</v>
      </c>
    </row>
    <row r="136" spans="1:25" ht="16" x14ac:dyDescent="0.2">
      <c r="A136" t="s">
        <v>474</v>
      </c>
      <c r="B136" t="s">
        <v>817</v>
      </c>
      <c r="C136" t="s">
        <v>474</v>
      </c>
      <c r="D136" t="s">
        <v>474</v>
      </c>
      <c r="E136" t="s">
        <v>55</v>
      </c>
      <c r="F136" t="s">
        <v>748</v>
      </c>
      <c r="G136" t="s">
        <v>761</v>
      </c>
      <c r="H136" t="s">
        <v>474</v>
      </c>
      <c r="I136" t="s">
        <v>762</v>
      </c>
      <c r="J136" t="s">
        <v>474</v>
      </c>
      <c r="K136" t="s">
        <v>474</v>
      </c>
      <c r="L136" t="s">
        <v>474</v>
      </c>
      <c r="M136" t="s">
        <v>474</v>
      </c>
      <c r="N136" t="s">
        <v>474</v>
      </c>
      <c r="O136" t="s">
        <v>474</v>
      </c>
      <c r="P136" t="s">
        <v>474</v>
      </c>
      <c r="Q136" t="s">
        <v>474</v>
      </c>
      <c r="R136" t="s">
        <v>474</v>
      </c>
      <c r="S136" t="s">
        <v>474</v>
      </c>
      <c r="T136" t="s">
        <v>474</v>
      </c>
      <c r="U136" t="s">
        <v>474</v>
      </c>
      <c r="V136" t="s">
        <v>683</v>
      </c>
      <c r="W136" t="s">
        <v>763</v>
      </c>
      <c r="X136" t="s">
        <v>59</v>
      </c>
      <c r="Y136" t="s">
        <v>479</v>
      </c>
    </row>
    <row r="137" spans="1:25" ht="16" x14ac:dyDescent="0.2">
      <c r="A137" t="s">
        <v>474</v>
      </c>
      <c r="B137" t="s">
        <v>818</v>
      </c>
      <c r="C137" t="s">
        <v>474</v>
      </c>
      <c r="D137" t="s">
        <v>474</v>
      </c>
      <c r="E137" t="s">
        <v>36</v>
      </c>
      <c r="F137" t="s">
        <v>765</v>
      </c>
      <c r="G137" t="s">
        <v>766</v>
      </c>
      <c r="H137" t="s">
        <v>474</v>
      </c>
      <c r="I137" t="s">
        <v>767</v>
      </c>
      <c r="J137" t="s">
        <v>474</v>
      </c>
      <c r="K137" t="s">
        <v>474</v>
      </c>
      <c r="L137" t="s">
        <v>474</v>
      </c>
      <c r="M137" t="s">
        <v>474</v>
      </c>
      <c r="N137" t="s">
        <v>474</v>
      </c>
      <c r="O137" t="s">
        <v>474</v>
      </c>
      <c r="P137" t="s">
        <v>474</v>
      </c>
      <c r="Q137" t="s">
        <v>474</v>
      </c>
      <c r="R137" t="s">
        <v>474</v>
      </c>
      <c r="S137" t="s">
        <v>474</v>
      </c>
      <c r="T137" t="s">
        <v>474</v>
      </c>
      <c r="U137" t="s">
        <v>474</v>
      </c>
      <c r="V137" t="s">
        <v>519</v>
      </c>
      <c r="W137" t="s">
        <v>768</v>
      </c>
      <c r="X137" t="s">
        <v>59</v>
      </c>
      <c r="Y137" t="s">
        <v>479</v>
      </c>
    </row>
    <row r="138" spans="1:25" ht="16" x14ac:dyDescent="0.2">
      <c r="A138" t="s">
        <v>474</v>
      </c>
      <c r="B138" t="s">
        <v>818</v>
      </c>
      <c r="C138" t="s">
        <v>474</v>
      </c>
      <c r="D138" t="s">
        <v>474</v>
      </c>
      <c r="E138" t="s">
        <v>43</v>
      </c>
      <c r="F138" t="s">
        <v>765</v>
      </c>
      <c r="G138" t="s">
        <v>769</v>
      </c>
      <c r="H138" t="s">
        <v>474</v>
      </c>
      <c r="I138" t="s">
        <v>770</v>
      </c>
      <c r="J138" t="s">
        <v>474</v>
      </c>
      <c r="K138" t="s">
        <v>474</v>
      </c>
      <c r="L138" t="s">
        <v>474</v>
      </c>
      <c r="M138" t="s">
        <v>474</v>
      </c>
      <c r="N138" t="s">
        <v>474</v>
      </c>
      <c r="O138" t="s">
        <v>474</v>
      </c>
      <c r="P138" t="s">
        <v>474</v>
      </c>
      <c r="Q138" t="s">
        <v>474</v>
      </c>
      <c r="R138" t="s">
        <v>474</v>
      </c>
      <c r="S138" t="s">
        <v>474</v>
      </c>
      <c r="T138" t="s">
        <v>474</v>
      </c>
      <c r="U138" t="s">
        <v>474</v>
      </c>
      <c r="V138" t="s">
        <v>682</v>
      </c>
      <c r="W138" t="s">
        <v>771</v>
      </c>
      <c r="X138" t="s">
        <v>59</v>
      </c>
      <c r="Y138" t="s">
        <v>479</v>
      </c>
    </row>
    <row r="139" spans="1:25" ht="16" x14ac:dyDescent="0.2">
      <c r="A139" t="s">
        <v>474</v>
      </c>
      <c r="B139" t="s">
        <v>818</v>
      </c>
      <c r="C139" t="s">
        <v>474</v>
      </c>
      <c r="D139" t="s">
        <v>474</v>
      </c>
      <c r="E139" t="s">
        <v>47</v>
      </c>
      <c r="F139" t="s">
        <v>765</v>
      </c>
      <c r="G139" t="s">
        <v>772</v>
      </c>
      <c r="H139" t="s">
        <v>474</v>
      </c>
      <c r="I139" t="s">
        <v>773</v>
      </c>
      <c r="J139" t="s">
        <v>474</v>
      </c>
      <c r="K139" t="s">
        <v>474</v>
      </c>
      <c r="L139" t="s">
        <v>474</v>
      </c>
      <c r="M139" t="s">
        <v>474</v>
      </c>
      <c r="N139" t="s">
        <v>474</v>
      </c>
      <c r="O139" t="s">
        <v>474</v>
      </c>
      <c r="P139" t="s">
        <v>474</v>
      </c>
      <c r="Q139" t="s">
        <v>474</v>
      </c>
      <c r="R139" t="s">
        <v>474</v>
      </c>
      <c r="S139" t="s">
        <v>474</v>
      </c>
      <c r="T139" t="s">
        <v>474</v>
      </c>
      <c r="U139" t="s">
        <v>474</v>
      </c>
      <c r="V139" t="s">
        <v>478</v>
      </c>
      <c r="W139" t="s">
        <v>774</v>
      </c>
      <c r="X139" t="s">
        <v>59</v>
      </c>
      <c r="Y139" t="s">
        <v>479</v>
      </c>
    </row>
    <row r="140" spans="1:25" ht="16" x14ac:dyDescent="0.2">
      <c r="A140" t="s">
        <v>474</v>
      </c>
      <c r="B140" t="s">
        <v>818</v>
      </c>
      <c r="C140" t="s">
        <v>474</v>
      </c>
      <c r="D140" t="s">
        <v>474</v>
      </c>
      <c r="E140" t="s">
        <v>51</v>
      </c>
      <c r="F140" t="s">
        <v>765</v>
      </c>
      <c r="G140" t="s">
        <v>775</v>
      </c>
      <c r="H140" t="s">
        <v>474</v>
      </c>
      <c r="I140" t="s">
        <v>776</v>
      </c>
      <c r="J140" t="s">
        <v>474</v>
      </c>
      <c r="K140" t="s">
        <v>474</v>
      </c>
      <c r="L140" t="s">
        <v>474</v>
      </c>
      <c r="M140" t="s">
        <v>474</v>
      </c>
      <c r="N140" t="s">
        <v>474</v>
      </c>
      <c r="O140" t="s">
        <v>474</v>
      </c>
      <c r="P140" t="s">
        <v>474</v>
      </c>
      <c r="Q140" t="s">
        <v>474</v>
      </c>
      <c r="R140" t="s">
        <v>474</v>
      </c>
      <c r="S140" t="s">
        <v>474</v>
      </c>
      <c r="T140" t="s">
        <v>474</v>
      </c>
      <c r="U140" t="s">
        <v>474</v>
      </c>
      <c r="V140" t="s">
        <v>682</v>
      </c>
      <c r="W140" t="s">
        <v>777</v>
      </c>
      <c r="X140" t="s">
        <v>59</v>
      </c>
      <c r="Y140" t="s">
        <v>479</v>
      </c>
    </row>
    <row r="141" spans="1:25" ht="16" x14ac:dyDescent="0.2">
      <c r="A141" t="s">
        <v>474</v>
      </c>
      <c r="B141" t="s">
        <v>818</v>
      </c>
      <c r="C141" t="s">
        <v>474</v>
      </c>
      <c r="D141" t="s">
        <v>474</v>
      </c>
      <c r="E141" t="s">
        <v>55</v>
      </c>
      <c r="F141" t="s">
        <v>765</v>
      </c>
      <c r="G141" t="s">
        <v>778</v>
      </c>
      <c r="H141" t="s">
        <v>474</v>
      </c>
      <c r="I141" t="s">
        <v>779</v>
      </c>
      <c r="J141" t="s">
        <v>474</v>
      </c>
      <c r="K141" t="s">
        <v>474</v>
      </c>
      <c r="L141" t="s">
        <v>474</v>
      </c>
      <c r="M141" t="s">
        <v>474</v>
      </c>
      <c r="N141" t="s">
        <v>474</v>
      </c>
      <c r="O141" t="s">
        <v>474</v>
      </c>
      <c r="P141" t="s">
        <v>474</v>
      </c>
      <c r="Q141" t="s">
        <v>474</v>
      </c>
      <c r="R141" t="s">
        <v>474</v>
      </c>
      <c r="S141" t="s">
        <v>474</v>
      </c>
      <c r="T141" t="s">
        <v>474</v>
      </c>
      <c r="U141" t="s">
        <v>474</v>
      </c>
      <c r="V141" t="s">
        <v>683</v>
      </c>
      <c r="W141" t="s">
        <v>780</v>
      </c>
      <c r="X141" t="s">
        <v>59</v>
      </c>
      <c r="Y141" t="s">
        <v>479</v>
      </c>
    </row>
    <row r="142" spans="1:25" ht="16" x14ac:dyDescent="0.2">
      <c r="A142" t="s">
        <v>474</v>
      </c>
      <c r="B142" t="s">
        <v>819</v>
      </c>
      <c r="C142" t="s">
        <v>474</v>
      </c>
      <c r="D142" t="s">
        <v>474</v>
      </c>
      <c r="E142" t="s">
        <v>36</v>
      </c>
      <c r="F142" t="s">
        <v>714</v>
      </c>
      <c r="G142" t="s">
        <v>715</v>
      </c>
      <c r="H142" t="s">
        <v>474</v>
      </c>
      <c r="I142" t="s">
        <v>716</v>
      </c>
      <c r="J142" t="s">
        <v>474</v>
      </c>
      <c r="K142" t="s">
        <v>474</v>
      </c>
      <c r="L142" t="s">
        <v>474</v>
      </c>
      <c r="M142" t="s">
        <v>474</v>
      </c>
      <c r="N142" t="s">
        <v>474</v>
      </c>
      <c r="O142" t="s">
        <v>474</v>
      </c>
      <c r="P142" t="s">
        <v>474</v>
      </c>
      <c r="Q142" t="s">
        <v>474</v>
      </c>
      <c r="R142" t="s">
        <v>474</v>
      </c>
      <c r="S142" t="s">
        <v>474</v>
      </c>
      <c r="T142" t="s">
        <v>474</v>
      </c>
      <c r="U142" t="s">
        <v>474</v>
      </c>
      <c r="V142" t="s">
        <v>485</v>
      </c>
      <c r="W142" t="s">
        <v>717</v>
      </c>
      <c r="X142" t="s">
        <v>61</v>
      </c>
      <c r="Y142" t="s">
        <v>482</v>
      </c>
    </row>
    <row r="143" spans="1:25" ht="16" x14ac:dyDescent="0.2">
      <c r="A143" t="s">
        <v>474</v>
      </c>
      <c r="B143" t="s">
        <v>819</v>
      </c>
      <c r="C143" t="s">
        <v>474</v>
      </c>
      <c r="D143" t="s">
        <v>474</v>
      </c>
      <c r="E143" t="s">
        <v>43</v>
      </c>
      <c r="F143" t="s">
        <v>714</v>
      </c>
      <c r="G143" t="s">
        <v>718</v>
      </c>
      <c r="H143" t="s">
        <v>474</v>
      </c>
      <c r="I143" t="s">
        <v>719</v>
      </c>
      <c r="J143" t="s">
        <v>474</v>
      </c>
      <c r="K143" t="s">
        <v>474</v>
      </c>
      <c r="L143" t="s">
        <v>474</v>
      </c>
      <c r="M143" t="s">
        <v>474</v>
      </c>
      <c r="N143" t="s">
        <v>474</v>
      </c>
      <c r="O143" t="s">
        <v>474</v>
      </c>
      <c r="P143" t="s">
        <v>474</v>
      </c>
      <c r="Q143" t="s">
        <v>474</v>
      </c>
      <c r="R143" t="s">
        <v>474</v>
      </c>
      <c r="S143" t="s">
        <v>474</v>
      </c>
      <c r="T143" t="s">
        <v>474</v>
      </c>
      <c r="U143" t="s">
        <v>474</v>
      </c>
      <c r="V143" t="s">
        <v>705</v>
      </c>
      <c r="W143" t="s">
        <v>720</v>
      </c>
      <c r="X143" t="s">
        <v>61</v>
      </c>
      <c r="Y143" t="s">
        <v>482</v>
      </c>
    </row>
    <row r="144" spans="1:25" ht="16" x14ac:dyDescent="0.2">
      <c r="A144" t="s">
        <v>474</v>
      </c>
      <c r="B144" t="s">
        <v>819</v>
      </c>
      <c r="C144" t="s">
        <v>474</v>
      </c>
      <c r="D144" t="s">
        <v>474</v>
      </c>
      <c r="E144" t="s">
        <v>47</v>
      </c>
      <c r="F144" t="s">
        <v>714</v>
      </c>
      <c r="G144" t="s">
        <v>721</v>
      </c>
      <c r="H144" t="s">
        <v>474</v>
      </c>
      <c r="I144" t="s">
        <v>722</v>
      </c>
      <c r="J144" t="s">
        <v>474</v>
      </c>
      <c r="K144" t="s">
        <v>474</v>
      </c>
      <c r="L144" t="s">
        <v>474</v>
      </c>
      <c r="M144" t="s">
        <v>474</v>
      </c>
      <c r="N144" t="s">
        <v>474</v>
      </c>
      <c r="O144" t="s">
        <v>474</v>
      </c>
      <c r="P144" t="s">
        <v>474</v>
      </c>
      <c r="Q144" t="s">
        <v>474</v>
      </c>
      <c r="R144" t="s">
        <v>474</v>
      </c>
      <c r="S144" t="s">
        <v>474</v>
      </c>
      <c r="T144" t="s">
        <v>474</v>
      </c>
      <c r="U144" t="s">
        <v>474</v>
      </c>
      <c r="V144" t="s">
        <v>505</v>
      </c>
      <c r="W144" t="s">
        <v>723</v>
      </c>
      <c r="X144" t="s">
        <v>61</v>
      </c>
      <c r="Y144" t="s">
        <v>482</v>
      </c>
    </row>
    <row r="145" spans="1:25" ht="16" x14ac:dyDescent="0.2">
      <c r="A145" t="s">
        <v>474</v>
      </c>
      <c r="B145" t="s">
        <v>819</v>
      </c>
      <c r="C145" t="s">
        <v>474</v>
      </c>
      <c r="D145" t="s">
        <v>474</v>
      </c>
      <c r="E145" t="s">
        <v>51</v>
      </c>
      <c r="F145" t="s">
        <v>714</v>
      </c>
      <c r="G145" t="s">
        <v>724</v>
      </c>
      <c r="H145" t="s">
        <v>474</v>
      </c>
      <c r="I145" t="s">
        <v>725</v>
      </c>
      <c r="J145" t="s">
        <v>474</v>
      </c>
      <c r="K145" t="s">
        <v>474</v>
      </c>
      <c r="L145" t="s">
        <v>474</v>
      </c>
      <c r="M145" t="s">
        <v>474</v>
      </c>
      <c r="N145" t="s">
        <v>474</v>
      </c>
      <c r="O145" t="s">
        <v>474</v>
      </c>
      <c r="P145" t="s">
        <v>474</v>
      </c>
      <c r="Q145" t="s">
        <v>474</v>
      </c>
      <c r="R145" t="s">
        <v>474</v>
      </c>
      <c r="S145" t="s">
        <v>474</v>
      </c>
      <c r="T145" t="s">
        <v>474</v>
      </c>
      <c r="U145" t="s">
        <v>474</v>
      </c>
      <c r="V145" t="s">
        <v>705</v>
      </c>
      <c r="W145" t="s">
        <v>726</v>
      </c>
      <c r="X145" t="s">
        <v>61</v>
      </c>
      <c r="Y145" t="s">
        <v>482</v>
      </c>
    </row>
    <row r="146" spans="1:25" ht="16" x14ac:dyDescent="0.2">
      <c r="A146" t="s">
        <v>474</v>
      </c>
      <c r="B146" t="s">
        <v>819</v>
      </c>
      <c r="C146" t="s">
        <v>474</v>
      </c>
      <c r="D146" t="s">
        <v>474</v>
      </c>
      <c r="E146" t="s">
        <v>55</v>
      </c>
      <c r="F146" t="s">
        <v>714</v>
      </c>
      <c r="G146" t="s">
        <v>727</v>
      </c>
      <c r="H146" t="s">
        <v>474</v>
      </c>
      <c r="I146" t="s">
        <v>728</v>
      </c>
      <c r="J146" t="s">
        <v>474</v>
      </c>
      <c r="K146" t="s">
        <v>474</v>
      </c>
      <c r="L146" t="s">
        <v>474</v>
      </c>
      <c r="M146" t="s">
        <v>474</v>
      </c>
      <c r="N146" t="s">
        <v>474</v>
      </c>
      <c r="O146" t="s">
        <v>474</v>
      </c>
      <c r="P146" t="s">
        <v>474</v>
      </c>
      <c r="Q146" t="s">
        <v>474</v>
      </c>
      <c r="R146" t="s">
        <v>474</v>
      </c>
      <c r="S146" t="s">
        <v>474</v>
      </c>
      <c r="T146" t="s">
        <v>474</v>
      </c>
      <c r="U146" t="s">
        <v>474</v>
      </c>
      <c r="V146" t="s">
        <v>514</v>
      </c>
      <c r="W146" t="s">
        <v>729</v>
      </c>
      <c r="X146" t="s">
        <v>61</v>
      </c>
      <c r="Y146" t="s">
        <v>482</v>
      </c>
    </row>
    <row r="147" spans="1:25" ht="16" x14ac:dyDescent="0.2">
      <c r="A147" t="s">
        <v>474</v>
      </c>
      <c r="B147" t="s">
        <v>820</v>
      </c>
      <c r="C147" t="s">
        <v>474</v>
      </c>
      <c r="D147" t="s">
        <v>474</v>
      </c>
      <c r="E147" t="s">
        <v>36</v>
      </c>
      <c r="F147" t="s">
        <v>783</v>
      </c>
      <c r="G147" t="s">
        <v>784</v>
      </c>
      <c r="H147" t="s">
        <v>474</v>
      </c>
      <c r="I147" t="s">
        <v>785</v>
      </c>
      <c r="J147" t="s">
        <v>474</v>
      </c>
      <c r="K147" t="s">
        <v>474</v>
      </c>
      <c r="L147" t="s">
        <v>474</v>
      </c>
      <c r="M147" t="s">
        <v>474</v>
      </c>
      <c r="N147" t="s">
        <v>474</v>
      </c>
      <c r="O147" t="s">
        <v>474</v>
      </c>
      <c r="P147" t="s">
        <v>474</v>
      </c>
      <c r="Q147" t="s">
        <v>474</v>
      </c>
      <c r="R147" t="s">
        <v>474</v>
      </c>
      <c r="S147" t="s">
        <v>474</v>
      </c>
      <c r="T147" t="s">
        <v>474</v>
      </c>
      <c r="U147" t="s">
        <v>474</v>
      </c>
      <c r="V147" t="s">
        <v>519</v>
      </c>
      <c r="W147" t="s">
        <v>786</v>
      </c>
      <c r="X147" t="s">
        <v>59</v>
      </c>
      <c r="Y147" t="s">
        <v>479</v>
      </c>
    </row>
    <row r="148" spans="1:25" ht="16" x14ac:dyDescent="0.2">
      <c r="A148" t="s">
        <v>474</v>
      </c>
      <c r="B148" t="s">
        <v>820</v>
      </c>
      <c r="C148" t="s">
        <v>474</v>
      </c>
      <c r="D148" t="s">
        <v>474</v>
      </c>
      <c r="E148" t="s">
        <v>43</v>
      </c>
      <c r="F148" t="s">
        <v>783</v>
      </c>
      <c r="G148" t="s">
        <v>787</v>
      </c>
      <c r="H148" t="s">
        <v>474</v>
      </c>
      <c r="I148" t="s">
        <v>788</v>
      </c>
      <c r="J148" t="s">
        <v>474</v>
      </c>
      <c r="K148" t="s">
        <v>474</v>
      </c>
      <c r="L148" t="s">
        <v>474</v>
      </c>
      <c r="M148" t="s">
        <v>474</v>
      </c>
      <c r="N148" t="s">
        <v>474</v>
      </c>
      <c r="O148" t="s">
        <v>474</v>
      </c>
      <c r="P148" t="s">
        <v>474</v>
      </c>
      <c r="Q148" t="s">
        <v>474</v>
      </c>
      <c r="R148" t="s">
        <v>474</v>
      </c>
      <c r="S148" t="s">
        <v>474</v>
      </c>
      <c r="T148" t="s">
        <v>474</v>
      </c>
      <c r="U148" t="s">
        <v>474</v>
      </c>
      <c r="V148" t="s">
        <v>682</v>
      </c>
      <c r="W148" t="s">
        <v>789</v>
      </c>
      <c r="X148" t="s">
        <v>59</v>
      </c>
      <c r="Y148" t="s">
        <v>479</v>
      </c>
    </row>
    <row r="149" spans="1:25" ht="16" x14ac:dyDescent="0.2">
      <c r="A149" t="s">
        <v>474</v>
      </c>
      <c r="B149" t="s">
        <v>820</v>
      </c>
      <c r="C149" t="s">
        <v>474</v>
      </c>
      <c r="D149" t="s">
        <v>474</v>
      </c>
      <c r="E149" t="s">
        <v>47</v>
      </c>
      <c r="F149" t="s">
        <v>783</v>
      </c>
      <c r="G149" t="s">
        <v>790</v>
      </c>
      <c r="H149" t="s">
        <v>474</v>
      </c>
      <c r="I149" t="s">
        <v>791</v>
      </c>
      <c r="J149" t="s">
        <v>474</v>
      </c>
      <c r="K149" t="s">
        <v>474</v>
      </c>
      <c r="L149" t="s">
        <v>474</v>
      </c>
      <c r="M149" t="s">
        <v>474</v>
      </c>
      <c r="N149" t="s">
        <v>474</v>
      </c>
      <c r="O149" t="s">
        <v>474</v>
      </c>
      <c r="P149" t="s">
        <v>474</v>
      </c>
      <c r="Q149" t="s">
        <v>474</v>
      </c>
      <c r="R149" t="s">
        <v>474</v>
      </c>
      <c r="S149" t="s">
        <v>474</v>
      </c>
      <c r="T149" t="s">
        <v>474</v>
      </c>
      <c r="U149" t="s">
        <v>474</v>
      </c>
      <c r="V149" t="s">
        <v>478</v>
      </c>
      <c r="W149" t="s">
        <v>792</v>
      </c>
      <c r="X149" t="s">
        <v>59</v>
      </c>
      <c r="Y149" t="s">
        <v>479</v>
      </c>
    </row>
    <row r="150" spans="1:25" ht="16" x14ac:dyDescent="0.2">
      <c r="A150" t="s">
        <v>474</v>
      </c>
      <c r="B150" t="s">
        <v>820</v>
      </c>
      <c r="C150" t="s">
        <v>474</v>
      </c>
      <c r="D150" t="s">
        <v>474</v>
      </c>
      <c r="E150" t="s">
        <v>51</v>
      </c>
      <c r="F150" t="s">
        <v>783</v>
      </c>
      <c r="G150" t="s">
        <v>793</v>
      </c>
      <c r="H150" t="s">
        <v>474</v>
      </c>
      <c r="I150" t="s">
        <v>794</v>
      </c>
      <c r="J150" t="s">
        <v>474</v>
      </c>
      <c r="K150" t="s">
        <v>474</v>
      </c>
      <c r="L150" t="s">
        <v>474</v>
      </c>
      <c r="M150" t="s">
        <v>474</v>
      </c>
      <c r="N150" t="s">
        <v>474</v>
      </c>
      <c r="O150" t="s">
        <v>474</v>
      </c>
      <c r="P150" t="s">
        <v>474</v>
      </c>
      <c r="Q150" t="s">
        <v>474</v>
      </c>
      <c r="R150" t="s">
        <v>474</v>
      </c>
      <c r="S150" t="s">
        <v>474</v>
      </c>
      <c r="T150" t="s">
        <v>474</v>
      </c>
      <c r="U150" t="s">
        <v>474</v>
      </c>
      <c r="V150" t="s">
        <v>682</v>
      </c>
      <c r="W150" t="s">
        <v>795</v>
      </c>
      <c r="X150" t="s">
        <v>59</v>
      </c>
      <c r="Y150" t="s">
        <v>479</v>
      </c>
    </row>
    <row r="151" spans="1:25" ht="16" x14ac:dyDescent="0.2">
      <c r="A151" t="s">
        <v>474</v>
      </c>
      <c r="B151" t="s">
        <v>820</v>
      </c>
      <c r="C151" t="s">
        <v>474</v>
      </c>
      <c r="D151" t="s">
        <v>474</v>
      </c>
      <c r="E151" t="s">
        <v>55</v>
      </c>
      <c r="F151" t="s">
        <v>783</v>
      </c>
      <c r="G151" t="s">
        <v>796</v>
      </c>
      <c r="H151" t="s">
        <v>474</v>
      </c>
      <c r="I151" t="s">
        <v>797</v>
      </c>
      <c r="J151" t="s">
        <v>474</v>
      </c>
      <c r="K151" t="s">
        <v>474</v>
      </c>
      <c r="L151" t="s">
        <v>474</v>
      </c>
      <c r="M151" t="s">
        <v>474</v>
      </c>
      <c r="N151" t="s">
        <v>474</v>
      </c>
      <c r="O151" t="s">
        <v>474</v>
      </c>
      <c r="P151" t="s">
        <v>474</v>
      </c>
      <c r="Q151" t="s">
        <v>474</v>
      </c>
      <c r="R151" t="s">
        <v>474</v>
      </c>
      <c r="S151" t="s">
        <v>474</v>
      </c>
      <c r="T151" t="s">
        <v>474</v>
      </c>
      <c r="U151" t="s">
        <v>474</v>
      </c>
      <c r="V151" t="s">
        <v>683</v>
      </c>
      <c r="W151" t="s">
        <v>798</v>
      </c>
      <c r="X151" t="s">
        <v>59</v>
      </c>
      <c r="Y151" t="s">
        <v>479</v>
      </c>
    </row>
    <row r="152" spans="1:25" ht="16" x14ac:dyDescent="0.2">
      <c r="A152" t="s">
        <v>474</v>
      </c>
      <c r="B152" t="s">
        <v>821</v>
      </c>
      <c r="C152" t="s">
        <v>474</v>
      </c>
      <c r="D152" t="s">
        <v>474</v>
      </c>
      <c r="E152" t="s">
        <v>36</v>
      </c>
      <c r="F152" t="s">
        <v>800</v>
      </c>
      <c r="G152" t="s">
        <v>801</v>
      </c>
      <c r="H152" t="s">
        <v>474</v>
      </c>
      <c r="I152" t="s">
        <v>802</v>
      </c>
      <c r="J152" t="s">
        <v>474</v>
      </c>
      <c r="K152" t="s">
        <v>474</v>
      </c>
      <c r="L152" t="s">
        <v>474</v>
      </c>
      <c r="M152" t="s">
        <v>474</v>
      </c>
      <c r="N152" t="s">
        <v>474</v>
      </c>
      <c r="O152" t="s">
        <v>474</v>
      </c>
      <c r="P152" t="s">
        <v>474</v>
      </c>
      <c r="Q152" t="s">
        <v>474</v>
      </c>
      <c r="R152" t="s">
        <v>474</v>
      </c>
      <c r="S152" t="s">
        <v>474</v>
      </c>
      <c r="T152" t="s">
        <v>474</v>
      </c>
      <c r="U152" t="s">
        <v>474</v>
      </c>
      <c r="V152" t="s">
        <v>519</v>
      </c>
      <c r="W152" t="s">
        <v>803</v>
      </c>
      <c r="X152" t="s">
        <v>59</v>
      </c>
      <c r="Y152" t="s">
        <v>479</v>
      </c>
    </row>
    <row r="153" spans="1:25" ht="16" x14ac:dyDescent="0.2">
      <c r="A153" t="s">
        <v>474</v>
      </c>
      <c r="B153" t="s">
        <v>821</v>
      </c>
      <c r="C153" t="s">
        <v>474</v>
      </c>
      <c r="D153" t="s">
        <v>474</v>
      </c>
      <c r="E153" t="s">
        <v>43</v>
      </c>
      <c r="F153" t="s">
        <v>800</v>
      </c>
      <c r="G153" t="s">
        <v>804</v>
      </c>
      <c r="H153" t="s">
        <v>474</v>
      </c>
      <c r="I153" t="s">
        <v>805</v>
      </c>
      <c r="J153" t="s">
        <v>474</v>
      </c>
      <c r="K153" t="s">
        <v>474</v>
      </c>
      <c r="L153" t="s">
        <v>474</v>
      </c>
      <c r="M153" t="s">
        <v>474</v>
      </c>
      <c r="N153" t="s">
        <v>474</v>
      </c>
      <c r="O153" t="s">
        <v>474</v>
      </c>
      <c r="P153" t="s">
        <v>474</v>
      </c>
      <c r="Q153" t="s">
        <v>474</v>
      </c>
      <c r="R153" t="s">
        <v>474</v>
      </c>
      <c r="S153" t="s">
        <v>474</v>
      </c>
      <c r="T153" t="s">
        <v>474</v>
      </c>
      <c r="U153" t="s">
        <v>474</v>
      </c>
      <c r="V153" t="s">
        <v>682</v>
      </c>
      <c r="W153" t="s">
        <v>806</v>
      </c>
      <c r="X153" t="s">
        <v>59</v>
      </c>
      <c r="Y153" t="s">
        <v>479</v>
      </c>
    </row>
    <row r="154" spans="1:25" ht="16" x14ac:dyDescent="0.2">
      <c r="A154" t="s">
        <v>474</v>
      </c>
      <c r="B154" t="s">
        <v>821</v>
      </c>
      <c r="C154" t="s">
        <v>474</v>
      </c>
      <c r="D154" t="s">
        <v>474</v>
      </c>
      <c r="E154" t="s">
        <v>47</v>
      </c>
      <c r="F154" t="s">
        <v>800</v>
      </c>
      <c r="G154" t="s">
        <v>807</v>
      </c>
      <c r="H154" t="s">
        <v>474</v>
      </c>
      <c r="I154" t="s">
        <v>808</v>
      </c>
      <c r="J154" t="s">
        <v>474</v>
      </c>
      <c r="K154" t="s">
        <v>474</v>
      </c>
      <c r="L154" t="s">
        <v>474</v>
      </c>
      <c r="M154" t="s">
        <v>474</v>
      </c>
      <c r="N154" t="s">
        <v>474</v>
      </c>
      <c r="O154" t="s">
        <v>474</v>
      </c>
      <c r="P154" t="s">
        <v>474</v>
      </c>
      <c r="Q154" t="s">
        <v>474</v>
      </c>
      <c r="R154" t="s">
        <v>474</v>
      </c>
      <c r="S154" t="s">
        <v>474</v>
      </c>
      <c r="T154" t="s">
        <v>474</v>
      </c>
      <c r="U154" t="s">
        <v>474</v>
      </c>
      <c r="V154" t="s">
        <v>478</v>
      </c>
      <c r="W154" t="s">
        <v>809</v>
      </c>
      <c r="X154" t="s">
        <v>59</v>
      </c>
      <c r="Y154" t="s">
        <v>479</v>
      </c>
    </row>
    <row r="155" spans="1:25" ht="16" x14ac:dyDescent="0.2">
      <c r="A155" t="s">
        <v>474</v>
      </c>
      <c r="B155" t="s">
        <v>821</v>
      </c>
      <c r="C155" t="s">
        <v>474</v>
      </c>
      <c r="D155" t="s">
        <v>474</v>
      </c>
      <c r="E155" t="s">
        <v>51</v>
      </c>
      <c r="F155" t="s">
        <v>800</v>
      </c>
      <c r="G155" t="s">
        <v>810</v>
      </c>
      <c r="H155" t="s">
        <v>474</v>
      </c>
      <c r="I155" t="s">
        <v>811</v>
      </c>
      <c r="J155" t="s">
        <v>474</v>
      </c>
      <c r="K155" t="s">
        <v>474</v>
      </c>
      <c r="L155" t="s">
        <v>474</v>
      </c>
      <c r="M155" t="s">
        <v>474</v>
      </c>
      <c r="N155" t="s">
        <v>474</v>
      </c>
      <c r="O155" t="s">
        <v>474</v>
      </c>
      <c r="P155" t="s">
        <v>474</v>
      </c>
      <c r="Q155" t="s">
        <v>474</v>
      </c>
      <c r="R155" t="s">
        <v>474</v>
      </c>
      <c r="S155" t="s">
        <v>474</v>
      </c>
      <c r="T155" t="s">
        <v>474</v>
      </c>
      <c r="U155" t="s">
        <v>474</v>
      </c>
      <c r="V155" t="s">
        <v>682</v>
      </c>
      <c r="W155" t="s">
        <v>812</v>
      </c>
      <c r="X155" t="s">
        <v>59</v>
      </c>
      <c r="Y155" t="s">
        <v>479</v>
      </c>
    </row>
    <row r="156" spans="1:25" ht="16" x14ac:dyDescent="0.2">
      <c r="A156" t="s">
        <v>474</v>
      </c>
      <c r="B156" t="s">
        <v>821</v>
      </c>
      <c r="C156" t="s">
        <v>474</v>
      </c>
      <c r="D156" t="s">
        <v>474</v>
      </c>
      <c r="E156" t="s">
        <v>55</v>
      </c>
      <c r="F156" t="s">
        <v>800</v>
      </c>
      <c r="G156" t="s">
        <v>813</v>
      </c>
      <c r="H156" t="s">
        <v>474</v>
      </c>
      <c r="I156" t="s">
        <v>814</v>
      </c>
      <c r="J156" t="s">
        <v>474</v>
      </c>
      <c r="K156" t="s">
        <v>474</v>
      </c>
      <c r="L156" t="s">
        <v>474</v>
      </c>
      <c r="M156" t="s">
        <v>474</v>
      </c>
      <c r="N156" t="s">
        <v>474</v>
      </c>
      <c r="O156" t="s">
        <v>474</v>
      </c>
      <c r="P156" t="s">
        <v>474</v>
      </c>
      <c r="Q156" t="s">
        <v>474</v>
      </c>
      <c r="R156" t="s">
        <v>474</v>
      </c>
      <c r="S156" t="s">
        <v>474</v>
      </c>
      <c r="T156" t="s">
        <v>474</v>
      </c>
      <c r="U156" t="s">
        <v>474</v>
      </c>
      <c r="V156" t="s">
        <v>683</v>
      </c>
      <c r="W156" t="s">
        <v>815</v>
      </c>
      <c r="X156" t="s">
        <v>59</v>
      </c>
      <c r="Y156" t="s">
        <v>479</v>
      </c>
    </row>
    <row r="157" spans="1:25" ht="16" x14ac:dyDescent="0.2">
      <c r="A157" t="s">
        <v>474</v>
      </c>
      <c r="B157" t="s">
        <v>822</v>
      </c>
      <c r="C157" t="s">
        <v>474</v>
      </c>
      <c r="D157" t="s">
        <v>474</v>
      </c>
      <c r="E157" t="s">
        <v>36</v>
      </c>
      <c r="F157" t="s">
        <v>731</v>
      </c>
      <c r="G157" t="s">
        <v>732</v>
      </c>
      <c r="H157" t="s">
        <v>474</v>
      </c>
      <c r="I157" t="s">
        <v>733</v>
      </c>
      <c r="J157" t="s">
        <v>474</v>
      </c>
      <c r="K157" t="s">
        <v>474</v>
      </c>
      <c r="L157" t="s">
        <v>474</v>
      </c>
      <c r="M157" t="s">
        <v>474</v>
      </c>
      <c r="N157" t="s">
        <v>474</v>
      </c>
      <c r="O157" t="s">
        <v>474</v>
      </c>
      <c r="P157" t="s">
        <v>474</v>
      </c>
      <c r="Q157" t="s">
        <v>474</v>
      </c>
      <c r="R157" t="s">
        <v>474</v>
      </c>
      <c r="S157" t="s">
        <v>474</v>
      </c>
      <c r="T157" t="s">
        <v>474</v>
      </c>
      <c r="U157" t="s">
        <v>474</v>
      </c>
      <c r="V157" t="s">
        <v>485</v>
      </c>
      <c r="W157" t="s">
        <v>734</v>
      </c>
      <c r="X157" t="s">
        <v>61</v>
      </c>
      <c r="Y157" t="s">
        <v>482</v>
      </c>
    </row>
    <row r="158" spans="1:25" ht="16" x14ac:dyDescent="0.2">
      <c r="A158" t="s">
        <v>474</v>
      </c>
      <c r="B158" t="s">
        <v>822</v>
      </c>
      <c r="C158" t="s">
        <v>474</v>
      </c>
      <c r="D158" t="s">
        <v>474</v>
      </c>
      <c r="E158" t="s">
        <v>43</v>
      </c>
      <c r="F158" t="s">
        <v>731</v>
      </c>
      <c r="G158" t="s">
        <v>735</v>
      </c>
      <c r="H158" t="s">
        <v>474</v>
      </c>
      <c r="I158" t="s">
        <v>736</v>
      </c>
      <c r="J158" t="s">
        <v>474</v>
      </c>
      <c r="K158" t="s">
        <v>474</v>
      </c>
      <c r="L158" t="s">
        <v>474</v>
      </c>
      <c r="M158" t="s">
        <v>474</v>
      </c>
      <c r="N158" t="s">
        <v>474</v>
      </c>
      <c r="O158" t="s">
        <v>474</v>
      </c>
      <c r="P158" t="s">
        <v>474</v>
      </c>
      <c r="Q158" t="s">
        <v>474</v>
      </c>
      <c r="R158" t="s">
        <v>474</v>
      </c>
      <c r="S158" t="s">
        <v>474</v>
      </c>
      <c r="T158" t="s">
        <v>474</v>
      </c>
      <c r="U158" t="s">
        <v>474</v>
      </c>
      <c r="V158" t="s">
        <v>705</v>
      </c>
      <c r="W158" t="s">
        <v>737</v>
      </c>
      <c r="X158" t="s">
        <v>61</v>
      </c>
      <c r="Y158" t="s">
        <v>482</v>
      </c>
    </row>
    <row r="159" spans="1:25" ht="16" x14ac:dyDescent="0.2">
      <c r="A159" t="s">
        <v>474</v>
      </c>
      <c r="B159" t="s">
        <v>822</v>
      </c>
      <c r="C159" t="s">
        <v>474</v>
      </c>
      <c r="D159" t="s">
        <v>474</v>
      </c>
      <c r="E159" t="s">
        <v>47</v>
      </c>
      <c r="F159" t="s">
        <v>731</v>
      </c>
      <c r="G159" t="s">
        <v>738</v>
      </c>
      <c r="H159" t="s">
        <v>474</v>
      </c>
      <c r="I159" t="s">
        <v>739</v>
      </c>
      <c r="J159" t="s">
        <v>474</v>
      </c>
      <c r="K159" t="s">
        <v>474</v>
      </c>
      <c r="L159" t="s">
        <v>474</v>
      </c>
      <c r="M159" t="s">
        <v>474</v>
      </c>
      <c r="N159" t="s">
        <v>474</v>
      </c>
      <c r="O159" t="s">
        <v>474</v>
      </c>
      <c r="P159" t="s">
        <v>474</v>
      </c>
      <c r="Q159" t="s">
        <v>474</v>
      </c>
      <c r="R159" t="s">
        <v>474</v>
      </c>
      <c r="S159" t="s">
        <v>474</v>
      </c>
      <c r="T159" t="s">
        <v>474</v>
      </c>
      <c r="U159" t="s">
        <v>474</v>
      </c>
      <c r="V159" t="s">
        <v>505</v>
      </c>
      <c r="W159" t="s">
        <v>740</v>
      </c>
      <c r="X159" t="s">
        <v>61</v>
      </c>
      <c r="Y159" t="s">
        <v>482</v>
      </c>
    </row>
    <row r="160" spans="1:25" ht="16" x14ac:dyDescent="0.2">
      <c r="A160" t="s">
        <v>474</v>
      </c>
      <c r="B160" t="s">
        <v>822</v>
      </c>
      <c r="C160" t="s">
        <v>474</v>
      </c>
      <c r="D160" t="s">
        <v>474</v>
      </c>
      <c r="E160" t="s">
        <v>51</v>
      </c>
      <c r="F160" t="s">
        <v>731</v>
      </c>
      <c r="G160" t="s">
        <v>741</v>
      </c>
      <c r="H160" t="s">
        <v>474</v>
      </c>
      <c r="I160" t="s">
        <v>742</v>
      </c>
      <c r="J160" t="s">
        <v>474</v>
      </c>
      <c r="K160" t="s">
        <v>474</v>
      </c>
      <c r="L160" t="s">
        <v>474</v>
      </c>
      <c r="M160" t="s">
        <v>474</v>
      </c>
      <c r="N160" t="s">
        <v>474</v>
      </c>
      <c r="O160" t="s">
        <v>474</v>
      </c>
      <c r="P160" t="s">
        <v>474</v>
      </c>
      <c r="Q160" t="s">
        <v>474</v>
      </c>
      <c r="R160" t="s">
        <v>474</v>
      </c>
      <c r="S160" t="s">
        <v>474</v>
      </c>
      <c r="T160" t="s">
        <v>474</v>
      </c>
      <c r="U160" t="s">
        <v>474</v>
      </c>
      <c r="V160" t="s">
        <v>705</v>
      </c>
      <c r="W160" t="s">
        <v>743</v>
      </c>
      <c r="X160" t="s">
        <v>61</v>
      </c>
      <c r="Y160" t="s">
        <v>482</v>
      </c>
    </row>
    <row r="161" spans="1:25" ht="16" x14ac:dyDescent="0.2">
      <c r="A161" t="s">
        <v>474</v>
      </c>
      <c r="B161" t="s">
        <v>822</v>
      </c>
      <c r="C161" t="s">
        <v>474</v>
      </c>
      <c r="D161" t="s">
        <v>474</v>
      </c>
      <c r="E161" t="s">
        <v>55</v>
      </c>
      <c r="F161" t="s">
        <v>731</v>
      </c>
      <c r="G161" t="s">
        <v>744</v>
      </c>
      <c r="H161" t="s">
        <v>474</v>
      </c>
      <c r="I161" t="s">
        <v>745</v>
      </c>
      <c r="J161" t="s">
        <v>474</v>
      </c>
      <c r="K161" t="s">
        <v>474</v>
      </c>
      <c r="L161" t="s">
        <v>474</v>
      </c>
      <c r="M161" t="s">
        <v>474</v>
      </c>
      <c r="N161" t="s">
        <v>474</v>
      </c>
      <c r="O161" t="s">
        <v>474</v>
      </c>
      <c r="P161" t="s">
        <v>474</v>
      </c>
      <c r="Q161" t="s">
        <v>474</v>
      </c>
      <c r="R161" t="s">
        <v>474</v>
      </c>
      <c r="S161" t="s">
        <v>474</v>
      </c>
      <c r="T161" t="s">
        <v>474</v>
      </c>
      <c r="U161" t="s">
        <v>474</v>
      </c>
      <c r="V161" t="s">
        <v>514</v>
      </c>
      <c r="W161" t="s">
        <v>746</v>
      </c>
      <c r="X161" t="s">
        <v>61</v>
      </c>
      <c r="Y161" t="s">
        <v>482</v>
      </c>
    </row>
    <row r="162" spans="1:25" ht="16" x14ac:dyDescent="0.2">
      <c r="A162" t="s">
        <v>474</v>
      </c>
      <c r="B162" t="s">
        <v>823</v>
      </c>
      <c r="C162" t="s">
        <v>474</v>
      </c>
      <c r="D162" t="s">
        <v>474</v>
      </c>
      <c r="E162" t="s">
        <v>36</v>
      </c>
      <c r="F162" t="s">
        <v>748</v>
      </c>
      <c r="G162" t="s">
        <v>749</v>
      </c>
      <c r="H162" t="s">
        <v>474</v>
      </c>
      <c r="I162" t="s">
        <v>750</v>
      </c>
      <c r="J162" t="s">
        <v>474</v>
      </c>
      <c r="K162" t="s">
        <v>474</v>
      </c>
      <c r="L162" t="s">
        <v>474</v>
      </c>
      <c r="M162" t="s">
        <v>474</v>
      </c>
      <c r="N162" t="s">
        <v>474</v>
      </c>
      <c r="O162" t="s">
        <v>474</v>
      </c>
      <c r="P162" t="s">
        <v>474</v>
      </c>
      <c r="Q162" t="s">
        <v>474</v>
      </c>
      <c r="R162" t="s">
        <v>474</v>
      </c>
      <c r="S162" t="s">
        <v>474</v>
      </c>
      <c r="T162" t="s">
        <v>474</v>
      </c>
      <c r="U162" t="s">
        <v>474</v>
      </c>
      <c r="V162" t="s">
        <v>485</v>
      </c>
      <c r="W162" t="s">
        <v>751</v>
      </c>
      <c r="X162" t="s">
        <v>61</v>
      </c>
      <c r="Y162" t="s">
        <v>482</v>
      </c>
    </row>
    <row r="163" spans="1:25" ht="16" x14ac:dyDescent="0.2">
      <c r="A163" t="s">
        <v>474</v>
      </c>
      <c r="B163" t="s">
        <v>823</v>
      </c>
      <c r="C163" t="s">
        <v>474</v>
      </c>
      <c r="D163" t="s">
        <v>474</v>
      </c>
      <c r="E163" t="s">
        <v>43</v>
      </c>
      <c r="F163" t="s">
        <v>748</v>
      </c>
      <c r="G163" t="s">
        <v>752</v>
      </c>
      <c r="H163" t="s">
        <v>474</v>
      </c>
      <c r="I163" t="s">
        <v>753</v>
      </c>
      <c r="J163" t="s">
        <v>474</v>
      </c>
      <c r="K163" t="s">
        <v>474</v>
      </c>
      <c r="L163" t="s">
        <v>474</v>
      </c>
      <c r="M163" t="s">
        <v>474</v>
      </c>
      <c r="N163" t="s">
        <v>474</v>
      </c>
      <c r="O163" t="s">
        <v>474</v>
      </c>
      <c r="P163" t="s">
        <v>474</v>
      </c>
      <c r="Q163" t="s">
        <v>474</v>
      </c>
      <c r="R163" t="s">
        <v>474</v>
      </c>
      <c r="S163" t="s">
        <v>474</v>
      </c>
      <c r="T163" t="s">
        <v>474</v>
      </c>
      <c r="U163" t="s">
        <v>474</v>
      </c>
      <c r="V163" t="s">
        <v>705</v>
      </c>
      <c r="W163" t="s">
        <v>754</v>
      </c>
      <c r="X163" t="s">
        <v>61</v>
      </c>
      <c r="Y163" t="s">
        <v>482</v>
      </c>
    </row>
    <row r="164" spans="1:25" ht="16" x14ac:dyDescent="0.2">
      <c r="A164" t="s">
        <v>474</v>
      </c>
      <c r="B164" t="s">
        <v>823</v>
      </c>
      <c r="C164" t="s">
        <v>474</v>
      </c>
      <c r="D164" t="s">
        <v>474</v>
      </c>
      <c r="E164" t="s">
        <v>47</v>
      </c>
      <c r="F164" t="s">
        <v>748</v>
      </c>
      <c r="G164" t="s">
        <v>755</v>
      </c>
      <c r="H164" t="s">
        <v>474</v>
      </c>
      <c r="I164" t="s">
        <v>756</v>
      </c>
      <c r="J164" t="s">
        <v>474</v>
      </c>
      <c r="K164" t="s">
        <v>474</v>
      </c>
      <c r="L164" t="s">
        <v>474</v>
      </c>
      <c r="M164" t="s">
        <v>474</v>
      </c>
      <c r="N164" t="s">
        <v>474</v>
      </c>
      <c r="O164" t="s">
        <v>474</v>
      </c>
      <c r="P164" t="s">
        <v>474</v>
      </c>
      <c r="Q164" t="s">
        <v>474</v>
      </c>
      <c r="R164" t="s">
        <v>474</v>
      </c>
      <c r="S164" t="s">
        <v>474</v>
      </c>
      <c r="T164" t="s">
        <v>474</v>
      </c>
      <c r="U164" t="s">
        <v>474</v>
      </c>
      <c r="V164" t="s">
        <v>505</v>
      </c>
      <c r="W164" t="s">
        <v>757</v>
      </c>
      <c r="X164" t="s">
        <v>61</v>
      </c>
      <c r="Y164" t="s">
        <v>482</v>
      </c>
    </row>
    <row r="165" spans="1:25" ht="16" x14ac:dyDescent="0.2">
      <c r="A165" t="s">
        <v>474</v>
      </c>
      <c r="B165" t="s">
        <v>823</v>
      </c>
      <c r="C165" t="s">
        <v>474</v>
      </c>
      <c r="D165" t="s">
        <v>474</v>
      </c>
      <c r="E165" t="s">
        <v>51</v>
      </c>
      <c r="F165" t="s">
        <v>748</v>
      </c>
      <c r="G165" t="s">
        <v>758</v>
      </c>
      <c r="H165" t="s">
        <v>474</v>
      </c>
      <c r="I165" t="s">
        <v>759</v>
      </c>
      <c r="J165" t="s">
        <v>474</v>
      </c>
      <c r="K165" t="s">
        <v>474</v>
      </c>
      <c r="L165" t="s">
        <v>474</v>
      </c>
      <c r="M165" t="s">
        <v>474</v>
      </c>
      <c r="N165" t="s">
        <v>474</v>
      </c>
      <c r="O165" t="s">
        <v>474</v>
      </c>
      <c r="P165" t="s">
        <v>474</v>
      </c>
      <c r="Q165" t="s">
        <v>474</v>
      </c>
      <c r="R165" t="s">
        <v>474</v>
      </c>
      <c r="S165" t="s">
        <v>474</v>
      </c>
      <c r="T165" t="s">
        <v>474</v>
      </c>
      <c r="U165" t="s">
        <v>474</v>
      </c>
      <c r="V165" t="s">
        <v>705</v>
      </c>
      <c r="W165" t="s">
        <v>760</v>
      </c>
      <c r="X165" t="s">
        <v>61</v>
      </c>
      <c r="Y165" t="s">
        <v>482</v>
      </c>
    </row>
    <row r="166" spans="1:25" ht="16" x14ac:dyDescent="0.2">
      <c r="A166" t="s">
        <v>474</v>
      </c>
      <c r="B166" t="s">
        <v>823</v>
      </c>
      <c r="C166" t="s">
        <v>474</v>
      </c>
      <c r="D166" t="s">
        <v>474</v>
      </c>
      <c r="E166" t="s">
        <v>55</v>
      </c>
      <c r="F166" t="s">
        <v>748</v>
      </c>
      <c r="G166" t="s">
        <v>761</v>
      </c>
      <c r="H166" t="s">
        <v>474</v>
      </c>
      <c r="I166" t="s">
        <v>762</v>
      </c>
      <c r="J166" t="s">
        <v>474</v>
      </c>
      <c r="K166" t="s">
        <v>474</v>
      </c>
      <c r="L166" t="s">
        <v>474</v>
      </c>
      <c r="M166" t="s">
        <v>474</v>
      </c>
      <c r="N166" t="s">
        <v>474</v>
      </c>
      <c r="O166" t="s">
        <v>474</v>
      </c>
      <c r="P166" t="s">
        <v>474</v>
      </c>
      <c r="Q166" t="s">
        <v>474</v>
      </c>
      <c r="R166" t="s">
        <v>474</v>
      </c>
      <c r="S166" t="s">
        <v>474</v>
      </c>
      <c r="T166" t="s">
        <v>474</v>
      </c>
      <c r="U166" t="s">
        <v>474</v>
      </c>
      <c r="V166" t="s">
        <v>514</v>
      </c>
      <c r="W166" t="s">
        <v>763</v>
      </c>
      <c r="X166" t="s">
        <v>61</v>
      </c>
      <c r="Y166" t="s">
        <v>482</v>
      </c>
    </row>
    <row r="167" spans="1:25" ht="16" x14ac:dyDescent="0.2">
      <c r="A167" t="s">
        <v>474</v>
      </c>
      <c r="B167" t="s">
        <v>824</v>
      </c>
      <c r="C167" t="s">
        <v>474</v>
      </c>
      <c r="D167" t="s">
        <v>474</v>
      </c>
      <c r="E167" t="s">
        <v>36</v>
      </c>
      <c r="F167" t="s">
        <v>765</v>
      </c>
      <c r="G167" t="s">
        <v>766</v>
      </c>
      <c r="H167" t="s">
        <v>474</v>
      </c>
      <c r="I167" t="s">
        <v>767</v>
      </c>
      <c r="J167" t="s">
        <v>474</v>
      </c>
      <c r="K167" t="s">
        <v>474</v>
      </c>
      <c r="L167" t="s">
        <v>474</v>
      </c>
      <c r="M167" t="s">
        <v>474</v>
      </c>
      <c r="N167" t="s">
        <v>474</v>
      </c>
      <c r="O167" t="s">
        <v>474</v>
      </c>
      <c r="P167" t="s">
        <v>474</v>
      </c>
      <c r="Q167" t="s">
        <v>474</v>
      </c>
      <c r="R167" t="s">
        <v>474</v>
      </c>
      <c r="S167" t="s">
        <v>474</v>
      </c>
      <c r="T167" t="s">
        <v>474</v>
      </c>
      <c r="U167" t="s">
        <v>474</v>
      </c>
      <c r="V167" t="s">
        <v>485</v>
      </c>
      <c r="W167" t="s">
        <v>768</v>
      </c>
      <c r="X167" t="s">
        <v>61</v>
      </c>
      <c r="Y167" t="s">
        <v>482</v>
      </c>
    </row>
    <row r="168" spans="1:25" ht="16" x14ac:dyDescent="0.2">
      <c r="A168" t="s">
        <v>474</v>
      </c>
      <c r="B168" t="s">
        <v>824</v>
      </c>
      <c r="C168" t="s">
        <v>474</v>
      </c>
      <c r="D168" t="s">
        <v>474</v>
      </c>
      <c r="E168" t="s">
        <v>43</v>
      </c>
      <c r="F168" t="s">
        <v>765</v>
      </c>
      <c r="G168" t="s">
        <v>769</v>
      </c>
      <c r="H168" t="s">
        <v>474</v>
      </c>
      <c r="I168" t="s">
        <v>770</v>
      </c>
      <c r="J168" t="s">
        <v>474</v>
      </c>
      <c r="K168" t="s">
        <v>474</v>
      </c>
      <c r="L168" t="s">
        <v>474</v>
      </c>
      <c r="M168" t="s">
        <v>474</v>
      </c>
      <c r="N168" t="s">
        <v>474</v>
      </c>
      <c r="O168" t="s">
        <v>474</v>
      </c>
      <c r="P168" t="s">
        <v>474</v>
      </c>
      <c r="Q168" t="s">
        <v>474</v>
      </c>
      <c r="R168" t="s">
        <v>474</v>
      </c>
      <c r="S168" t="s">
        <v>474</v>
      </c>
      <c r="T168" t="s">
        <v>474</v>
      </c>
      <c r="U168" t="s">
        <v>474</v>
      </c>
      <c r="V168" t="s">
        <v>705</v>
      </c>
      <c r="W168" t="s">
        <v>771</v>
      </c>
      <c r="X168" t="s">
        <v>61</v>
      </c>
      <c r="Y168" t="s">
        <v>482</v>
      </c>
    </row>
    <row r="169" spans="1:25" ht="16" x14ac:dyDescent="0.2">
      <c r="A169" t="s">
        <v>474</v>
      </c>
      <c r="B169" t="s">
        <v>824</v>
      </c>
      <c r="C169" t="s">
        <v>474</v>
      </c>
      <c r="D169" t="s">
        <v>474</v>
      </c>
      <c r="E169" t="s">
        <v>47</v>
      </c>
      <c r="F169" t="s">
        <v>765</v>
      </c>
      <c r="G169" t="s">
        <v>772</v>
      </c>
      <c r="H169" t="s">
        <v>474</v>
      </c>
      <c r="I169" t="s">
        <v>773</v>
      </c>
      <c r="J169" t="s">
        <v>474</v>
      </c>
      <c r="K169" t="s">
        <v>474</v>
      </c>
      <c r="L169" t="s">
        <v>474</v>
      </c>
      <c r="M169" t="s">
        <v>474</v>
      </c>
      <c r="N169" t="s">
        <v>474</v>
      </c>
      <c r="O169" t="s">
        <v>474</v>
      </c>
      <c r="P169" t="s">
        <v>474</v>
      </c>
      <c r="Q169" t="s">
        <v>474</v>
      </c>
      <c r="R169" t="s">
        <v>474</v>
      </c>
      <c r="S169" t="s">
        <v>474</v>
      </c>
      <c r="T169" t="s">
        <v>474</v>
      </c>
      <c r="U169" t="s">
        <v>474</v>
      </c>
      <c r="V169" t="s">
        <v>505</v>
      </c>
      <c r="W169" t="s">
        <v>774</v>
      </c>
      <c r="X169" t="s">
        <v>61</v>
      </c>
      <c r="Y169" t="s">
        <v>482</v>
      </c>
    </row>
    <row r="170" spans="1:25" ht="16" x14ac:dyDescent="0.2">
      <c r="A170" t="s">
        <v>474</v>
      </c>
      <c r="B170" t="s">
        <v>824</v>
      </c>
      <c r="C170" t="s">
        <v>474</v>
      </c>
      <c r="D170" t="s">
        <v>474</v>
      </c>
      <c r="E170" t="s">
        <v>51</v>
      </c>
      <c r="F170" t="s">
        <v>765</v>
      </c>
      <c r="G170" t="s">
        <v>775</v>
      </c>
      <c r="H170" t="s">
        <v>474</v>
      </c>
      <c r="I170" t="s">
        <v>776</v>
      </c>
      <c r="J170" t="s">
        <v>474</v>
      </c>
      <c r="K170" t="s">
        <v>474</v>
      </c>
      <c r="L170" t="s">
        <v>474</v>
      </c>
      <c r="M170" t="s">
        <v>474</v>
      </c>
      <c r="N170" t="s">
        <v>474</v>
      </c>
      <c r="O170" t="s">
        <v>474</v>
      </c>
      <c r="P170" t="s">
        <v>474</v>
      </c>
      <c r="Q170" t="s">
        <v>474</v>
      </c>
      <c r="R170" t="s">
        <v>474</v>
      </c>
      <c r="S170" t="s">
        <v>474</v>
      </c>
      <c r="T170" t="s">
        <v>474</v>
      </c>
      <c r="U170" t="s">
        <v>474</v>
      </c>
      <c r="V170" t="s">
        <v>705</v>
      </c>
      <c r="W170" t="s">
        <v>777</v>
      </c>
      <c r="X170" t="s">
        <v>61</v>
      </c>
      <c r="Y170" t="s">
        <v>482</v>
      </c>
    </row>
    <row r="171" spans="1:25" ht="16" x14ac:dyDescent="0.2">
      <c r="A171" t="s">
        <v>474</v>
      </c>
      <c r="B171" t="s">
        <v>824</v>
      </c>
      <c r="C171" t="s">
        <v>474</v>
      </c>
      <c r="D171" t="s">
        <v>474</v>
      </c>
      <c r="E171" t="s">
        <v>55</v>
      </c>
      <c r="F171" t="s">
        <v>765</v>
      </c>
      <c r="G171" t="s">
        <v>778</v>
      </c>
      <c r="H171" t="s">
        <v>474</v>
      </c>
      <c r="I171" t="s">
        <v>779</v>
      </c>
      <c r="J171" t="s">
        <v>474</v>
      </c>
      <c r="K171" t="s">
        <v>474</v>
      </c>
      <c r="L171" t="s">
        <v>474</v>
      </c>
      <c r="M171" t="s">
        <v>474</v>
      </c>
      <c r="N171" t="s">
        <v>474</v>
      </c>
      <c r="O171" t="s">
        <v>474</v>
      </c>
      <c r="P171" t="s">
        <v>474</v>
      </c>
      <c r="Q171" t="s">
        <v>474</v>
      </c>
      <c r="R171" t="s">
        <v>474</v>
      </c>
      <c r="S171" t="s">
        <v>474</v>
      </c>
      <c r="T171" t="s">
        <v>474</v>
      </c>
      <c r="U171" t="s">
        <v>474</v>
      </c>
      <c r="V171" t="s">
        <v>514</v>
      </c>
      <c r="W171" t="s">
        <v>780</v>
      </c>
      <c r="X171" t="s">
        <v>61</v>
      </c>
      <c r="Y171" t="s">
        <v>482</v>
      </c>
    </row>
    <row r="172" spans="1:25" ht="16" x14ac:dyDescent="0.2">
      <c r="A172" t="s">
        <v>474</v>
      </c>
      <c r="B172" t="s">
        <v>825</v>
      </c>
      <c r="C172" t="s">
        <v>474</v>
      </c>
      <c r="D172" t="s">
        <v>474</v>
      </c>
      <c r="E172" t="s">
        <v>36</v>
      </c>
      <c r="F172" t="s">
        <v>783</v>
      </c>
      <c r="G172" t="s">
        <v>784</v>
      </c>
      <c r="H172" t="s">
        <v>474</v>
      </c>
      <c r="I172" t="s">
        <v>785</v>
      </c>
      <c r="J172" t="s">
        <v>474</v>
      </c>
      <c r="K172" t="s">
        <v>474</v>
      </c>
      <c r="L172" t="s">
        <v>474</v>
      </c>
      <c r="M172" t="s">
        <v>474</v>
      </c>
      <c r="N172" t="s">
        <v>474</v>
      </c>
      <c r="O172" t="s">
        <v>474</v>
      </c>
      <c r="P172" t="s">
        <v>474</v>
      </c>
      <c r="Q172" t="s">
        <v>474</v>
      </c>
      <c r="R172" t="s">
        <v>474</v>
      </c>
      <c r="S172" t="s">
        <v>474</v>
      </c>
      <c r="T172" t="s">
        <v>474</v>
      </c>
      <c r="U172" t="s">
        <v>474</v>
      </c>
      <c r="V172" t="s">
        <v>485</v>
      </c>
      <c r="W172" t="s">
        <v>786</v>
      </c>
      <c r="X172" t="s">
        <v>61</v>
      </c>
      <c r="Y172" t="s">
        <v>482</v>
      </c>
    </row>
    <row r="173" spans="1:25" ht="16" x14ac:dyDescent="0.2">
      <c r="A173" t="s">
        <v>474</v>
      </c>
      <c r="B173" t="s">
        <v>825</v>
      </c>
      <c r="C173" t="s">
        <v>474</v>
      </c>
      <c r="D173" t="s">
        <v>474</v>
      </c>
      <c r="E173" t="s">
        <v>43</v>
      </c>
      <c r="F173" t="s">
        <v>783</v>
      </c>
      <c r="G173" t="s">
        <v>787</v>
      </c>
      <c r="H173" t="s">
        <v>474</v>
      </c>
      <c r="I173" t="s">
        <v>788</v>
      </c>
      <c r="J173" t="s">
        <v>474</v>
      </c>
      <c r="K173" t="s">
        <v>474</v>
      </c>
      <c r="L173" t="s">
        <v>474</v>
      </c>
      <c r="M173" t="s">
        <v>474</v>
      </c>
      <c r="N173" t="s">
        <v>474</v>
      </c>
      <c r="O173" t="s">
        <v>474</v>
      </c>
      <c r="P173" t="s">
        <v>474</v>
      </c>
      <c r="Q173" t="s">
        <v>474</v>
      </c>
      <c r="R173" t="s">
        <v>474</v>
      </c>
      <c r="S173" t="s">
        <v>474</v>
      </c>
      <c r="T173" t="s">
        <v>474</v>
      </c>
      <c r="U173" t="s">
        <v>474</v>
      </c>
      <c r="V173" t="s">
        <v>705</v>
      </c>
      <c r="W173" t="s">
        <v>789</v>
      </c>
      <c r="X173" t="s">
        <v>61</v>
      </c>
      <c r="Y173" t="s">
        <v>482</v>
      </c>
    </row>
    <row r="174" spans="1:25" ht="16" x14ac:dyDescent="0.2">
      <c r="A174" t="s">
        <v>474</v>
      </c>
      <c r="B174" t="s">
        <v>825</v>
      </c>
      <c r="C174" t="s">
        <v>474</v>
      </c>
      <c r="D174" t="s">
        <v>474</v>
      </c>
      <c r="E174" t="s">
        <v>47</v>
      </c>
      <c r="F174" t="s">
        <v>783</v>
      </c>
      <c r="G174" t="s">
        <v>790</v>
      </c>
      <c r="H174" t="s">
        <v>474</v>
      </c>
      <c r="I174" t="s">
        <v>791</v>
      </c>
      <c r="J174" t="s">
        <v>474</v>
      </c>
      <c r="K174" t="s">
        <v>474</v>
      </c>
      <c r="L174" t="s">
        <v>474</v>
      </c>
      <c r="M174" t="s">
        <v>474</v>
      </c>
      <c r="N174" t="s">
        <v>474</v>
      </c>
      <c r="O174" t="s">
        <v>474</v>
      </c>
      <c r="P174" t="s">
        <v>474</v>
      </c>
      <c r="Q174" t="s">
        <v>474</v>
      </c>
      <c r="R174" t="s">
        <v>474</v>
      </c>
      <c r="S174" t="s">
        <v>474</v>
      </c>
      <c r="T174" t="s">
        <v>474</v>
      </c>
      <c r="U174" t="s">
        <v>474</v>
      </c>
      <c r="V174" t="s">
        <v>505</v>
      </c>
      <c r="W174" t="s">
        <v>792</v>
      </c>
      <c r="X174" t="s">
        <v>61</v>
      </c>
      <c r="Y174" t="s">
        <v>482</v>
      </c>
    </row>
    <row r="175" spans="1:25" ht="16" x14ac:dyDescent="0.2">
      <c r="A175" t="s">
        <v>474</v>
      </c>
      <c r="B175" t="s">
        <v>825</v>
      </c>
      <c r="C175" t="s">
        <v>474</v>
      </c>
      <c r="D175" t="s">
        <v>474</v>
      </c>
      <c r="E175" t="s">
        <v>51</v>
      </c>
      <c r="F175" t="s">
        <v>783</v>
      </c>
      <c r="G175" t="s">
        <v>793</v>
      </c>
      <c r="H175" t="s">
        <v>474</v>
      </c>
      <c r="I175" t="s">
        <v>794</v>
      </c>
      <c r="J175" t="s">
        <v>474</v>
      </c>
      <c r="K175" t="s">
        <v>474</v>
      </c>
      <c r="L175" t="s">
        <v>474</v>
      </c>
      <c r="M175" t="s">
        <v>474</v>
      </c>
      <c r="N175" t="s">
        <v>474</v>
      </c>
      <c r="O175" t="s">
        <v>474</v>
      </c>
      <c r="P175" t="s">
        <v>474</v>
      </c>
      <c r="Q175" t="s">
        <v>474</v>
      </c>
      <c r="R175" t="s">
        <v>474</v>
      </c>
      <c r="S175" t="s">
        <v>474</v>
      </c>
      <c r="T175" t="s">
        <v>474</v>
      </c>
      <c r="U175" t="s">
        <v>474</v>
      </c>
      <c r="V175" t="s">
        <v>705</v>
      </c>
      <c r="W175" t="s">
        <v>795</v>
      </c>
      <c r="X175" t="s">
        <v>61</v>
      </c>
      <c r="Y175" t="s">
        <v>482</v>
      </c>
    </row>
    <row r="176" spans="1:25" ht="16" x14ac:dyDescent="0.2">
      <c r="A176" t="s">
        <v>474</v>
      </c>
      <c r="B176" t="s">
        <v>825</v>
      </c>
      <c r="C176" t="s">
        <v>474</v>
      </c>
      <c r="D176" t="s">
        <v>474</v>
      </c>
      <c r="E176" t="s">
        <v>55</v>
      </c>
      <c r="F176" t="s">
        <v>783</v>
      </c>
      <c r="G176" t="s">
        <v>796</v>
      </c>
      <c r="H176" t="s">
        <v>474</v>
      </c>
      <c r="I176" t="s">
        <v>797</v>
      </c>
      <c r="J176" t="s">
        <v>474</v>
      </c>
      <c r="K176" t="s">
        <v>474</v>
      </c>
      <c r="L176" t="s">
        <v>474</v>
      </c>
      <c r="M176" t="s">
        <v>474</v>
      </c>
      <c r="N176" t="s">
        <v>474</v>
      </c>
      <c r="O176" t="s">
        <v>474</v>
      </c>
      <c r="P176" t="s">
        <v>474</v>
      </c>
      <c r="Q176" t="s">
        <v>474</v>
      </c>
      <c r="R176" t="s">
        <v>474</v>
      </c>
      <c r="S176" t="s">
        <v>474</v>
      </c>
      <c r="T176" t="s">
        <v>474</v>
      </c>
      <c r="U176" t="s">
        <v>474</v>
      </c>
      <c r="V176" t="s">
        <v>514</v>
      </c>
      <c r="W176" t="s">
        <v>798</v>
      </c>
      <c r="X176" t="s">
        <v>61</v>
      </c>
      <c r="Y176" t="s">
        <v>482</v>
      </c>
    </row>
    <row r="177" spans="1:25" ht="16" x14ac:dyDescent="0.2">
      <c r="A177" t="s">
        <v>474</v>
      </c>
      <c r="B177" t="s">
        <v>826</v>
      </c>
      <c r="C177" t="s">
        <v>474</v>
      </c>
      <c r="D177" t="s">
        <v>474</v>
      </c>
      <c r="E177" t="s">
        <v>36</v>
      </c>
      <c r="F177" t="s">
        <v>800</v>
      </c>
      <c r="G177" t="s">
        <v>801</v>
      </c>
      <c r="H177" t="s">
        <v>474</v>
      </c>
      <c r="I177" t="s">
        <v>802</v>
      </c>
      <c r="J177" t="s">
        <v>474</v>
      </c>
      <c r="K177" t="s">
        <v>474</v>
      </c>
      <c r="L177" t="s">
        <v>474</v>
      </c>
      <c r="M177" t="s">
        <v>474</v>
      </c>
      <c r="N177" t="s">
        <v>474</v>
      </c>
      <c r="O177" t="s">
        <v>474</v>
      </c>
      <c r="P177" t="s">
        <v>474</v>
      </c>
      <c r="Q177" t="s">
        <v>474</v>
      </c>
      <c r="R177" t="s">
        <v>474</v>
      </c>
      <c r="S177" t="s">
        <v>474</v>
      </c>
      <c r="T177" t="s">
        <v>474</v>
      </c>
      <c r="U177" t="s">
        <v>474</v>
      </c>
      <c r="V177" t="s">
        <v>485</v>
      </c>
      <c r="W177" t="s">
        <v>803</v>
      </c>
      <c r="X177" t="s">
        <v>61</v>
      </c>
      <c r="Y177" t="s">
        <v>482</v>
      </c>
    </row>
    <row r="178" spans="1:25" ht="16" x14ac:dyDescent="0.2">
      <c r="A178" t="s">
        <v>474</v>
      </c>
      <c r="B178" t="s">
        <v>826</v>
      </c>
      <c r="C178" t="s">
        <v>474</v>
      </c>
      <c r="D178" t="s">
        <v>474</v>
      </c>
      <c r="E178" t="s">
        <v>43</v>
      </c>
      <c r="F178" t="s">
        <v>800</v>
      </c>
      <c r="G178" t="s">
        <v>804</v>
      </c>
      <c r="H178" t="s">
        <v>474</v>
      </c>
      <c r="I178" t="s">
        <v>805</v>
      </c>
      <c r="J178" t="s">
        <v>474</v>
      </c>
      <c r="K178" t="s">
        <v>474</v>
      </c>
      <c r="L178" t="s">
        <v>474</v>
      </c>
      <c r="M178" t="s">
        <v>474</v>
      </c>
      <c r="N178" t="s">
        <v>474</v>
      </c>
      <c r="O178" t="s">
        <v>474</v>
      </c>
      <c r="P178" t="s">
        <v>474</v>
      </c>
      <c r="Q178" t="s">
        <v>474</v>
      </c>
      <c r="R178" t="s">
        <v>474</v>
      </c>
      <c r="S178" t="s">
        <v>474</v>
      </c>
      <c r="T178" t="s">
        <v>474</v>
      </c>
      <c r="U178" t="s">
        <v>474</v>
      </c>
      <c r="V178" t="s">
        <v>705</v>
      </c>
      <c r="W178" t="s">
        <v>806</v>
      </c>
      <c r="X178" t="s">
        <v>61</v>
      </c>
      <c r="Y178" t="s">
        <v>482</v>
      </c>
    </row>
    <row r="179" spans="1:25" ht="16" x14ac:dyDescent="0.2">
      <c r="A179" t="s">
        <v>474</v>
      </c>
      <c r="B179" t="s">
        <v>826</v>
      </c>
      <c r="C179" t="s">
        <v>474</v>
      </c>
      <c r="D179" t="s">
        <v>474</v>
      </c>
      <c r="E179" t="s">
        <v>47</v>
      </c>
      <c r="F179" t="s">
        <v>800</v>
      </c>
      <c r="G179" t="s">
        <v>807</v>
      </c>
      <c r="H179" t="s">
        <v>474</v>
      </c>
      <c r="I179" t="s">
        <v>808</v>
      </c>
      <c r="J179" t="s">
        <v>474</v>
      </c>
      <c r="K179" t="s">
        <v>474</v>
      </c>
      <c r="L179" t="s">
        <v>474</v>
      </c>
      <c r="M179" t="s">
        <v>474</v>
      </c>
      <c r="N179" t="s">
        <v>474</v>
      </c>
      <c r="O179" t="s">
        <v>474</v>
      </c>
      <c r="P179" t="s">
        <v>474</v>
      </c>
      <c r="Q179" t="s">
        <v>474</v>
      </c>
      <c r="R179" t="s">
        <v>474</v>
      </c>
      <c r="S179" t="s">
        <v>474</v>
      </c>
      <c r="T179" t="s">
        <v>474</v>
      </c>
      <c r="U179" t="s">
        <v>474</v>
      </c>
      <c r="V179" t="s">
        <v>505</v>
      </c>
      <c r="W179" t="s">
        <v>809</v>
      </c>
      <c r="X179" t="s">
        <v>61</v>
      </c>
      <c r="Y179" t="s">
        <v>482</v>
      </c>
    </row>
    <row r="180" spans="1:25" ht="16" x14ac:dyDescent="0.2">
      <c r="A180" t="s">
        <v>474</v>
      </c>
      <c r="B180" t="s">
        <v>826</v>
      </c>
      <c r="C180" t="s">
        <v>474</v>
      </c>
      <c r="D180" t="s">
        <v>474</v>
      </c>
      <c r="E180" t="s">
        <v>51</v>
      </c>
      <c r="F180" t="s">
        <v>800</v>
      </c>
      <c r="G180" t="s">
        <v>810</v>
      </c>
      <c r="H180" t="s">
        <v>474</v>
      </c>
      <c r="I180" t="s">
        <v>811</v>
      </c>
      <c r="J180" t="s">
        <v>474</v>
      </c>
      <c r="K180" t="s">
        <v>474</v>
      </c>
      <c r="L180" t="s">
        <v>474</v>
      </c>
      <c r="M180" t="s">
        <v>474</v>
      </c>
      <c r="N180" t="s">
        <v>474</v>
      </c>
      <c r="O180" t="s">
        <v>474</v>
      </c>
      <c r="P180" t="s">
        <v>474</v>
      </c>
      <c r="Q180" t="s">
        <v>474</v>
      </c>
      <c r="R180" t="s">
        <v>474</v>
      </c>
      <c r="S180" t="s">
        <v>474</v>
      </c>
      <c r="T180" t="s">
        <v>474</v>
      </c>
      <c r="U180" t="s">
        <v>474</v>
      </c>
      <c r="V180" t="s">
        <v>705</v>
      </c>
      <c r="W180" t="s">
        <v>812</v>
      </c>
      <c r="X180" t="s">
        <v>61</v>
      </c>
      <c r="Y180" t="s">
        <v>482</v>
      </c>
    </row>
    <row r="181" spans="1:25" ht="16" x14ac:dyDescent="0.2">
      <c r="A181" t="s">
        <v>474</v>
      </c>
      <c r="B181" t="s">
        <v>826</v>
      </c>
      <c r="C181" t="s">
        <v>474</v>
      </c>
      <c r="D181" t="s">
        <v>474</v>
      </c>
      <c r="E181" t="s">
        <v>55</v>
      </c>
      <c r="F181" t="s">
        <v>800</v>
      </c>
      <c r="G181" t="s">
        <v>813</v>
      </c>
      <c r="H181" t="s">
        <v>474</v>
      </c>
      <c r="I181" t="s">
        <v>814</v>
      </c>
      <c r="J181" t="s">
        <v>474</v>
      </c>
      <c r="K181" t="s">
        <v>474</v>
      </c>
      <c r="L181" t="s">
        <v>474</v>
      </c>
      <c r="M181" t="s">
        <v>474</v>
      </c>
      <c r="N181" t="s">
        <v>474</v>
      </c>
      <c r="O181" t="s">
        <v>474</v>
      </c>
      <c r="P181" t="s">
        <v>474</v>
      </c>
      <c r="Q181" t="s">
        <v>474</v>
      </c>
      <c r="R181" t="s">
        <v>474</v>
      </c>
      <c r="S181" t="s">
        <v>474</v>
      </c>
      <c r="T181" t="s">
        <v>474</v>
      </c>
      <c r="U181" t="s">
        <v>474</v>
      </c>
      <c r="V181" t="s">
        <v>514</v>
      </c>
      <c r="W181" t="s">
        <v>815</v>
      </c>
      <c r="X181" t="s">
        <v>61</v>
      </c>
      <c r="Y181" t="s">
        <v>482</v>
      </c>
    </row>
    <row r="182" spans="1:25" ht="16" x14ac:dyDescent="0.2">
      <c r="A182" t="s">
        <v>474</v>
      </c>
      <c r="B182" t="s">
        <v>827</v>
      </c>
      <c r="C182" t="s">
        <v>474</v>
      </c>
      <c r="D182" t="s">
        <v>474</v>
      </c>
      <c r="E182" t="s">
        <v>36</v>
      </c>
      <c r="F182" t="s">
        <v>616</v>
      </c>
      <c r="G182" t="s">
        <v>828</v>
      </c>
      <c r="H182" t="s">
        <v>474</v>
      </c>
      <c r="I182" t="s">
        <v>829</v>
      </c>
      <c r="J182" t="s">
        <v>474</v>
      </c>
      <c r="K182" t="s">
        <v>474</v>
      </c>
      <c r="L182" t="s">
        <v>474</v>
      </c>
      <c r="M182" t="s">
        <v>474</v>
      </c>
      <c r="N182" t="s">
        <v>474</v>
      </c>
      <c r="O182" t="s">
        <v>474</v>
      </c>
      <c r="P182" t="s">
        <v>474</v>
      </c>
      <c r="Q182" t="s">
        <v>474</v>
      </c>
      <c r="R182" t="s">
        <v>474</v>
      </c>
      <c r="S182" t="s">
        <v>474</v>
      </c>
      <c r="T182" t="s">
        <v>474</v>
      </c>
      <c r="U182" t="s">
        <v>474</v>
      </c>
      <c r="V182" t="s">
        <v>830</v>
      </c>
      <c r="W182" t="s">
        <v>831</v>
      </c>
      <c r="X182" t="s">
        <v>30</v>
      </c>
      <c r="Y182" t="s">
        <v>476</v>
      </c>
    </row>
    <row r="183" spans="1:25" ht="16" x14ac:dyDescent="0.2">
      <c r="A183" t="s">
        <v>474</v>
      </c>
      <c r="B183" t="s">
        <v>832</v>
      </c>
      <c r="C183" t="s">
        <v>474</v>
      </c>
      <c r="D183" t="s">
        <v>474</v>
      </c>
      <c r="E183" t="s">
        <v>36</v>
      </c>
      <c r="F183" t="s">
        <v>648</v>
      </c>
      <c r="G183" t="s">
        <v>833</v>
      </c>
      <c r="H183" t="s">
        <v>474</v>
      </c>
      <c r="I183" t="s">
        <v>834</v>
      </c>
      <c r="J183" t="s">
        <v>474</v>
      </c>
      <c r="K183" t="s">
        <v>474</v>
      </c>
      <c r="L183" t="s">
        <v>474</v>
      </c>
      <c r="M183" t="s">
        <v>474</v>
      </c>
      <c r="N183" t="s">
        <v>474</v>
      </c>
      <c r="O183" t="s">
        <v>474</v>
      </c>
      <c r="P183" t="s">
        <v>474</v>
      </c>
      <c r="Q183" t="s">
        <v>474</v>
      </c>
      <c r="R183" t="s">
        <v>474</v>
      </c>
      <c r="S183" t="s">
        <v>474</v>
      </c>
      <c r="T183" t="s">
        <v>474</v>
      </c>
      <c r="U183" t="s">
        <v>474</v>
      </c>
      <c r="V183" t="s">
        <v>830</v>
      </c>
      <c r="W183" t="s">
        <v>835</v>
      </c>
      <c r="X183" t="s">
        <v>30</v>
      </c>
      <c r="Y183" t="s">
        <v>476</v>
      </c>
    </row>
    <row r="184" spans="1:25" ht="16" x14ac:dyDescent="0.2">
      <c r="A184" t="s">
        <v>474</v>
      </c>
      <c r="B184" t="s">
        <v>836</v>
      </c>
      <c r="C184" t="s">
        <v>474</v>
      </c>
      <c r="D184" t="s">
        <v>474</v>
      </c>
      <c r="E184" t="s">
        <v>36</v>
      </c>
      <c r="F184" t="s">
        <v>633</v>
      </c>
      <c r="G184" t="s">
        <v>837</v>
      </c>
      <c r="H184" t="s">
        <v>474</v>
      </c>
      <c r="I184" t="s">
        <v>838</v>
      </c>
      <c r="J184" t="s">
        <v>474</v>
      </c>
      <c r="K184" t="s">
        <v>474</v>
      </c>
      <c r="L184" t="s">
        <v>474</v>
      </c>
      <c r="M184" t="s">
        <v>474</v>
      </c>
      <c r="N184" t="s">
        <v>474</v>
      </c>
      <c r="O184" t="s">
        <v>474</v>
      </c>
      <c r="P184" t="s">
        <v>474</v>
      </c>
      <c r="Q184" t="s">
        <v>474</v>
      </c>
      <c r="R184" t="s">
        <v>474</v>
      </c>
      <c r="S184" t="s">
        <v>474</v>
      </c>
      <c r="T184" t="s">
        <v>474</v>
      </c>
      <c r="U184" t="s">
        <v>474</v>
      </c>
      <c r="V184" t="s">
        <v>830</v>
      </c>
      <c r="W184" t="s">
        <v>839</v>
      </c>
      <c r="X184" t="s">
        <v>30</v>
      </c>
      <c r="Y184" t="s">
        <v>476</v>
      </c>
    </row>
    <row r="185" spans="1:25" ht="16" x14ac:dyDescent="0.2">
      <c r="A185" t="s">
        <v>474</v>
      </c>
      <c r="B185" t="s">
        <v>840</v>
      </c>
      <c r="C185" t="s">
        <v>474</v>
      </c>
      <c r="D185" t="s">
        <v>474</v>
      </c>
      <c r="E185" t="s">
        <v>36</v>
      </c>
      <c r="F185" t="s">
        <v>685</v>
      </c>
      <c r="G185" t="s">
        <v>841</v>
      </c>
      <c r="H185" t="s">
        <v>474</v>
      </c>
      <c r="I185" t="s">
        <v>842</v>
      </c>
      <c r="J185" t="s">
        <v>474</v>
      </c>
      <c r="K185" t="s">
        <v>474</v>
      </c>
      <c r="L185" t="s">
        <v>474</v>
      </c>
      <c r="M185" t="s">
        <v>474</v>
      </c>
      <c r="N185" t="s">
        <v>474</v>
      </c>
      <c r="O185" t="s">
        <v>474</v>
      </c>
      <c r="P185" t="s">
        <v>474</v>
      </c>
      <c r="Q185" t="s">
        <v>474</v>
      </c>
      <c r="R185" t="s">
        <v>474</v>
      </c>
      <c r="S185" t="s">
        <v>474</v>
      </c>
      <c r="T185" t="s">
        <v>474</v>
      </c>
      <c r="U185" t="s">
        <v>474</v>
      </c>
      <c r="V185" t="s">
        <v>830</v>
      </c>
      <c r="W185" t="s">
        <v>843</v>
      </c>
      <c r="X185" t="s">
        <v>30</v>
      </c>
      <c r="Y185" t="s">
        <v>476</v>
      </c>
    </row>
    <row r="186" spans="1:25" ht="16" x14ac:dyDescent="0.2">
      <c r="A186" t="s">
        <v>474</v>
      </c>
      <c r="B186" t="s">
        <v>844</v>
      </c>
      <c r="C186" t="s">
        <v>474</v>
      </c>
      <c r="D186" t="s">
        <v>474</v>
      </c>
      <c r="E186" t="s">
        <v>36</v>
      </c>
      <c r="F186" t="s">
        <v>731</v>
      </c>
      <c r="G186" t="s">
        <v>845</v>
      </c>
      <c r="H186" t="s">
        <v>474</v>
      </c>
      <c r="I186" t="s">
        <v>846</v>
      </c>
      <c r="J186" t="s">
        <v>474</v>
      </c>
      <c r="K186" t="s">
        <v>474</v>
      </c>
      <c r="L186" t="s">
        <v>474</v>
      </c>
      <c r="M186" t="s">
        <v>474</v>
      </c>
      <c r="N186" t="s">
        <v>474</v>
      </c>
      <c r="O186" t="s">
        <v>474</v>
      </c>
      <c r="P186" t="s">
        <v>474</v>
      </c>
      <c r="Q186" t="s">
        <v>474</v>
      </c>
      <c r="R186" t="s">
        <v>474</v>
      </c>
      <c r="S186" t="s">
        <v>474</v>
      </c>
      <c r="T186" t="s">
        <v>474</v>
      </c>
      <c r="U186" t="s">
        <v>474</v>
      </c>
      <c r="V186" t="s">
        <v>830</v>
      </c>
      <c r="W186" t="s">
        <v>847</v>
      </c>
      <c r="X186" t="s">
        <v>30</v>
      </c>
      <c r="Y186" t="s">
        <v>476</v>
      </c>
    </row>
    <row r="187" spans="1:25" ht="16" x14ac:dyDescent="0.2">
      <c r="A187" t="s">
        <v>474</v>
      </c>
      <c r="B187" t="s">
        <v>848</v>
      </c>
      <c r="C187" t="s">
        <v>474</v>
      </c>
      <c r="D187" t="s">
        <v>474</v>
      </c>
      <c r="E187" t="s">
        <v>36</v>
      </c>
      <c r="F187" t="s">
        <v>665</v>
      </c>
      <c r="G187" t="s">
        <v>849</v>
      </c>
      <c r="H187" t="s">
        <v>474</v>
      </c>
      <c r="I187" t="s">
        <v>850</v>
      </c>
      <c r="J187" t="s">
        <v>474</v>
      </c>
      <c r="K187" t="s">
        <v>474</v>
      </c>
      <c r="L187" t="s">
        <v>474</v>
      </c>
      <c r="M187" t="s">
        <v>474</v>
      </c>
      <c r="N187" t="s">
        <v>474</v>
      </c>
      <c r="O187" t="s">
        <v>474</v>
      </c>
      <c r="P187" t="s">
        <v>474</v>
      </c>
      <c r="Q187" t="s">
        <v>474</v>
      </c>
      <c r="R187" t="s">
        <v>474</v>
      </c>
      <c r="S187" t="s">
        <v>474</v>
      </c>
      <c r="T187" t="s">
        <v>474</v>
      </c>
      <c r="U187" t="s">
        <v>474</v>
      </c>
      <c r="V187" t="s">
        <v>830</v>
      </c>
      <c r="W187" t="s">
        <v>851</v>
      </c>
      <c r="X187" t="s">
        <v>30</v>
      </c>
      <c r="Y187" t="s">
        <v>476</v>
      </c>
    </row>
    <row r="188" spans="1:25" ht="16" x14ac:dyDescent="0.2">
      <c r="A188" t="s">
        <v>474</v>
      </c>
      <c r="B188" t="s">
        <v>852</v>
      </c>
      <c r="C188" t="s">
        <v>474</v>
      </c>
      <c r="D188" t="s">
        <v>474</v>
      </c>
      <c r="E188" t="s">
        <v>36</v>
      </c>
      <c r="F188" t="s">
        <v>714</v>
      </c>
      <c r="G188" t="s">
        <v>853</v>
      </c>
      <c r="H188" t="s">
        <v>474</v>
      </c>
      <c r="I188" t="s">
        <v>854</v>
      </c>
      <c r="J188" t="s">
        <v>474</v>
      </c>
      <c r="K188" t="s">
        <v>474</v>
      </c>
      <c r="L188" t="s">
        <v>474</v>
      </c>
      <c r="M188" t="s">
        <v>474</v>
      </c>
      <c r="N188" t="s">
        <v>474</v>
      </c>
      <c r="O188" t="s">
        <v>474</v>
      </c>
      <c r="P188" t="s">
        <v>474</v>
      </c>
      <c r="Q188" t="s">
        <v>474</v>
      </c>
      <c r="R188" t="s">
        <v>474</v>
      </c>
      <c r="S188" t="s">
        <v>474</v>
      </c>
      <c r="T188" t="s">
        <v>474</v>
      </c>
      <c r="U188" t="s">
        <v>474</v>
      </c>
      <c r="V188" t="s">
        <v>830</v>
      </c>
      <c r="W188" t="s">
        <v>855</v>
      </c>
      <c r="X188" t="s">
        <v>30</v>
      </c>
      <c r="Y188" t="s">
        <v>476</v>
      </c>
    </row>
    <row r="189" spans="1:25" ht="16" x14ac:dyDescent="0.2">
      <c r="A189" t="s">
        <v>474</v>
      </c>
      <c r="B189" t="s">
        <v>856</v>
      </c>
      <c r="C189" t="s">
        <v>474</v>
      </c>
      <c r="D189" t="s">
        <v>474</v>
      </c>
      <c r="E189" t="s">
        <v>36</v>
      </c>
      <c r="F189" t="s">
        <v>748</v>
      </c>
      <c r="G189" t="s">
        <v>857</v>
      </c>
      <c r="H189" t="s">
        <v>474</v>
      </c>
      <c r="I189" t="s">
        <v>858</v>
      </c>
      <c r="J189" t="s">
        <v>474</v>
      </c>
      <c r="K189" t="s">
        <v>474</v>
      </c>
      <c r="L189" t="s">
        <v>474</v>
      </c>
      <c r="M189" t="s">
        <v>474</v>
      </c>
      <c r="N189" t="s">
        <v>474</v>
      </c>
      <c r="O189" t="s">
        <v>474</v>
      </c>
      <c r="P189" t="s">
        <v>474</v>
      </c>
      <c r="Q189" t="s">
        <v>474</v>
      </c>
      <c r="R189" t="s">
        <v>474</v>
      </c>
      <c r="S189" t="s">
        <v>474</v>
      </c>
      <c r="T189" t="s">
        <v>474</v>
      </c>
      <c r="U189" t="s">
        <v>474</v>
      </c>
      <c r="V189" t="s">
        <v>830</v>
      </c>
      <c r="W189" t="s">
        <v>859</v>
      </c>
      <c r="X189" t="s">
        <v>30</v>
      </c>
      <c r="Y189" t="s">
        <v>476</v>
      </c>
    </row>
    <row r="190" spans="1:25" ht="16" x14ac:dyDescent="0.2">
      <c r="A190" t="s">
        <v>474</v>
      </c>
      <c r="B190" t="s">
        <v>860</v>
      </c>
      <c r="C190" t="s">
        <v>474</v>
      </c>
      <c r="D190" t="s">
        <v>474</v>
      </c>
      <c r="E190" t="s">
        <v>36</v>
      </c>
      <c r="F190" t="s">
        <v>765</v>
      </c>
      <c r="G190" t="s">
        <v>861</v>
      </c>
      <c r="H190" t="s">
        <v>474</v>
      </c>
      <c r="I190" t="s">
        <v>862</v>
      </c>
      <c r="J190" t="s">
        <v>474</v>
      </c>
      <c r="K190" t="s">
        <v>474</v>
      </c>
      <c r="L190" t="s">
        <v>474</v>
      </c>
      <c r="M190" t="s">
        <v>474</v>
      </c>
      <c r="N190" t="s">
        <v>474</v>
      </c>
      <c r="O190" t="s">
        <v>474</v>
      </c>
      <c r="P190" t="s">
        <v>474</v>
      </c>
      <c r="Q190" t="s">
        <v>474</v>
      </c>
      <c r="R190" t="s">
        <v>474</v>
      </c>
      <c r="S190" t="s">
        <v>474</v>
      </c>
      <c r="T190" t="s">
        <v>474</v>
      </c>
      <c r="U190" t="s">
        <v>474</v>
      </c>
      <c r="V190" t="s">
        <v>830</v>
      </c>
      <c r="W190" t="s">
        <v>863</v>
      </c>
      <c r="X190" t="s">
        <v>30</v>
      </c>
      <c r="Y190" t="s">
        <v>476</v>
      </c>
    </row>
    <row r="191" spans="1:25" ht="16" x14ac:dyDescent="0.2">
      <c r="A191" t="s">
        <v>474</v>
      </c>
      <c r="B191" t="s">
        <v>864</v>
      </c>
      <c r="C191" t="s">
        <v>474</v>
      </c>
      <c r="D191" t="s">
        <v>474</v>
      </c>
      <c r="E191" t="s">
        <v>36</v>
      </c>
      <c r="F191" t="s">
        <v>783</v>
      </c>
      <c r="G191" t="s">
        <v>865</v>
      </c>
      <c r="H191" t="s">
        <v>474</v>
      </c>
      <c r="I191" t="s">
        <v>866</v>
      </c>
      <c r="J191" t="s">
        <v>474</v>
      </c>
      <c r="K191" t="s">
        <v>474</v>
      </c>
      <c r="L191" t="s">
        <v>474</v>
      </c>
      <c r="M191" t="s">
        <v>474</v>
      </c>
      <c r="N191" t="s">
        <v>474</v>
      </c>
      <c r="O191" t="s">
        <v>474</v>
      </c>
      <c r="P191" t="s">
        <v>474</v>
      </c>
      <c r="Q191" t="s">
        <v>474</v>
      </c>
      <c r="R191" t="s">
        <v>474</v>
      </c>
      <c r="S191" t="s">
        <v>474</v>
      </c>
      <c r="T191" t="s">
        <v>474</v>
      </c>
      <c r="U191" t="s">
        <v>474</v>
      </c>
      <c r="V191" t="s">
        <v>830</v>
      </c>
      <c r="W191" t="s">
        <v>867</v>
      </c>
      <c r="X191" t="s">
        <v>30</v>
      </c>
      <c r="Y191" t="s">
        <v>476</v>
      </c>
    </row>
    <row r="192" spans="1:25" ht="16" x14ac:dyDescent="0.2">
      <c r="A192" t="s">
        <v>474</v>
      </c>
      <c r="B192" t="s">
        <v>868</v>
      </c>
      <c r="C192" t="s">
        <v>474</v>
      </c>
      <c r="D192" t="s">
        <v>474</v>
      </c>
      <c r="E192" t="s">
        <v>36</v>
      </c>
      <c r="F192" t="s">
        <v>597</v>
      </c>
      <c r="G192" t="s">
        <v>869</v>
      </c>
      <c r="H192" t="s">
        <v>474</v>
      </c>
      <c r="I192" t="s">
        <v>870</v>
      </c>
      <c r="J192" t="s">
        <v>474</v>
      </c>
      <c r="K192" t="s">
        <v>474</v>
      </c>
      <c r="L192" t="s">
        <v>474</v>
      </c>
      <c r="M192" t="s">
        <v>474</v>
      </c>
      <c r="N192" t="s">
        <v>474</v>
      </c>
      <c r="O192" t="s">
        <v>474</v>
      </c>
      <c r="P192" t="s">
        <v>474</v>
      </c>
      <c r="Q192" t="s">
        <v>474</v>
      </c>
      <c r="R192" t="s">
        <v>474</v>
      </c>
      <c r="S192" t="s">
        <v>474</v>
      </c>
      <c r="T192" t="s">
        <v>474</v>
      </c>
      <c r="U192" t="s">
        <v>474</v>
      </c>
      <c r="V192" t="s">
        <v>830</v>
      </c>
      <c r="W192" t="s">
        <v>871</v>
      </c>
      <c r="X192" t="s">
        <v>30</v>
      </c>
      <c r="Y192" t="s">
        <v>476</v>
      </c>
    </row>
    <row r="193" spans="1:25" ht="16" x14ac:dyDescent="0.2">
      <c r="A193" t="s">
        <v>474</v>
      </c>
      <c r="B193" t="s">
        <v>872</v>
      </c>
      <c r="C193" t="s">
        <v>474</v>
      </c>
      <c r="D193" t="s">
        <v>474</v>
      </c>
      <c r="E193" t="s">
        <v>36</v>
      </c>
      <c r="F193" t="s">
        <v>539</v>
      </c>
      <c r="G193" t="s">
        <v>873</v>
      </c>
      <c r="H193" t="s">
        <v>474</v>
      </c>
      <c r="I193" t="s">
        <v>874</v>
      </c>
      <c r="J193" t="s">
        <v>474</v>
      </c>
      <c r="K193" t="s">
        <v>474</v>
      </c>
      <c r="L193" t="s">
        <v>474</v>
      </c>
      <c r="M193" t="s">
        <v>474</v>
      </c>
      <c r="N193" t="s">
        <v>474</v>
      </c>
      <c r="O193" t="s">
        <v>474</v>
      </c>
      <c r="P193" t="s">
        <v>474</v>
      </c>
      <c r="Q193" t="s">
        <v>474</v>
      </c>
      <c r="R193" t="s">
        <v>474</v>
      </c>
      <c r="S193" t="s">
        <v>474</v>
      </c>
      <c r="T193" t="s">
        <v>474</v>
      </c>
      <c r="U193" t="s">
        <v>474</v>
      </c>
      <c r="V193" t="s">
        <v>875</v>
      </c>
      <c r="W193" t="s">
        <v>876</v>
      </c>
      <c r="X193" t="s">
        <v>30</v>
      </c>
      <c r="Y193" t="s">
        <v>476</v>
      </c>
    </row>
    <row r="194" spans="1:25" ht="16" x14ac:dyDescent="0.2">
      <c r="A194" t="s">
        <v>474</v>
      </c>
      <c r="B194" t="s">
        <v>877</v>
      </c>
      <c r="C194" t="s">
        <v>474</v>
      </c>
      <c r="D194" t="s">
        <v>474</v>
      </c>
      <c r="E194" t="s">
        <v>36</v>
      </c>
      <c r="F194" t="s">
        <v>878</v>
      </c>
      <c r="G194" t="s">
        <v>879</v>
      </c>
      <c r="H194" t="s">
        <v>474</v>
      </c>
      <c r="I194" t="s">
        <v>880</v>
      </c>
      <c r="J194" t="s">
        <v>474</v>
      </c>
      <c r="K194" t="s">
        <v>474</v>
      </c>
      <c r="L194" t="s">
        <v>474</v>
      </c>
      <c r="M194" t="s">
        <v>474</v>
      </c>
      <c r="N194" t="s">
        <v>474</v>
      </c>
      <c r="O194" t="s">
        <v>474</v>
      </c>
      <c r="P194" t="s">
        <v>474</v>
      </c>
      <c r="Q194" t="s">
        <v>474</v>
      </c>
      <c r="R194" t="s">
        <v>474</v>
      </c>
      <c r="S194" t="s">
        <v>474</v>
      </c>
      <c r="T194" t="s">
        <v>474</v>
      </c>
      <c r="U194" t="s">
        <v>474</v>
      </c>
      <c r="V194" t="s">
        <v>830</v>
      </c>
      <c r="W194" t="s">
        <v>881</v>
      </c>
      <c r="X194" t="s">
        <v>30</v>
      </c>
      <c r="Y194" t="s">
        <v>476</v>
      </c>
    </row>
    <row r="195" spans="1:25" ht="16" x14ac:dyDescent="0.2">
      <c r="A195" t="s">
        <v>474</v>
      </c>
      <c r="B195" t="s">
        <v>882</v>
      </c>
      <c r="C195" t="s">
        <v>474</v>
      </c>
      <c r="D195" t="s">
        <v>474</v>
      </c>
      <c r="E195" t="s">
        <v>36</v>
      </c>
      <c r="F195" t="s">
        <v>883</v>
      </c>
      <c r="G195" t="s">
        <v>884</v>
      </c>
      <c r="H195" t="s">
        <v>474</v>
      </c>
      <c r="I195" t="s">
        <v>885</v>
      </c>
      <c r="J195" t="s">
        <v>474</v>
      </c>
      <c r="K195" t="s">
        <v>474</v>
      </c>
      <c r="L195" t="s">
        <v>474</v>
      </c>
      <c r="M195" t="s">
        <v>474</v>
      </c>
      <c r="N195" t="s">
        <v>474</v>
      </c>
      <c r="O195" t="s">
        <v>474</v>
      </c>
      <c r="P195" t="s">
        <v>474</v>
      </c>
      <c r="Q195" t="s">
        <v>474</v>
      </c>
      <c r="R195" t="s">
        <v>474</v>
      </c>
      <c r="S195" t="s">
        <v>474</v>
      </c>
      <c r="T195" t="s">
        <v>474</v>
      </c>
      <c r="U195" t="s">
        <v>474</v>
      </c>
      <c r="V195" t="s">
        <v>886</v>
      </c>
      <c r="W195" t="s">
        <v>887</v>
      </c>
      <c r="X195" t="s">
        <v>30</v>
      </c>
      <c r="Y195" t="s">
        <v>476</v>
      </c>
    </row>
    <row r="196" spans="1:25" ht="16" x14ac:dyDescent="0.2">
      <c r="A196" t="s">
        <v>474</v>
      </c>
      <c r="B196" t="s">
        <v>888</v>
      </c>
      <c r="C196" t="s">
        <v>474</v>
      </c>
      <c r="D196" t="s">
        <v>474</v>
      </c>
      <c r="E196" t="s">
        <v>36</v>
      </c>
      <c r="F196" t="s">
        <v>800</v>
      </c>
      <c r="G196" t="s">
        <v>889</v>
      </c>
      <c r="H196" t="s">
        <v>474</v>
      </c>
      <c r="I196" t="s">
        <v>890</v>
      </c>
      <c r="J196" t="s">
        <v>474</v>
      </c>
      <c r="K196" t="s">
        <v>474</v>
      </c>
      <c r="L196" t="s">
        <v>474</v>
      </c>
      <c r="M196" t="s">
        <v>474</v>
      </c>
      <c r="N196" t="s">
        <v>474</v>
      </c>
      <c r="O196" t="s">
        <v>474</v>
      </c>
      <c r="P196" t="s">
        <v>474</v>
      </c>
      <c r="Q196" t="s">
        <v>474</v>
      </c>
      <c r="R196" t="s">
        <v>474</v>
      </c>
      <c r="S196" t="s">
        <v>474</v>
      </c>
      <c r="T196" t="s">
        <v>474</v>
      </c>
      <c r="U196" t="s">
        <v>474</v>
      </c>
      <c r="V196" t="s">
        <v>830</v>
      </c>
      <c r="W196" t="s">
        <v>891</v>
      </c>
      <c r="X196" t="s">
        <v>30</v>
      </c>
      <c r="Y196" t="s">
        <v>476</v>
      </c>
    </row>
    <row r="197" spans="1:25" ht="16" x14ac:dyDescent="0.2">
      <c r="A197" t="s">
        <v>474</v>
      </c>
      <c r="B197" t="s">
        <v>892</v>
      </c>
      <c r="C197" t="s">
        <v>474</v>
      </c>
      <c r="D197" t="s">
        <v>474</v>
      </c>
      <c r="E197" t="s">
        <v>36</v>
      </c>
      <c r="F197" t="s">
        <v>893</v>
      </c>
      <c r="G197" t="s">
        <v>894</v>
      </c>
      <c r="H197" t="s">
        <v>474</v>
      </c>
      <c r="I197" t="s">
        <v>895</v>
      </c>
      <c r="J197" t="s">
        <v>474</v>
      </c>
      <c r="K197" t="s">
        <v>474</v>
      </c>
      <c r="L197" t="s">
        <v>474</v>
      </c>
      <c r="M197" t="s">
        <v>474</v>
      </c>
      <c r="N197" t="s">
        <v>474</v>
      </c>
      <c r="O197" t="s">
        <v>474</v>
      </c>
      <c r="P197" t="s">
        <v>474</v>
      </c>
      <c r="Q197" t="s">
        <v>474</v>
      </c>
      <c r="R197" t="s">
        <v>474</v>
      </c>
      <c r="S197" t="s">
        <v>474</v>
      </c>
      <c r="T197" t="s">
        <v>474</v>
      </c>
      <c r="U197" t="s">
        <v>474</v>
      </c>
      <c r="V197" t="s">
        <v>896</v>
      </c>
      <c r="W197" t="s">
        <v>897</v>
      </c>
      <c r="X197" t="s">
        <v>30</v>
      </c>
      <c r="Y197" t="s">
        <v>476</v>
      </c>
    </row>
    <row r="198" spans="1:25" ht="16" x14ac:dyDescent="0.2">
      <c r="A198" t="s">
        <v>474</v>
      </c>
      <c r="B198" t="s">
        <v>898</v>
      </c>
      <c r="C198" t="s">
        <v>474</v>
      </c>
      <c r="D198" t="s">
        <v>474</v>
      </c>
      <c r="E198" t="s">
        <v>36</v>
      </c>
      <c r="F198" t="s">
        <v>616</v>
      </c>
      <c r="G198" t="s">
        <v>828</v>
      </c>
      <c r="H198" t="s">
        <v>474</v>
      </c>
      <c r="I198" t="s">
        <v>829</v>
      </c>
      <c r="J198" t="s">
        <v>474</v>
      </c>
      <c r="K198" t="s">
        <v>474</v>
      </c>
      <c r="L198" t="s">
        <v>474</v>
      </c>
      <c r="M198" t="s">
        <v>474</v>
      </c>
      <c r="N198" t="s">
        <v>474</v>
      </c>
      <c r="O198" t="s">
        <v>474</v>
      </c>
      <c r="P198" t="s">
        <v>474</v>
      </c>
      <c r="Q198" t="s">
        <v>474</v>
      </c>
      <c r="R198" t="s">
        <v>474</v>
      </c>
      <c r="S198" t="s">
        <v>474</v>
      </c>
      <c r="T198" t="s">
        <v>474</v>
      </c>
      <c r="U198" t="s">
        <v>474</v>
      </c>
      <c r="V198" t="s">
        <v>522</v>
      </c>
      <c r="W198" t="s">
        <v>831</v>
      </c>
      <c r="X198" t="s">
        <v>59</v>
      </c>
      <c r="Y198" t="s">
        <v>479</v>
      </c>
    </row>
    <row r="199" spans="1:25" ht="16" x14ac:dyDescent="0.2">
      <c r="A199" t="s">
        <v>474</v>
      </c>
      <c r="B199" t="s">
        <v>899</v>
      </c>
      <c r="C199" t="s">
        <v>474</v>
      </c>
      <c r="D199" t="s">
        <v>474</v>
      </c>
      <c r="E199" t="s">
        <v>36</v>
      </c>
      <c r="F199" t="s">
        <v>633</v>
      </c>
      <c r="G199" t="s">
        <v>837</v>
      </c>
      <c r="H199" t="s">
        <v>474</v>
      </c>
      <c r="I199" t="s">
        <v>838</v>
      </c>
      <c r="J199" t="s">
        <v>474</v>
      </c>
      <c r="K199" t="s">
        <v>474</v>
      </c>
      <c r="L199" t="s">
        <v>474</v>
      </c>
      <c r="M199" t="s">
        <v>474</v>
      </c>
      <c r="N199" t="s">
        <v>474</v>
      </c>
      <c r="O199" t="s">
        <v>474</v>
      </c>
      <c r="P199" t="s">
        <v>474</v>
      </c>
      <c r="Q199" t="s">
        <v>474</v>
      </c>
      <c r="R199" t="s">
        <v>474</v>
      </c>
      <c r="S199" t="s">
        <v>474</v>
      </c>
      <c r="T199" t="s">
        <v>474</v>
      </c>
      <c r="U199" t="s">
        <v>474</v>
      </c>
      <c r="V199" t="s">
        <v>522</v>
      </c>
      <c r="W199" t="s">
        <v>839</v>
      </c>
      <c r="X199" t="s">
        <v>59</v>
      </c>
      <c r="Y199" t="s">
        <v>479</v>
      </c>
    </row>
    <row r="200" spans="1:25" ht="16" x14ac:dyDescent="0.2">
      <c r="A200" t="s">
        <v>474</v>
      </c>
      <c r="B200" t="s">
        <v>900</v>
      </c>
      <c r="C200" t="s">
        <v>474</v>
      </c>
      <c r="D200" t="s">
        <v>474</v>
      </c>
      <c r="E200" t="s">
        <v>36</v>
      </c>
      <c r="F200" t="s">
        <v>648</v>
      </c>
      <c r="G200" t="s">
        <v>833</v>
      </c>
      <c r="H200" t="s">
        <v>474</v>
      </c>
      <c r="I200" t="s">
        <v>834</v>
      </c>
      <c r="J200" t="s">
        <v>474</v>
      </c>
      <c r="K200" t="s">
        <v>474</v>
      </c>
      <c r="L200" t="s">
        <v>474</v>
      </c>
      <c r="M200" t="s">
        <v>474</v>
      </c>
      <c r="N200" t="s">
        <v>474</v>
      </c>
      <c r="O200" t="s">
        <v>474</v>
      </c>
      <c r="P200" t="s">
        <v>474</v>
      </c>
      <c r="Q200" t="s">
        <v>474</v>
      </c>
      <c r="R200" t="s">
        <v>474</v>
      </c>
      <c r="S200" t="s">
        <v>474</v>
      </c>
      <c r="T200" t="s">
        <v>474</v>
      </c>
      <c r="U200" t="s">
        <v>474</v>
      </c>
      <c r="V200" t="s">
        <v>522</v>
      </c>
      <c r="W200" t="s">
        <v>835</v>
      </c>
      <c r="X200" t="s">
        <v>59</v>
      </c>
      <c r="Y200" t="s">
        <v>479</v>
      </c>
    </row>
    <row r="201" spans="1:25" ht="16" x14ac:dyDescent="0.2">
      <c r="A201" t="s">
        <v>474</v>
      </c>
      <c r="B201" t="s">
        <v>901</v>
      </c>
      <c r="C201" t="s">
        <v>474</v>
      </c>
      <c r="D201" t="s">
        <v>474</v>
      </c>
      <c r="E201" t="s">
        <v>36</v>
      </c>
      <c r="F201" t="s">
        <v>665</v>
      </c>
      <c r="G201" t="s">
        <v>849</v>
      </c>
      <c r="H201" t="s">
        <v>474</v>
      </c>
      <c r="I201" t="s">
        <v>850</v>
      </c>
      <c r="J201" t="s">
        <v>474</v>
      </c>
      <c r="K201" t="s">
        <v>474</v>
      </c>
      <c r="L201" t="s">
        <v>474</v>
      </c>
      <c r="M201" t="s">
        <v>474</v>
      </c>
      <c r="N201" t="s">
        <v>474</v>
      </c>
      <c r="O201" t="s">
        <v>474</v>
      </c>
      <c r="P201" t="s">
        <v>474</v>
      </c>
      <c r="Q201" t="s">
        <v>474</v>
      </c>
      <c r="R201" t="s">
        <v>474</v>
      </c>
      <c r="S201" t="s">
        <v>474</v>
      </c>
      <c r="T201" t="s">
        <v>474</v>
      </c>
      <c r="U201" t="s">
        <v>474</v>
      </c>
      <c r="V201" t="s">
        <v>522</v>
      </c>
      <c r="W201" t="s">
        <v>851</v>
      </c>
      <c r="X201" t="s">
        <v>59</v>
      </c>
      <c r="Y201" t="s">
        <v>479</v>
      </c>
    </row>
    <row r="202" spans="1:25" ht="16" x14ac:dyDescent="0.2">
      <c r="A202" t="s">
        <v>474</v>
      </c>
      <c r="B202" t="s">
        <v>902</v>
      </c>
      <c r="C202" t="s">
        <v>474</v>
      </c>
      <c r="D202" t="s">
        <v>474</v>
      </c>
      <c r="E202" t="s">
        <v>36</v>
      </c>
      <c r="F202" t="s">
        <v>685</v>
      </c>
      <c r="G202" t="s">
        <v>841</v>
      </c>
      <c r="H202" t="s">
        <v>474</v>
      </c>
      <c r="I202" t="s">
        <v>842</v>
      </c>
      <c r="J202" t="s">
        <v>474</v>
      </c>
      <c r="K202" t="s">
        <v>474</v>
      </c>
      <c r="L202" t="s">
        <v>474</v>
      </c>
      <c r="M202" t="s">
        <v>474</v>
      </c>
      <c r="N202" t="s">
        <v>474</v>
      </c>
      <c r="O202" t="s">
        <v>474</v>
      </c>
      <c r="P202" t="s">
        <v>474</v>
      </c>
      <c r="Q202" t="s">
        <v>474</v>
      </c>
      <c r="R202" t="s">
        <v>474</v>
      </c>
      <c r="S202" t="s">
        <v>474</v>
      </c>
      <c r="T202" t="s">
        <v>474</v>
      </c>
      <c r="U202" t="s">
        <v>474</v>
      </c>
      <c r="V202" t="s">
        <v>522</v>
      </c>
      <c r="W202" t="s">
        <v>843</v>
      </c>
      <c r="X202" t="s">
        <v>59</v>
      </c>
      <c r="Y202" t="s">
        <v>479</v>
      </c>
    </row>
    <row r="203" spans="1:25" ht="16" x14ac:dyDescent="0.2">
      <c r="A203" t="s">
        <v>474</v>
      </c>
      <c r="B203" t="s">
        <v>903</v>
      </c>
      <c r="C203" t="s">
        <v>474</v>
      </c>
      <c r="D203" t="s">
        <v>474</v>
      </c>
      <c r="E203" t="s">
        <v>36</v>
      </c>
      <c r="F203" t="s">
        <v>714</v>
      </c>
      <c r="G203" t="s">
        <v>853</v>
      </c>
      <c r="H203" t="s">
        <v>474</v>
      </c>
      <c r="I203" t="s">
        <v>854</v>
      </c>
      <c r="J203" t="s">
        <v>474</v>
      </c>
      <c r="K203" t="s">
        <v>474</v>
      </c>
      <c r="L203" t="s">
        <v>474</v>
      </c>
      <c r="M203" t="s">
        <v>474</v>
      </c>
      <c r="N203" t="s">
        <v>474</v>
      </c>
      <c r="O203" t="s">
        <v>474</v>
      </c>
      <c r="P203" t="s">
        <v>474</v>
      </c>
      <c r="Q203" t="s">
        <v>474</v>
      </c>
      <c r="R203" t="s">
        <v>474</v>
      </c>
      <c r="S203" t="s">
        <v>474</v>
      </c>
      <c r="T203" t="s">
        <v>474</v>
      </c>
      <c r="U203" t="s">
        <v>474</v>
      </c>
      <c r="V203" t="s">
        <v>522</v>
      </c>
      <c r="W203" t="s">
        <v>855</v>
      </c>
      <c r="X203" t="s">
        <v>59</v>
      </c>
      <c r="Y203" t="s">
        <v>479</v>
      </c>
    </row>
    <row r="204" spans="1:25" ht="16" x14ac:dyDescent="0.2">
      <c r="A204" t="s">
        <v>474</v>
      </c>
      <c r="B204" t="s">
        <v>904</v>
      </c>
      <c r="C204" t="s">
        <v>474</v>
      </c>
      <c r="D204" t="s">
        <v>474</v>
      </c>
      <c r="E204" t="s">
        <v>36</v>
      </c>
      <c r="F204" t="s">
        <v>748</v>
      </c>
      <c r="G204" t="s">
        <v>857</v>
      </c>
      <c r="H204" t="s">
        <v>474</v>
      </c>
      <c r="I204" t="s">
        <v>858</v>
      </c>
      <c r="J204" t="s">
        <v>474</v>
      </c>
      <c r="K204" t="s">
        <v>474</v>
      </c>
      <c r="L204" t="s">
        <v>474</v>
      </c>
      <c r="M204" t="s">
        <v>474</v>
      </c>
      <c r="N204" t="s">
        <v>474</v>
      </c>
      <c r="O204" t="s">
        <v>474</v>
      </c>
      <c r="P204" t="s">
        <v>474</v>
      </c>
      <c r="Q204" t="s">
        <v>474</v>
      </c>
      <c r="R204" t="s">
        <v>474</v>
      </c>
      <c r="S204" t="s">
        <v>474</v>
      </c>
      <c r="T204" t="s">
        <v>474</v>
      </c>
      <c r="U204" t="s">
        <v>474</v>
      </c>
      <c r="V204" t="s">
        <v>522</v>
      </c>
      <c r="W204" t="s">
        <v>859</v>
      </c>
      <c r="X204" t="s">
        <v>59</v>
      </c>
      <c r="Y204" t="s">
        <v>479</v>
      </c>
    </row>
    <row r="205" spans="1:25" ht="16" x14ac:dyDescent="0.2">
      <c r="A205" t="s">
        <v>474</v>
      </c>
      <c r="B205" t="s">
        <v>905</v>
      </c>
      <c r="C205" t="s">
        <v>474</v>
      </c>
      <c r="D205" t="s">
        <v>474</v>
      </c>
      <c r="E205" t="s">
        <v>36</v>
      </c>
      <c r="F205" t="s">
        <v>731</v>
      </c>
      <c r="G205" t="s">
        <v>845</v>
      </c>
      <c r="H205" t="s">
        <v>474</v>
      </c>
      <c r="I205" t="s">
        <v>846</v>
      </c>
      <c r="J205" t="s">
        <v>474</v>
      </c>
      <c r="K205" t="s">
        <v>474</v>
      </c>
      <c r="L205" t="s">
        <v>474</v>
      </c>
      <c r="M205" t="s">
        <v>474</v>
      </c>
      <c r="N205" t="s">
        <v>474</v>
      </c>
      <c r="O205" t="s">
        <v>474</v>
      </c>
      <c r="P205" t="s">
        <v>474</v>
      </c>
      <c r="Q205" t="s">
        <v>474</v>
      </c>
      <c r="R205" t="s">
        <v>474</v>
      </c>
      <c r="S205" t="s">
        <v>474</v>
      </c>
      <c r="T205" t="s">
        <v>474</v>
      </c>
      <c r="U205" t="s">
        <v>474</v>
      </c>
      <c r="V205" t="s">
        <v>522</v>
      </c>
      <c r="W205" t="s">
        <v>847</v>
      </c>
      <c r="X205" t="s">
        <v>59</v>
      </c>
      <c r="Y205" t="s">
        <v>479</v>
      </c>
    </row>
    <row r="206" spans="1:25" ht="16" x14ac:dyDescent="0.2">
      <c r="A206" t="s">
        <v>474</v>
      </c>
      <c r="B206" t="s">
        <v>906</v>
      </c>
      <c r="C206" t="s">
        <v>474</v>
      </c>
      <c r="D206" t="s">
        <v>474</v>
      </c>
      <c r="E206" t="s">
        <v>36</v>
      </c>
      <c r="F206" t="s">
        <v>800</v>
      </c>
      <c r="G206" t="s">
        <v>889</v>
      </c>
      <c r="H206" t="s">
        <v>474</v>
      </c>
      <c r="I206" t="s">
        <v>890</v>
      </c>
      <c r="J206" t="s">
        <v>474</v>
      </c>
      <c r="K206" t="s">
        <v>474</v>
      </c>
      <c r="L206" t="s">
        <v>474</v>
      </c>
      <c r="M206" t="s">
        <v>474</v>
      </c>
      <c r="N206" t="s">
        <v>474</v>
      </c>
      <c r="O206" t="s">
        <v>474</v>
      </c>
      <c r="P206" t="s">
        <v>474</v>
      </c>
      <c r="Q206" t="s">
        <v>474</v>
      </c>
      <c r="R206" t="s">
        <v>474</v>
      </c>
      <c r="S206" t="s">
        <v>474</v>
      </c>
      <c r="T206" t="s">
        <v>474</v>
      </c>
      <c r="U206" t="s">
        <v>474</v>
      </c>
      <c r="V206" t="s">
        <v>522</v>
      </c>
      <c r="W206" t="s">
        <v>891</v>
      </c>
      <c r="X206" t="s">
        <v>59</v>
      </c>
      <c r="Y206" t="s">
        <v>479</v>
      </c>
    </row>
    <row r="207" spans="1:25" ht="16" x14ac:dyDescent="0.2">
      <c r="A207" t="s">
        <v>474</v>
      </c>
      <c r="B207" t="s">
        <v>907</v>
      </c>
      <c r="C207" t="s">
        <v>474</v>
      </c>
      <c r="D207" t="s">
        <v>474</v>
      </c>
      <c r="E207" t="s">
        <v>36</v>
      </c>
      <c r="F207" t="s">
        <v>783</v>
      </c>
      <c r="G207" t="s">
        <v>865</v>
      </c>
      <c r="H207" t="s">
        <v>474</v>
      </c>
      <c r="I207" t="s">
        <v>866</v>
      </c>
      <c r="J207" t="s">
        <v>474</v>
      </c>
      <c r="K207" t="s">
        <v>474</v>
      </c>
      <c r="L207" t="s">
        <v>474</v>
      </c>
      <c r="M207" t="s">
        <v>474</v>
      </c>
      <c r="N207" t="s">
        <v>474</v>
      </c>
      <c r="O207" t="s">
        <v>474</v>
      </c>
      <c r="P207" t="s">
        <v>474</v>
      </c>
      <c r="Q207" t="s">
        <v>474</v>
      </c>
      <c r="R207" t="s">
        <v>474</v>
      </c>
      <c r="S207" t="s">
        <v>474</v>
      </c>
      <c r="T207" t="s">
        <v>474</v>
      </c>
      <c r="U207" t="s">
        <v>474</v>
      </c>
      <c r="V207" t="s">
        <v>522</v>
      </c>
      <c r="W207" t="s">
        <v>867</v>
      </c>
      <c r="X207" t="s">
        <v>59</v>
      </c>
      <c r="Y207" t="s">
        <v>479</v>
      </c>
    </row>
    <row r="208" spans="1:25" ht="16" x14ac:dyDescent="0.2">
      <c r="A208" t="s">
        <v>474</v>
      </c>
      <c r="B208" t="s">
        <v>908</v>
      </c>
      <c r="C208" t="s">
        <v>474</v>
      </c>
      <c r="D208" t="s">
        <v>474</v>
      </c>
      <c r="E208" t="s">
        <v>36</v>
      </c>
      <c r="F208" t="s">
        <v>765</v>
      </c>
      <c r="G208" t="s">
        <v>861</v>
      </c>
      <c r="H208" t="s">
        <v>474</v>
      </c>
      <c r="I208" t="s">
        <v>862</v>
      </c>
      <c r="J208" t="s">
        <v>474</v>
      </c>
      <c r="K208" t="s">
        <v>474</v>
      </c>
      <c r="L208" t="s">
        <v>474</v>
      </c>
      <c r="M208" t="s">
        <v>474</v>
      </c>
      <c r="N208" t="s">
        <v>474</v>
      </c>
      <c r="O208" t="s">
        <v>474</v>
      </c>
      <c r="P208" t="s">
        <v>474</v>
      </c>
      <c r="Q208" t="s">
        <v>474</v>
      </c>
      <c r="R208" t="s">
        <v>474</v>
      </c>
      <c r="S208" t="s">
        <v>474</v>
      </c>
      <c r="T208" t="s">
        <v>474</v>
      </c>
      <c r="U208" t="s">
        <v>474</v>
      </c>
      <c r="V208" t="s">
        <v>522</v>
      </c>
      <c r="W208" t="s">
        <v>863</v>
      </c>
      <c r="X208" t="s">
        <v>59</v>
      </c>
      <c r="Y208" t="s">
        <v>479</v>
      </c>
    </row>
    <row r="209" spans="1:25" ht="16" x14ac:dyDescent="0.2">
      <c r="A209" t="s">
        <v>474</v>
      </c>
      <c r="B209" t="s">
        <v>909</v>
      </c>
      <c r="C209" t="s">
        <v>474</v>
      </c>
      <c r="D209" t="s">
        <v>474</v>
      </c>
      <c r="E209" t="s">
        <v>36</v>
      </c>
      <c r="F209" t="s">
        <v>878</v>
      </c>
      <c r="G209" t="s">
        <v>879</v>
      </c>
      <c r="H209" t="s">
        <v>474</v>
      </c>
      <c r="I209" t="s">
        <v>880</v>
      </c>
      <c r="J209" t="s">
        <v>474</v>
      </c>
      <c r="K209" t="s">
        <v>474</v>
      </c>
      <c r="L209" t="s">
        <v>474</v>
      </c>
      <c r="M209" t="s">
        <v>474</v>
      </c>
      <c r="N209" t="s">
        <v>474</v>
      </c>
      <c r="O209" t="s">
        <v>474</v>
      </c>
      <c r="P209" t="s">
        <v>474</v>
      </c>
      <c r="Q209" t="s">
        <v>474</v>
      </c>
      <c r="R209" t="s">
        <v>474</v>
      </c>
      <c r="S209" t="s">
        <v>474</v>
      </c>
      <c r="T209" t="s">
        <v>474</v>
      </c>
      <c r="U209" t="s">
        <v>474</v>
      </c>
      <c r="V209" t="s">
        <v>522</v>
      </c>
      <c r="W209" t="s">
        <v>881</v>
      </c>
      <c r="X209" t="s">
        <v>59</v>
      </c>
      <c r="Y209" t="s">
        <v>479</v>
      </c>
    </row>
    <row r="210" spans="1:25" ht="16" x14ac:dyDescent="0.2">
      <c r="A210" t="s">
        <v>474</v>
      </c>
      <c r="B210" t="s">
        <v>910</v>
      </c>
      <c r="C210" t="s">
        <v>474</v>
      </c>
      <c r="D210" t="s">
        <v>474</v>
      </c>
      <c r="E210" t="s">
        <v>36</v>
      </c>
      <c r="F210" t="s">
        <v>539</v>
      </c>
      <c r="G210" t="s">
        <v>873</v>
      </c>
      <c r="H210" t="s">
        <v>474</v>
      </c>
      <c r="I210" t="s">
        <v>874</v>
      </c>
      <c r="J210" t="s">
        <v>474</v>
      </c>
      <c r="K210" t="s">
        <v>474</v>
      </c>
      <c r="L210" t="s">
        <v>474</v>
      </c>
      <c r="M210" t="s">
        <v>474</v>
      </c>
      <c r="N210" t="s">
        <v>474</v>
      </c>
      <c r="O210" t="s">
        <v>474</v>
      </c>
      <c r="P210" t="s">
        <v>474</v>
      </c>
      <c r="Q210" t="s">
        <v>474</v>
      </c>
      <c r="R210" t="s">
        <v>474</v>
      </c>
      <c r="S210" t="s">
        <v>474</v>
      </c>
      <c r="T210" t="s">
        <v>474</v>
      </c>
      <c r="U210" t="s">
        <v>474</v>
      </c>
      <c r="V210" t="s">
        <v>911</v>
      </c>
      <c r="W210" t="s">
        <v>876</v>
      </c>
      <c r="X210" t="s">
        <v>59</v>
      </c>
      <c r="Y210" t="s">
        <v>479</v>
      </c>
    </row>
    <row r="211" spans="1:25" ht="16" x14ac:dyDescent="0.2">
      <c r="A211" t="s">
        <v>474</v>
      </c>
      <c r="B211" t="s">
        <v>912</v>
      </c>
      <c r="C211" t="s">
        <v>474</v>
      </c>
      <c r="D211" t="s">
        <v>474</v>
      </c>
      <c r="E211" t="s">
        <v>36</v>
      </c>
      <c r="F211" t="s">
        <v>597</v>
      </c>
      <c r="G211" t="s">
        <v>869</v>
      </c>
      <c r="H211" t="s">
        <v>474</v>
      </c>
      <c r="I211" t="s">
        <v>870</v>
      </c>
      <c r="J211" t="s">
        <v>474</v>
      </c>
      <c r="K211" t="s">
        <v>474</v>
      </c>
      <c r="L211" t="s">
        <v>474</v>
      </c>
      <c r="M211" t="s">
        <v>474</v>
      </c>
      <c r="N211" t="s">
        <v>474</v>
      </c>
      <c r="O211" t="s">
        <v>474</v>
      </c>
      <c r="P211" t="s">
        <v>474</v>
      </c>
      <c r="Q211" t="s">
        <v>474</v>
      </c>
      <c r="R211" t="s">
        <v>474</v>
      </c>
      <c r="S211" t="s">
        <v>474</v>
      </c>
      <c r="T211" t="s">
        <v>474</v>
      </c>
      <c r="U211" t="s">
        <v>474</v>
      </c>
      <c r="V211" t="s">
        <v>522</v>
      </c>
      <c r="W211" t="s">
        <v>871</v>
      </c>
      <c r="X211" t="s">
        <v>59</v>
      </c>
      <c r="Y211" t="s">
        <v>479</v>
      </c>
    </row>
    <row r="212" spans="1:25" ht="16" x14ac:dyDescent="0.2">
      <c r="A212" t="s">
        <v>474</v>
      </c>
      <c r="B212" t="s">
        <v>913</v>
      </c>
      <c r="C212" t="s">
        <v>474</v>
      </c>
      <c r="D212" t="s">
        <v>474</v>
      </c>
      <c r="E212" t="s">
        <v>36</v>
      </c>
      <c r="F212" t="s">
        <v>883</v>
      </c>
      <c r="G212" t="s">
        <v>884</v>
      </c>
      <c r="H212" t="s">
        <v>474</v>
      </c>
      <c r="I212" t="s">
        <v>885</v>
      </c>
      <c r="J212" t="s">
        <v>474</v>
      </c>
      <c r="K212" t="s">
        <v>474</v>
      </c>
      <c r="L212" t="s">
        <v>474</v>
      </c>
      <c r="M212" t="s">
        <v>474</v>
      </c>
      <c r="N212" t="s">
        <v>474</v>
      </c>
      <c r="O212" t="s">
        <v>474</v>
      </c>
      <c r="P212" t="s">
        <v>474</v>
      </c>
      <c r="Q212" t="s">
        <v>474</v>
      </c>
      <c r="R212" t="s">
        <v>474</v>
      </c>
      <c r="S212" t="s">
        <v>474</v>
      </c>
      <c r="T212" t="s">
        <v>474</v>
      </c>
      <c r="U212" t="s">
        <v>474</v>
      </c>
      <c r="V212" t="s">
        <v>481</v>
      </c>
      <c r="W212" t="s">
        <v>887</v>
      </c>
      <c r="X212" t="s">
        <v>59</v>
      </c>
      <c r="Y212" t="s">
        <v>479</v>
      </c>
    </row>
    <row r="213" spans="1:25" ht="16" x14ac:dyDescent="0.2">
      <c r="A213" t="s">
        <v>474</v>
      </c>
      <c r="B213" t="s">
        <v>914</v>
      </c>
      <c r="C213" t="s">
        <v>474</v>
      </c>
      <c r="D213" t="s">
        <v>474</v>
      </c>
      <c r="E213" t="s">
        <v>36</v>
      </c>
      <c r="F213" t="s">
        <v>616</v>
      </c>
      <c r="G213" t="s">
        <v>828</v>
      </c>
      <c r="H213" t="s">
        <v>474</v>
      </c>
      <c r="I213" t="s">
        <v>829</v>
      </c>
      <c r="J213" t="s">
        <v>474</v>
      </c>
      <c r="K213" t="s">
        <v>474</v>
      </c>
      <c r="L213" t="s">
        <v>474</v>
      </c>
      <c r="M213" t="s">
        <v>474</v>
      </c>
      <c r="N213" t="s">
        <v>474</v>
      </c>
      <c r="O213" t="s">
        <v>474</v>
      </c>
      <c r="P213" t="s">
        <v>474</v>
      </c>
      <c r="Q213" t="s">
        <v>474</v>
      </c>
      <c r="R213" t="s">
        <v>474</v>
      </c>
      <c r="S213" t="s">
        <v>474</v>
      </c>
      <c r="T213" t="s">
        <v>474</v>
      </c>
      <c r="U213" t="s">
        <v>474</v>
      </c>
      <c r="V213" t="s">
        <v>915</v>
      </c>
      <c r="W213" t="s">
        <v>831</v>
      </c>
      <c r="X213" t="s">
        <v>61</v>
      </c>
      <c r="Y213" t="s">
        <v>482</v>
      </c>
    </row>
    <row r="214" spans="1:25" ht="16" x14ac:dyDescent="0.2">
      <c r="A214" t="s">
        <v>474</v>
      </c>
      <c r="B214" t="s">
        <v>916</v>
      </c>
      <c r="C214" t="s">
        <v>474</v>
      </c>
      <c r="D214" t="s">
        <v>474</v>
      </c>
      <c r="E214" t="s">
        <v>36</v>
      </c>
      <c r="F214" t="s">
        <v>893</v>
      </c>
      <c r="G214" t="s">
        <v>894</v>
      </c>
      <c r="H214" t="s">
        <v>474</v>
      </c>
      <c r="I214" t="s">
        <v>895</v>
      </c>
      <c r="J214" t="s">
        <v>474</v>
      </c>
      <c r="K214" t="s">
        <v>474</v>
      </c>
      <c r="L214" t="s">
        <v>474</v>
      </c>
      <c r="M214" t="s">
        <v>474</v>
      </c>
      <c r="N214" t="s">
        <v>474</v>
      </c>
      <c r="O214" t="s">
        <v>474</v>
      </c>
      <c r="P214" t="s">
        <v>474</v>
      </c>
      <c r="Q214" t="s">
        <v>474</v>
      </c>
      <c r="R214" t="s">
        <v>474</v>
      </c>
      <c r="S214" t="s">
        <v>474</v>
      </c>
      <c r="T214" t="s">
        <v>474</v>
      </c>
      <c r="U214" t="s">
        <v>474</v>
      </c>
      <c r="V214" t="s">
        <v>917</v>
      </c>
      <c r="W214" t="s">
        <v>897</v>
      </c>
      <c r="X214" t="s">
        <v>59</v>
      </c>
      <c r="Y214" t="s">
        <v>479</v>
      </c>
    </row>
    <row r="215" spans="1:25" ht="16" x14ac:dyDescent="0.2">
      <c r="A215" t="s">
        <v>474</v>
      </c>
      <c r="B215" t="s">
        <v>918</v>
      </c>
      <c r="C215" t="s">
        <v>474</v>
      </c>
      <c r="D215" t="s">
        <v>474</v>
      </c>
      <c r="E215" t="s">
        <v>36</v>
      </c>
      <c r="F215" t="s">
        <v>648</v>
      </c>
      <c r="G215" t="s">
        <v>833</v>
      </c>
      <c r="H215" t="s">
        <v>474</v>
      </c>
      <c r="I215" t="s">
        <v>834</v>
      </c>
      <c r="J215" t="s">
        <v>474</v>
      </c>
      <c r="K215" t="s">
        <v>474</v>
      </c>
      <c r="L215" t="s">
        <v>474</v>
      </c>
      <c r="M215" t="s">
        <v>474</v>
      </c>
      <c r="N215" t="s">
        <v>474</v>
      </c>
      <c r="O215" t="s">
        <v>474</v>
      </c>
      <c r="P215" t="s">
        <v>474</v>
      </c>
      <c r="Q215" t="s">
        <v>474</v>
      </c>
      <c r="R215" t="s">
        <v>474</v>
      </c>
      <c r="S215" t="s">
        <v>474</v>
      </c>
      <c r="T215" t="s">
        <v>474</v>
      </c>
      <c r="U215" t="s">
        <v>474</v>
      </c>
      <c r="V215" t="s">
        <v>915</v>
      </c>
      <c r="W215" t="s">
        <v>835</v>
      </c>
      <c r="X215" t="s">
        <v>61</v>
      </c>
      <c r="Y215" t="s">
        <v>482</v>
      </c>
    </row>
    <row r="216" spans="1:25" ht="16" x14ac:dyDescent="0.2">
      <c r="A216" t="s">
        <v>474</v>
      </c>
      <c r="B216" t="s">
        <v>919</v>
      </c>
      <c r="C216" t="s">
        <v>474</v>
      </c>
      <c r="D216" t="s">
        <v>474</v>
      </c>
      <c r="E216" t="s">
        <v>36</v>
      </c>
      <c r="F216" t="s">
        <v>633</v>
      </c>
      <c r="G216" t="s">
        <v>837</v>
      </c>
      <c r="H216" t="s">
        <v>474</v>
      </c>
      <c r="I216" t="s">
        <v>838</v>
      </c>
      <c r="J216" t="s">
        <v>474</v>
      </c>
      <c r="K216" t="s">
        <v>474</v>
      </c>
      <c r="L216" t="s">
        <v>474</v>
      </c>
      <c r="M216" t="s">
        <v>474</v>
      </c>
      <c r="N216" t="s">
        <v>474</v>
      </c>
      <c r="O216" t="s">
        <v>474</v>
      </c>
      <c r="P216" t="s">
        <v>474</v>
      </c>
      <c r="Q216" t="s">
        <v>474</v>
      </c>
      <c r="R216" t="s">
        <v>474</v>
      </c>
      <c r="S216" t="s">
        <v>474</v>
      </c>
      <c r="T216" t="s">
        <v>474</v>
      </c>
      <c r="U216" t="s">
        <v>474</v>
      </c>
      <c r="V216" t="s">
        <v>915</v>
      </c>
      <c r="W216" t="s">
        <v>839</v>
      </c>
      <c r="X216" t="s">
        <v>61</v>
      </c>
      <c r="Y216" t="s">
        <v>482</v>
      </c>
    </row>
    <row r="217" spans="1:25" ht="16" x14ac:dyDescent="0.2">
      <c r="A217" t="s">
        <v>474</v>
      </c>
      <c r="B217" t="s">
        <v>920</v>
      </c>
      <c r="C217" t="s">
        <v>474</v>
      </c>
      <c r="D217" t="s">
        <v>474</v>
      </c>
      <c r="E217" t="s">
        <v>36</v>
      </c>
      <c r="F217" t="s">
        <v>714</v>
      </c>
      <c r="G217" t="s">
        <v>853</v>
      </c>
      <c r="H217" t="s">
        <v>474</v>
      </c>
      <c r="I217" t="s">
        <v>854</v>
      </c>
      <c r="J217" t="s">
        <v>474</v>
      </c>
      <c r="K217" t="s">
        <v>474</v>
      </c>
      <c r="L217" t="s">
        <v>474</v>
      </c>
      <c r="M217" t="s">
        <v>474</v>
      </c>
      <c r="N217" t="s">
        <v>474</v>
      </c>
      <c r="O217" t="s">
        <v>474</v>
      </c>
      <c r="P217" t="s">
        <v>474</v>
      </c>
      <c r="Q217" t="s">
        <v>474</v>
      </c>
      <c r="R217" t="s">
        <v>474</v>
      </c>
      <c r="S217" t="s">
        <v>474</v>
      </c>
      <c r="T217" t="s">
        <v>474</v>
      </c>
      <c r="U217" t="s">
        <v>474</v>
      </c>
      <c r="V217" t="s">
        <v>915</v>
      </c>
      <c r="W217" t="s">
        <v>855</v>
      </c>
      <c r="X217" t="s">
        <v>61</v>
      </c>
      <c r="Y217" t="s">
        <v>482</v>
      </c>
    </row>
    <row r="218" spans="1:25" ht="16" x14ac:dyDescent="0.2">
      <c r="A218" t="s">
        <v>474</v>
      </c>
      <c r="B218" t="s">
        <v>921</v>
      </c>
      <c r="C218" t="s">
        <v>474</v>
      </c>
      <c r="D218" t="s">
        <v>474</v>
      </c>
      <c r="E218" t="s">
        <v>36</v>
      </c>
      <c r="F218" t="s">
        <v>685</v>
      </c>
      <c r="G218" t="s">
        <v>841</v>
      </c>
      <c r="H218" t="s">
        <v>474</v>
      </c>
      <c r="I218" t="s">
        <v>842</v>
      </c>
      <c r="J218" t="s">
        <v>474</v>
      </c>
      <c r="K218" t="s">
        <v>474</v>
      </c>
      <c r="L218" t="s">
        <v>474</v>
      </c>
      <c r="M218" t="s">
        <v>474</v>
      </c>
      <c r="N218" t="s">
        <v>474</v>
      </c>
      <c r="O218" t="s">
        <v>474</v>
      </c>
      <c r="P218" t="s">
        <v>474</v>
      </c>
      <c r="Q218" t="s">
        <v>474</v>
      </c>
      <c r="R218" t="s">
        <v>474</v>
      </c>
      <c r="S218" t="s">
        <v>474</v>
      </c>
      <c r="T218" t="s">
        <v>474</v>
      </c>
      <c r="U218" t="s">
        <v>474</v>
      </c>
      <c r="V218" t="s">
        <v>915</v>
      </c>
      <c r="W218" t="s">
        <v>843</v>
      </c>
      <c r="X218" t="s">
        <v>61</v>
      </c>
      <c r="Y218" t="s">
        <v>482</v>
      </c>
    </row>
    <row r="219" spans="1:25" ht="16" x14ac:dyDescent="0.2">
      <c r="A219" t="s">
        <v>474</v>
      </c>
      <c r="B219" t="s">
        <v>922</v>
      </c>
      <c r="C219" t="s">
        <v>474</v>
      </c>
      <c r="D219" t="s">
        <v>474</v>
      </c>
      <c r="E219" t="s">
        <v>36</v>
      </c>
      <c r="F219" t="s">
        <v>665</v>
      </c>
      <c r="G219" t="s">
        <v>849</v>
      </c>
      <c r="H219" t="s">
        <v>474</v>
      </c>
      <c r="I219" t="s">
        <v>850</v>
      </c>
      <c r="J219" t="s">
        <v>474</v>
      </c>
      <c r="K219" t="s">
        <v>474</v>
      </c>
      <c r="L219" t="s">
        <v>474</v>
      </c>
      <c r="M219" t="s">
        <v>474</v>
      </c>
      <c r="N219" t="s">
        <v>474</v>
      </c>
      <c r="O219" t="s">
        <v>474</v>
      </c>
      <c r="P219" t="s">
        <v>474</v>
      </c>
      <c r="Q219" t="s">
        <v>474</v>
      </c>
      <c r="R219" t="s">
        <v>474</v>
      </c>
      <c r="S219" t="s">
        <v>474</v>
      </c>
      <c r="T219" t="s">
        <v>474</v>
      </c>
      <c r="U219" t="s">
        <v>474</v>
      </c>
      <c r="V219" t="s">
        <v>915</v>
      </c>
      <c r="W219" t="s">
        <v>851</v>
      </c>
      <c r="X219" t="s">
        <v>61</v>
      </c>
      <c r="Y219" t="s">
        <v>482</v>
      </c>
    </row>
    <row r="220" spans="1:25" ht="16" x14ac:dyDescent="0.2">
      <c r="A220" t="s">
        <v>474</v>
      </c>
      <c r="B220" t="s">
        <v>923</v>
      </c>
      <c r="C220" t="s">
        <v>474</v>
      </c>
      <c r="D220" t="s">
        <v>474</v>
      </c>
      <c r="E220" t="s">
        <v>36</v>
      </c>
      <c r="F220" t="s">
        <v>893</v>
      </c>
      <c r="G220" t="s">
        <v>894</v>
      </c>
      <c r="H220" t="s">
        <v>474</v>
      </c>
      <c r="I220" t="s">
        <v>895</v>
      </c>
      <c r="J220" t="s">
        <v>474</v>
      </c>
      <c r="K220" t="s">
        <v>474</v>
      </c>
      <c r="L220" t="s">
        <v>474</v>
      </c>
      <c r="M220" t="s">
        <v>474</v>
      </c>
      <c r="N220" t="s">
        <v>474</v>
      </c>
      <c r="O220" t="s">
        <v>474</v>
      </c>
      <c r="P220" t="s">
        <v>474</v>
      </c>
      <c r="Q220" t="s">
        <v>474</v>
      </c>
      <c r="R220" t="s">
        <v>474</v>
      </c>
      <c r="S220" t="s">
        <v>474</v>
      </c>
      <c r="T220" t="s">
        <v>474</v>
      </c>
      <c r="U220" t="s">
        <v>474</v>
      </c>
      <c r="V220" t="s">
        <v>475</v>
      </c>
      <c r="W220" t="s">
        <v>897</v>
      </c>
      <c r="X220" t="s">
        <v>61</v>
      </c>
      <c r="Y220" t="s">
        <v>482</v>
      </c>
    </row>
    <row r="221" spans="1:25" ht="16" x14ac:dyDescent="0.2">
      <c r="A221" t="s">
        <v>474</v>
      </c>
      <c r="B221" t="s">
        <v>924</v>
      </c>
      <c r="C221" t="s">
        <v>474</v>
      </c>
      <c r="D221" t="s">
        <v>474</v>
      </c>
      <c r="E221" t="s">
        <v>36</v>
      </c>
      <c r="F221" t="s">
        <v>878</v>
      </c>
      <c r="G221" t="s">
        <v>879</v>
      </c>
      <c r="H221" t="s">
        <v>474</v>
      </c>
      <c r="I221" t="s">
        <v>880</v>
      </c>
      <c r="J221" t="s">
        <v>474</v>
      </c>
      <c r="K221" t="s">
        <v>474</v>
      </c>
      <c r="L221" t="s">
        <v>474</v>
      </c>
      <c r="M221" t="s">
        <v>474</v>
      </c>
      <c r="N221" t="s">
        <v>474</v>
      </c>
      <c r="O221" t="s">
        <v>474</v>
      </c>
      <c r="P221" t="s">
        <v>474</v>
      </c>
      <c r="Q221" t="s">
        <v>474</v>
      </c>
      <c r="R221" t="s">
        <v>474</v>
      </c>
      <c r="S221" t="s">
        <v>474</v>
      </c>
      <c r="T221" t="s">
        <v>474</v>
      </c>
      <c r="U221" t="s">
        <v>474</v>
      </c>
      <c r="V221" t="s">
        <v>915</v>
      </c>
      <c r="W221" t="s">
        <v>881</v>
      </c>
      <c r="X221" t="s">
        <v>61</v>
      </c>
      <c r="Y221" t="s">
        <v>482</v>
      </c>
    </row>
    <row r="222" spans="1:25" ht="16" x14ac:dyDescent="0.2">
      <c r="A222" t="s">
        <v>474</v>
      </c>
      <c r="B222" t="s">
        <v>925</v>
      </c>
      <c r="C222" t="s">
        <v>474</v>
      </c>
      <c r="D222" t="s">
        <v>474</v>
      </c>
      <c r="E222" t="s">
        <v>36</v>
      </c>
      <c r="F222" t="s">
        <v>883</v>
      </c>
      <c r="G222" t="s">
        <v>884</v>
      </c>
      <c r="H222" t="s">
        <v>474</v>
      </c>
      <c r="I222" t="s">
        <v>885</v>
      </c>
      <c r="J222" t="s">
        <v>474</v>
      </c>
      <c r="K222" t="s">
        <v>474</v>
      </c>
      <c r="L222" t="s">
        <v>474</v>
      </c>
      <c r="M222" t="s">
        <v>474</v>
      </c>
      <c r="N222" t="s">
        <v>474</v>
      </c>
      <c r="O222" t="s">
        <v>474</v>
      </c>
      <c r="P222" t="s">
        <v>474</v>
      </c>
      <c r="Q222" t="s">
        <v>474</v>
      </c>
      <c r="R222" t="s">
        <v>474</v>
      </c>
      <c r="S222" t="s">
        <v>474</v>
      </c>
      <c r="T222" t="s">
        <v>474</v>
      </c>
      <c r="U222" t="s">
        <v>474</v>
      </c>
      <c r="V222" t="s">
        <v>524</v>
      </c>
      <c r="W222" t="s">
        <v>887</v>
      </c>
      <c r="X222" t="s">
        <v>61</v>
      </c>
      <c r="Y222" t="s">
        <v>482</v>
      </c>
    </row>
    <row r="223" spans="1:25" ht="16" x14ac:dyDescent="0.2">
      <c r="A223" t="s">
        <v>474</v>
      </c>
      <c r="B223" t="s">
        <v>926</v>
      </c>
      <c r="C223" t="s">
        <v>474</v>
      </c>
      <c r="D223" t="s">
        <v>474</v>
      </c>
      <c r="E223" t="s">
        <v>36</v>
      </c>
      <c r="F223" t="s">
        <v>731</v>
      </c>
      <c r="G223" t="s">
        <v>845</v>
      </c>
      <c r="H223" t="s">
        <v>474</v>
      </c>
      <c r="I223" t="s">
        <v>846</v>
      </c>
      <c r="J223" t="s">
        <v>474</v>
      </c>
      <c r="K223" t="s">
        <v>474</v>
      </c>
      <c r="L223" t="s">
        <v>474</v>
      </c>
      <c r="M223" t="s">
        <v>474</v>
      </c>
      <c r="N223" t="s">
        <v>474</v>
      </c>
      <c r="O223" t="s">
        <v>474</v>
      </c>
      <c r="P223" t="s">
        <v>474</v>
      </c>
      <c r="Q223" t="s">
        <v>474</v>
      </c>
      <c r="R223" t="s">
        <v>474</v>
      </c>
      <c r="S223" t="s">
        <v>474</v>
      </c>
      <c r="T223" t="s">
        <v>474</v>
      </c>
      <c r="U223" t="s">
        <v>474</v>
      </c>
      <c r="V223" t="s">
        <v>915</v>
      </c>
      <c r="W223" t="s">
        <v>847</v>
      </c>
      <c r="X223" t="s">
        <v>61</v>
      </c>
      <c r="Y223" t="s">
        <v>482</v>
      </c>
    </row>
    <row r="224" spans="1:25" ht="16" x14ac:dyDescent="0.2">
      <c r="A224" t="s">
        <v>474</v>
      </c>
      <c r="B224" t="s">
        <v>927</v>
      </c>
      <c r="C224" t="s">
        <v>474</v>
      </c>
      <c r="D224" t="s">
        <v>474</v>
      </c>
      <c r="E224" t="s">
        <v>36</v>
      </c>
      <c r="F224" t="s">
        <v>748</v>
      </c>
      <c r="G224" t="s">
        <v>857</v>
      </c>
      <c r="H224" t="s">
        <v>474</v>
      </c>
      <c r="I224" t="s">
        <v>858</v>
      </c>
      <c r="J224" t="s">
        <v>474</v>
      </c>
      <c r="K224" t="s">
        <v>474</v>
      </c>
      <c r="L224" t="s">
        <v>474</v>
      </c>
      <c r="M224" t="s">
        <v>474</v>
      </c>
      <c r="N224" t="s">
        <v>474</v>
      </c>
      <c r="O224" t="s">
        <v>474</v>
      </c>
      <c r="P224" t="s">
        <v>474</v>
      </c>
      <c r="Q224" t="s">
        <v>474</v>
      </c>
      <c r="R224" t="s">
        <v>474</v>
      </c>
      <c r="S224" t="s">
        <v>474</v>
      </c>
      <c r="T224" t="s">
        <v>474</v>
      </c>
      <c r="U224" t="s">
        <v>474</v>
      </c>
      <c r="V224" t="s">
        <v>915</v>
      </c>
      <c r="W224" t="s">
        <v>859</v>
      </c>
      <c r="X224" t="s">
        <v>61</v>
      </c>
      <c r="Y224" t="s">
        <v>482</v>
      </c>
    </row>
    <row r="225" spans="1:25" ht="16" x14ac:dyDescent="0.2">
      <c r="A225" t="s">
        <v>474</v>
      </c>
      <c r="B225" t="s">
        <v>928</v>
      </c>
      <c r="C225" t="s">
        <v>474</v>
      </c>
      <c r="D225" t="s">
        <v>474</v>
      </c>
      <c r="E225" t="s">
        <v>36</v>
      </c>
      <c r="F225" t="s">
        <v>765</v>
      </c>
      <c r="G225" t="s">
        <v>861</v>
      </c>
      <c r="H225" t="s">
        <v>474</v>
      </c>
      <c r="I225" t="s">
        <v>862</v>
      </c>
      <c r="J225" t="s">
        <v>474</v>
      </c>
      <c r="K225" t="s">
        <v>474</v>
      </c>
      <c r="L225" t="s">
        <v>474</v>
      </c>
      <c r="M225" t="s">
        <v>474</v>
      </c>
      <c r="N225" t="s">
        <v>474</v>
      </c>
      <c r="O225" t="s">
        <v>474</v>
      </c>
      <c r="P225" t="s">
        <v>474</v>
      </c>
      <c r="Q225" t="s">
        <v>474</v>
      </c>
      <c r="R225" t="s">
        <v>474</v>
      </c>
      <c r="S225" t="s">
        <v>474</v>
      </c>
      <c r="T225" t="s">
        <v>474</v>
      </c>
      <c r="U225" t="s">
        <v>474</v>
      </c>
      <c r="V225" t="s">
        <v>915</v>
      </c>
      <c r="W225" t="s">
        <v>863</v>
      </c>
      <c r="X225" t="s">
        <v>61</v>
      </c>
      <c r="Y225" t="s">
        <v>482</v>
      </c>
    </row>
    <row r="226" spans="1:25" ht="16" x14ac:dyDescent="0.2">
      <c r="A226" t="s">
        <v>474</v>
      </c>
      <c r="B226" t="s">
        <v>929</v>
      </c>
      <c r="C226" t="s">
        <v>474</v>
      </c>
      <c r="D226" t="s">
        <v>474</v>
      </c>
      <c r="E226" t="s">
        <v>36</v>
      </c>
      <c r="F226" t="s">
        <v>539</v>
      </c>
      <c r="G226" t="s">
        <v>873</v>
      </c>
      <c r="H226" t="s">
        <v>474</v>
      </c>
      <c r="I226" t="s">
        <v>874</v>
      </c>
      <c r="J226" t="s">
        <v>474</v>
      </c>
      <c r="K226" t="s">
        <v>474</v>
      </c>
      <c r="L226" t="s">
        <v>474</v>
      </c>
      <c r="M226" t="s">
        <v>474</v>
      </c>
      <c r="N226" t="s">
        <v>474</v>
      </c>
      <c r="O226" t="s">
        <v>474</v>
      </c>
      <c r="P226" t="s">
        <v>474</v>
      </c>
      <c r="Q226" t="s">
        <v>474</v>
      </c>
      <c r="R226" t="s">
        <v>474</v>
      </c>
      <c r="S226" t="s">
        <v>474</v>
      </c>
      <c r="T226" t="s">
        <v>474</v>
      </c>
      <c r="U226" t="s">
        <v>474</v>
      </c>
      <c r="V226" t="s">
        <v>930</v>
      </c>
      <c r="W226" t="s">
        <v>876</v>
      </c>
      <c r="X226" t="s">
        <v>61</v>
      </c>
      <c r="Y226" t="s">
        <v>482</v>
      </c>
    </row>
    <row r="227" spans="1:25" ht="16" x14ac:dyDescent="0.2">
      <c r="A227" t="s">
        <v>474</v>
      </c>
      <c r="B227" t="s">
        <v>931</v>
      </c>
      <c r="C227" t="s">
        <v>474</v>
      </c>
      <c r="D227" t="s">
        <v>474</v>
      </c>
      <c r="E227" t="s">
        <v>36</v>
      </c>
      <c r="F227" t="s">
        <v>783</v>
      </c>
      <c r="G227" t="s">
        <v>865</v>
      </c>
      <c r="H227" t="s">
        <v>474</v>
      </c>
      <c r="I227" t="s">
        <v>866</v>
      </c>
      <c r="J227" t="s">
        <v>474</v>
      </c>
      <c r="K227" t="s">
        <v>474</v>
      </c>
      <c r="L227" t="s">
        <v>474</v>
      </c>
      <c r="M227" t="s">
        <v>474</v>
      </c>
      <c r="N227" t="s">
        <v>474</v>
      </c>
      <c r="O227" t="s">
        <v>474</v>
      </c>
      <c r="P227" t="s">
        <v>474</v>
      </c>
      <c r="Q227" t="s">
        <v>474</v>
      </c>
      <c r="R227" t="s">
        <v>474</v>
      </c>
      <c r="S227" t="s">
        <v>474</v>
      </c>
      <c r="T227" t="s">
        <v>474</v>
      </c>
      <c r="U227" t="s">
        <v>474</v>
      </c>
      <c r="V227" t="s">
        <v>915</v>
      </c>
      <c r="W227" t="s">
        <v>867</v>
      </c>
      <c r="X227" t="s">
        <v>61</v>
      </c>
      <c r="Y227" t="s">
        <v>482</v>
      </c>
    </row>
    <row r="228" spans="1:25" ht="16" x14ac:dyDescent="0.2">
      <c r="A228" t="s">
        <v>474</v>
      </c>
      <c r="B228" t="s">
        <v>932</v>
      </c>
      <c r="C228" t="s">
        <v>474</v>
      </c>
      <c r="D228" t="s">
        <v>474</v>
      </c>
      <c r="E228" t="s">
        <v>36</v>
      </c>
      <c r="F228" t="s">
        <v>800</v>
      </c>
      <c r="G228" t="s">
        <v>889</v>
      </c>
      <c r="H228" t="s">
        <v>474</v>
      </c>
      <c r="I228" t="s">
        <v>890</v>
      </c>
      <c r="J228" t="s">
        <v>474</v>
      </c>
      <c r="K228" t="s">
        <v>474</v>
      </c>
      <c r="L228" t="s">
        <v>474</v>
      </c>
      <c r="M228" t="s">
        <v>474</v>
      </c>
      <c r="N228" t="s">
        <v>474</v>
      </c>
      <c r="O228" t="s">
        <v>474</v>
      </c>
      <c r="P228" t="s">
        <v>474</v>
      </c>
      <c r="Q228" t="s">
        <v>474</v>
      </c>
      <c r="R228" t="s">
        <v>474</v>
      </c>
      <c r="S228" t="s">
        <v>474</v>
      </c>
      <c r="T228" t="s">
        <v>474</v>
      </c>
      <c r="U228" t="s">
        <v>474</v>
      </c>
      <c r="V228" t="s">
        <v>915</v>
      </c>
      <c r="W228" t="s">
        <v>891</v>
      </c>
      <c r="X228" t="s">
        <v>61</v>
      </c>
      <c r="Y228" t="s">
        <v>482</v>
      </c>
    </row>
    <row r="229" spans="1:25" ht="16" x14ac:dyDescent="0.2">
      <c r="A229" t="s">
        <v>474</v>
      </c>
      <c r="B229" t="s">
        <v>933</v>
      </c>
      <c r="C229" t="s">
        <v>474</v>
      </c>
      <c r="D229" t="s">
        <v>474</v>
      </c>
      <c r="E229" t="s">
        <v>36</v>
      </c>
      <c r="F229" t="s">
        <v>597</v>
      </c>
      <c r="G229" t="s">
        <v>869</v>
      </c>
      <c r="H229" t="s">
        <v>474</v>
      </c>
      <c r="I229" t="s">
        <v>870</v>
      </c>
      <c r="J229" t="s">
        <v>474</v>
      </c>
      <c r="K229" t="s">
        <v>474</v>
      </c>
      <c r="L229" t="s">
        <v>474</v>
      </c>
      <c r="M229" t="s">
        <v>474</v>
      </c>
      <c r="N229" t="s">
        <v>474</v>
      </c>
      <c r="O229" t="s">
        <v>474</v>
      </c>
      <c r="P229" t="s">
        <v>474</v>
      </c>
      <c r="Q229" t="s">
        <v>474</v>
      </c>
      <c r="R229" t="s">
        <v>474</v>
      </c>
      <c r="S229" t="s">
        <v>474</v>
      </c>
      <c r="T229" t="s">
        <v>474</v>
      </c>
      <c r="U229" t="s">
        <v>474</v>
      </c>
      <c r="V229" t="s">
        <v>915</v>
      </c>
      <c r="W229" t="s">
        <v>871</v>
      </c>
      <c r="X229" t="s">
        <v>61</v>
      </c>
      <c r="Y229" t="s">
        <v>482</v>
      </c>
    </row>
    <row r="230" spans="1:25" ht="16" x14ac:dyDescent="0.2">
      <c r="A230" t="s">
        <v>474</v>
      </c>
      <c r="B230" t="s">
        <v>934</v>
      </c>
      <c r="C230" t="s">
        <v>474</v>
      </c>
      <c r="D230" t="s">
        <v>474</v>
      </c>
      <c r="E230" t="s">
        <v>520</v>
      </c>
      <c r="F230" t="s">
        <v>539</v>
      </c>
      <c r="G230" t="s">
        <v>444</v>
      </c>
      <c r="H230" t="s">
        <v>474</v>
      </c>
      <c r="I230" t="s">
        <v>445</v>
      </c>
      <c r="J230" t="s">
        <v>474</v>
      </c>
      <c r="K230" t="s">
        <v>474</v>
      </c>
      <c r="L230" t="s">
        <v>474</v>
      </c>
      <c r="M230" t="s">
        <v>474</v>
      </c>
      <c r="N230" t="s">
        <v>474</v>
      </c>
      <c r="O230" t="s">
        <v>474</v>
      </c>
      <c r="P230" t="s">
        <v>474</v>
      </c>
      <c r="Q230" t="s">
        <v>474</v>
      </c>
      <c r="R230" t="s">
        <v>474</v>
      </c>
      <c r="S230" t="s">
        <v>474</v>
      </c>
      <c r="T230" t="s">
        <v>474</v>
      </c>
      <c r="U230" t="s">
        <v>474</v>
      </c>
      <c r="V230" t="s">
        <v>935</v>
      </c>
      <c r="W230" t="s">
        <v>446</v>
      </c>
      <c r="X230" t="s">
        <v>30</v>
      </c>
      <c r="Y230" t="s">
        <v>476</v>
      </c>
    </row>
    <row r="231" spans="1:25" ht="16" x14ac:dyDescent="0.2">
      <c r="A231" t="s">
        <v>474</v>
      </c>
      <c r="B231" t="s">
        <v>934</v>
      </c>
      <c r="C231" t="s">
        <v>474</v>
      </c>
      <c r="D231" t="s">
        <v>474</v>
      </c>
      <c r="E231" t="s">
        <v>434</v>
      </c>
      <c r="F231" t="s">
        <v>539</v>
      </c>
      <c r="G231" t="s">
        <v>936</v>
      </c>
      <c r="H231" t="s">
        <v>474</v>
      </c>
      <c r="I231" t="s">
        <v>937</v>
      </c>
      <c r="J231" t="s">
        <v>474</v>
      </c>
      <c r="K231" t="s">
        <v>474</v>
      </c>
      <c r="L231" t="s">
        <v>474</v>
      </c>
      <c r="M231" t="s">
        <v>474</v>
      </c>
      <c r="N231" t="s">
        <v>474</v>
      </c>
      <c r="O231" t="s">
        <v>474</v>
      </c>
      <c r="P231" t="s">
        <v>474</v>
      </c>
      <c r="Q231" t="s">
        <v>474</v>
      </c>
      <c r="R231" t="s">
        <v>474</v>
      </c>
      <c r="S231" t="s">
        <v>474</v>
      </c>
      <c r="T231" t="s">
        <v>474</v>
      </c>
      <c r="U231" t="s">
        <v>474</v>
      </c>
      <c r="V231" t="s">
        <v>497</v>
      </c>
      <c r="W231" t="s">
        <v>938</v>
      </c>
      <c r="X231" t="s">
        <v>30</v>
      </c>
      <c r="Y231" t="s">
        <v>476</v>
      </c>
    </row>
    <row r="232" spans="1:25" ht="16" x14ac:dyDescent="0.2">
      <c r="A232" t="s">
        <v>474</v>
      </c>
      <c r="B232" t="s">
        <v>934</v>
      </c>
      <c r="C232" t="s">
        <v>474</v>
      </c>
      <c r="D232" t="s">
        <v>474</v>
      </c>
      <c r="E232" t="s">
        <v>540</v>
      </c>
      <c r="F232" t="s">
        <v>539</v>
      </c>
      <c r="G232" t="s">
        <v>441</v>
      </c>
      <c r="H232" t="s">
        <v>474</v>
      </c>
      <c r="I232" t="s">
        <v>442</v>
      </c>
      <c r="J232" t="s">
        <v>474</v>
      </c>
      <c r="K232" t="s">
        <v>474</v>
      </c>
      <c r="L232" t="s">
        <v>474</v>
      </c>
      <c r="M232" t="s">
        <v>474</v>
      </c>
      <c r="N232" t="s">
        <v>474</v>
      </c>
      <c r="O232" t="s">
        <v>474</v>
      </c>
      <c r="P232" t="s">
        <v>474</v>
      </c>
      <c r="Q232" t="s">
        <v>474</v>
      </c>
      <c r="R232" t="s">
        <v>474</v>
      </c>
      <c r="S232" t="s">
        <v>474</v>
      </c>
      <c r="T232" t="s">
        <v>474</v>
      </c>
      <c r="U232" t="s">
        <v>474</v>
      </c>
      <c r="V232" t="s">
        <v>939</v>
      </c>
      <c r="W232" t="s">
        <v>443</v>
      </c>
      <c r="X232" t="s">
        <v>30</v>
      </c>
      <c r="Y232" t="s">
        <v>476</v>
      </c>
    </row>
    <row r="233" spans="1:25" ht="16" x14ac:dyDescent="0.2">
      <c r="A233" t="s">
        <v>474</v>
      </c>
      <c r="B233" t="s">
        <v>934</v>
      </c>
      <c r="C233" t="s">
        <v>474</v>
      </c>
      <c r="D233" t="s">
        <v>474</v>
      </c>
      <c r="E233" t="s">
        <v>526</v>
      </c>
      <c r="F233" t="s">
        <v>539</v>
      </c>
      <c r="G233" t="s">
        <v>438</v>
      </c>
      <c r="H233" t="s">
        <v>474</v>
      </c>
      <c r="I233" t="s">
        <v>439</v>
      </c>
      <c r="J233" t="s">
        <v>474</v>
      </c>
      <c r="K233" t="s">
        <v>474</v>
      </c>
      <c r="L233" t="s">
        <v>474</v>
      </c>
      <c r="M233" t="s">
        <v>474</v>
      </c>
      <c r="N233" t="s">
        <v>474</v>
      </c>
      <c r="O233" t="s">
        <v>474</v>
      </c>
      <c r="P233" t="s">
        <v>474</v>
      </c>
      <c r="Q233" t="s">
        <v>474</v>
      </c>
      <c r="R233" t="s">
        <v>474</v>
      </c>
      <c r="S233" t="s">
        <v>474</v>
      </c>
      <c r="T233" t="s">
        <v>474</v>
      </c>
      <c r="U233" t="s">
        <v>474</v>
      </c>
      <c r="V233" t="s">
        <v>935</v>
      </c>
      <c r="W233" t="s">
        <v>440</v>
      </c>
      <c r="X233" t="s">
        <v>30</v>
      </c>
      <c r="Y233" t="s">
        <v>476</v>
      </c>
    </row>
    <row r="234" spans="1:25" ht="16" x14ac:dyDescent="0.2">
      <c r="A234" t="s">
        <v>474</v>
      </c>
      <c r="B234" t="s">
        <v>934</v>
      </c>
      <c r="C234" t="s">
        <v>474</v>
      </c>
      <c r="D234" t="s">
        <v>474</v>
      </c>
      <c r="E234" t="s">
        <v>542</v>
      </c>
      <c r="F234" t="s">
        <v>539</v>
      </c>
      <c r="G234" t="s">
        <v>940</v>
      </c>
      <c r="H234" t="s">
        <v>474</v>
      </c>
      <c r="I234" t="s">
        <v>941</v>
      </c>
      <c r="J234" t="s">
        <v>474</v>
      </c>
      <c r="K234" t="s">
        <v>474</v>
      </c>
      <c r="L234" t="s">
        <v>474</v>
      </c>
      <c r="M234" t="s">
        <v>474</v>
      </c>
      <c r="N234" t="s">
        <v>474</v>
      </c>
      <c r="O234" t="s">
        <v>474</v>
      </c>
      <c r="P234" t="s">
        <v>474</v>
      </c>
      <c r="Q234" t="s">
        <v>474</v>
      </c>
      <c r="R234" t="s">
        <v>474</v>
      </c>
      <c r="S234" t="s">
        <v>474</v>
      </c>
      <c r="T234" t="s">
        <v>474</v>
      </c>
      <c r="U234" t="s">
        <v>474</v>
      </c>
      <c r="V234" t="s">
        <v>545</v>
      </c>
      <c r="W234" t="s">
        <v>942</v>
      </c>
      <c r="X234" t="s">
        <v>30</v>
      </c>
      <c r="Y234" t="s">
        <v>476</v>
      </c>
    </row>
    <row r="235" spans="1:25" ht="16" x14ac:dyDescent="0.2">
      <c r="A235" t="s">
        <v>474</v>
      </c>
      <c r="B235" t="s">
        <v>943</v>
      </c>
      <c r="C235" t="s">
        <v>474</v>
      </c>
      <c r="D235" t="s">
        <v>474</v>
      </c>
      <c r="E235" t="s">
        <v>542</v>
      </c>
      <c r="F235" t="s">
        <v>539</v>
      </c>
      <c r="G235" t="s">
        <v>940</v>
      </c>
      <c r="H235" t="s">
        <v>474</v>
      </c>
      <c r="I235" t="s">
        <v>941</v>
      </c>
      <c r="J235" t="s">
        <v>474</v>
      </c>
      <c r="K235" t="s">
        <v>474</v>
      </c>
      <c r="L235" t="s">
        <v>474</v>
      </c>
      <c r="M235" t="s">
        <v>474</v>
      </c>
      <c r="N235" t="s">
        <v>474</v>
      </c>
      <c r="O235" t="s">
        <v>474</v>
      </c>
      <c r="P235" t="s">
        <v>474</v>
      </c>
      <c r="Q235" t="s">
        <v>474</v>
      </c>
      <c r="R235" t="s">
        <v>474</v>
      </c>
      <c r="S235" t="s">
        <v>474</v>
      </c>
      <c r="T235" t="s">
        <v>474</v>
      </c>
      <c r="U235" t="s">
        <v>474</v>
      </c>
      <c r="V235" t="s">
        <v>944</v>
      </c>
      <c r="W235" t="s">
        <v>942</v>
      </c>
      <c r="X235" t="s">
        <v>59</v>
      </c>
      <c r="Y235" t="s">
        <v>479</v>
      </c>
    </row>
    <row r="236" spans="1:25" ht="16" x14ac:dyDescent="0.2">
      <c r="A236" t="s">
        <v>474</v>
      </c>
      <c r="B236" t="s">
        <v>943</v>
      </c>
      <c r="C236" t="s">
        <v>474</v>
      </c>
      <c r="D236" t="s">
        <v>474</v>
      </c>
      <c r="E236" t="s">
        <v>434</v>
      </c>
      <c r="F236" t="s">
        <v>539</v>
      </c>
      <c r="G236" t="s">
        <v>936</v>
      </c>
      <c r="H236" t="s">
        <v>474</v>
      </c>
      <c r="I236" t="s">
        <v>937</v>
      </c>
      <c r="J236" t="s">
        <v>474</v>
      </c>
      <c r="K236" t="s">
        <v>474</v>
      </c>
      <c r="L236" t="s">
        <v>474</v>
      </c>
      <c r="M236" t="s">
        <v>474</v>
      </c>
      <c r="N236" t="s">
        <v>474</v>
      </c>
      <c r="O236" t="s">
        <v>474</v>
      </c>
      <c r="P236" t="s">
        <v>474</v>
      </c>
      <c r="Q236" t="s">
        <v>474</v>
      </c>
      <c r="R236" t="s">
        <v>474</v>
      </c>
      <c r="S236" t="s">
        <v>474</v>
      </c>
      <c r="T236" t="s">
        <v>474</v>
      </c>
      <c r="U236" t="s">
        <v>474</v>
      </c>
      <c r="V236" t="s">
        <v>945</v>
      </c>
      <c r="W236" t="s">
        <v>938</v>
      </c>
      <c r="X236" t="s">
        <v>59</v>
      </c>
      <c r="Y236" t="s">
        <v>479</v>
      </c>
    </row>
    <row r="237" spans="1:25" ht="16" x14ac:dyDescent="0.2">
      <c r="A237" t="s">
        <v>474</v>
      </c>
      <c r="B237" t="s">
        <v>943</v>
      </c>
      <c r="C237" t="s">
        <v>474</v>
      </c>
      <c r="D237" t="s">
        <v>474</v>
      </c>
      <c r="E237" t="s">
        <v>540</v>
      </c>
      <c r="F237" t="s">
        <v>539</v>
      </c>
      <c r="G237" t="s">
        <v>441</v>
      </c>
      <c r="H237" t="s">
        <v>474</v>
      </c>
      <c r="I237" t="s">
        <v>442</v>
      </c>
      <c r="J237" t="s">
        <v>474</v>
      </c>
      <c r="K237" t="s">
        <v>474</v>
      </c>
      <c r="L237" t="s">
        <v>474</v>
      </c>
      <c r="M237" t="s">
        <v>474</v>
      </c>
      <c r="N237" t="s">
        <v>474</v>
      </c>
      <c r="O237" t="s">
        <v>474</v>
      </c>
      <c r="P237" t="s">
        <v>474</v>
      </c>
      <c r="Q237" t="s">
        <v>474</v>
      </c>
      <c r="R237" t="s">
        <v>474</v>
      </c>
      <c r="S237" t="s">
        <v>474</v>
      </c>
      <c r="T237" t="s">
        <v>474</v>
      </c>
      <c r="U237" t="s">
        <v>474</v>
      </c>
      <c r="V237" t="s">
        <v>490</v>
      </c>
      <c r="W237" t="s">
        <v>443</v>
      </c>
      <c r="X237" t="s">
        <v>59</v>
      </c>
      <c r="Y237" t="s">
        <v>479</v>
      </c>
    </row>
    <row r="238" spans="1:25" ht="16" x14ac:dyDescent="0.2">
      <c r="A238" t="s">
        <v>474</v>
      </c>
      <c r="B238" t="s">
        <v>943</v>
      </c>
      <c r="C238" t="s">
        <v>474</v>
      </c>
      <c r="D238" t="s">
        <v>474</v>
      </c>
      <c r="E238" t="s">
        <v>526</v>
      </c>
      <c r="F238" t="s">
        <v>539</v>
      </c>
      <c r="G238" t="s">
        <v>438</v>
      </c>
      <c r="H238" t="s">
        <v>474</v>
      </c>
      <c r="I238" t="s">
        <v>439</v>
      </c>
      <c r="J238" t="s">
        <v>474</v>
      </c>
      <c r="K238" t="s">
        <v>474</v>
      </c>
      <c r="L238" t="s">
        <v>474</v>
      </c>
      <c r="M238" t="s">
        <v>474</v>
      </c>
      <c r="N238" t="s">
        <v>474</v>
      </c>
      <c r="O238" t="s">
        <v>474</v>
      </c>
      <c r="P238" t="s">
        <v>474</v>
      </c>
      <c r="Q238" t="s">
        <v>474</v>
      </c>
      <c r="R238" t="s">
        <v>474</v>
      </c>
      <c r="S238" t="s">
        <v>474</v>
      </c>
      <c r="T238" t="s">
        <v>474</v>
      </c>
      <c r="U238" t="s">
        <v>474</v>
      </c>
      <c r="V238" t="s">
        <v>501</v>
      </c>
      <c r="W238" t="s">
        <v>440</v>
      </c>
      <c r="X238" t="s">
        <v>59</v>
      </c>
      <c r="Y238" t="s">
        <v>479</v>
      </c>
    </row>
    <row r="239" spans="1:25" ht="16" x14ac:dyDescent="0.2">
      <c r="A239" t="s">
        <v>474</v>
      </c>
      <c r="B239" t="s">
        <v>943</v>
      </c>
      <c r="C239" t="s">
        <v>474</v>
      </c>
      <c r="D239" t="s">
        <v>474</v>
      </c>
      <c r="E239" t="s">
        <v>520</v>
      </c>
      <c r="F239" t="s">
        <v>539</v>
      </c>
      <c r="G239" t="s">
        <v>444</v>
      </c>
      <c r="H239" t="s">
        <v>474</v>
      </c>
      <c r="I239" t="s">
        <v>445</v>
      </c>
      <c r="J239" t="s">
        <v>474</v>
      </c>
      <c r="K239" t="s">
        <v>474</v>
      </c>
      <c r="L239" t="s">
        <v>474</v>
      </c>
      <c r="M239" t="s">
        <v>474</v>
      </c>
      <c r="N239" t="s">
        <v>474</v>
      </c>
      <c r="O239" t="s">
        <v>474</v>
      </c>
      <c r="P239" t="s">
        <v>474</v>
      </c>
      <c r="Q239" t="s">
        <v>474</v>
      </c>
      <c r="R239" t="s">
        <v>474</v>
      </c>
      <c r="S239" t="s">
        <v>474</v>
      </c>
      <c r="T239" t="s">
        <v>474</v>
      </c>
      <c r="U239" t="s">
        <v>474</v>
      </c>
      <c r="V239" t="s">
        <v>501</v>
      </c>
      <c r="W239" t="s">
        <v>446</v>
      </c>
      <c r="X239" t="s">
        <v>59</v>
      </c>
      <c r="Y239" t="s">
        <v>479</v>
      </c>
    </row>
    <row r="240" spans="1:25" ht="16" x14ac:dyDescent="0.2">
      <c r="A240" t="s">
        <v>474</v>
      </c>
      <c r="B240" t="s">
        <v>946</v>
      </c>
      <c r="C240" t="s">
        <v>474</v>
      </c>
      <c r="D240" t="s">
        <v>474</v>
      </c>
      <c r="E240" t="s">
        <v>520</v>
      </c>
      <c r="F240" t="s">
        <v>539</v>
      </c>
      <c r="G240" t="s">
        <v>444</v>
      </c>
      <c r="H240" t="s">
        <v>474</v>
      </c>
      <c r="I240" t="s">
        <v>445</v>
      </c>
      <c r="J240" t="s">
        <v>474</v>
      </c>
      <c r="K240" t="s">
        <v>474</v>
      </c>
      <c r="L240" t="s">
        <v>474</v>
      </c>
      <c r="M240" t="s">
        <v>474</v>
      </c>
      <c r="N240" t="s">
        <v>474</v>
      </c>
      <c r="O240" t="s">
        <v>474</v>
      </c>
      <c r="P240" t="s">
        <v>474</v>
      </c>
      <c r="Q240" t="s">
        <v>474</v>
      </c>
      <c r="R240" t="s">
        <v>474</v>
      </c>
      <c r="S240" t="s">
        <v>474</v>
      </c>
      <c r="T240" t="s">
        <v>474</v>
      </c>
      <c r="U240" t="s">
        <v>474</v>
      </c>
      <c r="V240" t="s">
        <v>947</v>
      </c>
      <c r="W240" t="s">
        <v>446</v>
      </c>
      <c r="X240" t="s">
        <v>61</v>
      </c>
      <c r="Y240" t="s">
        <v>482</v>
      </c>
    </row>
    <row r="241" spans="1:25" ht="16" x14ac:dyDescent="0.2">
      <c r="A241" t="s">
        <v>474</v>
      </c>
      <c r="B241" t="s">
        <v>946</v>
      </c>
      <c r="C241" t="s">
        <v>474</v>
      </c>
      <c r="D241" t="s">
        <v>474</v>
      </c>
      <c r="E241" t="s">
        <v>434</v>
      </c>
      <c r="F241" t="s">
        <v>539</v>
      </c>
      <c r="G241" t="s">
        <v>936</v>
      </c>
      <c r="H241" t="s">
        <v>474</v>
      </c>
      <c r="I241" t="s">
        <v>937</v>
      </c>
      <c r="J241" t="s">
        <v>474</v>
      </c>
      <c r="K241" t="s">
        <v>474</v>
      </c>
      <c r="L241" t="s">
        <v>474</v>
      </c>
      <c r="M241" t="s">
        <v>474</v>
      </c>
      <c r="N241" t="s">
        <v>474</v>
      </c>
      <c r="O241" t="s">
        <v>474</v>
      </c>
      <c r="P241" t="s">
        <v>474</v>
      </c>
      <c r="Q241" t="s">
        <v>474</v>
      </c>
      <c r="R241" t="s">
        <v>474</v>
      </c>
      <c r="S241" t="s">
        <v>474</v>
      </c>
      <c r="T241" t="s">
        <v>474</v>
      </c>
      <c r="U241" t="s">
        <v>474</v>
      </c>
      <c r="V241" t="s">
        <v>554</v>
      </c>
      <c r="W241" t="s">
        <v>938</v>
      </c>
      <c r="X241" t="s">
        <v>61</v>
      </c>
      <c r="Y241" t="s">
        <v>482</v>
      </c>
    </row>
    <row r="242" spans="1:25" ht="16" x14ac:dyDescent="0.2">
      <c r="A242" t="s">
        <v>474</v>
      </c>
      <c r="B242" t="s">
        <v>946</v>
      </c>
      <c r="C242" t="s">
        <v>474</v>
      </c>
      <c r="D242" t="s">
        <v>474</v>
      </c>
      <c r="E242" t="s">
        <v>540</v>
      </c>
      <c r="F242" t="s">
        <v>539</v>
      </c>
      <c r="G242" t="s">
        <v>441</v>
      </c>
      <c r="H242" t="s">
        <v>474</v>
      </c>
      <c r="I242" t="s">
        <v>442</v>
      </c>
      <c r="J242" t="s">
        <v>474</v>
      </c>
      <c r="K242" t="s">
        <v>474</v>
      </c>
      <c r="L242" t="s">
        <v>474</v>
      </c>
      <c r="M242" t="s">
        <v>474</v>
      </c>
      <c r="N242" t="s">
        <v>474</v>
      </c>
      <c r="O242" t="s">
        <v>474</v>
      </c>
      <c r="P242" t="s">
        <v>474</v>
      </c>
      <c r="Q242" t="s">
        <v>474</v>
      </c>
      <c r="R242" t="s">
        <v>474</v>
      </c>
      <c r="S242" t="s">
        <v>474</v>
      </c>
      <c r="T242" t="s">
        <v>474</v>
      </c>
      <c r="U242" t="s">
        <v>474</v>
      </c>
      <c r="V242" t="s">
        <v>948</v>
      </c>
      <c r="W242" t="s">
        <v>443</v>
      </c>
      <c r="X242" t="s">
        <v>61</v>
      </c>
      <c r="Y242" t="s">
        <v>482</v>
      </c>
    </row>
    <row r="243" spans="1:25" ht="16" x14ac:dyDescent="0.2">
      <c r="A243" t="s">
        <v>474</v>
      </c>
      <c r="B243" t="s">
        <v>946</v>
      </c>
      <c r="C243" t="s">
        <v>474</v>
      </c>
      <c r="D243" t="s">
        <v>474</v>
      </c>
      <c r="E243" t="s">
        <v>526</v>
      </c>
      <c r="F243" t="s">
        <v>539</v>
      </c>
      <c r="G243" t="s">
        <v>438</v>
      </c>
      <c r="H243" t="s">
        <v>474</v>
      </c>
      <c r="I243" t="s">
        <v>439</v>
      </c>
      <c r="J243" t="s">
        <v>474</v>
      </c>
      <c r="K243" t="s">
        <v>474</v>
      </c>
      <c r="L243" t="s">
        <v>474</v>
      </c>
      <c r="M243" t="s">
        <v>474</v>
      </c>
      <c r="N243" t="s">
        <v>474</v>
      </c>
      <c r="O243" t="s">
        <v>474</v>
      </c>
      <c r="P243" t="s">
        <v>474</v>
      </c>
      <c r="Q243" t="s">
        <v>474</v>
      </c>
      <c r="R243" t="s">
        <v>474</v>
      </c>
      <c r="S243" t="s">
        <v>474</v>
      </c>
      <c r="T243" t="s">
        <v>474</v>
      </c>
      <c r="U243" t="s">
        <v>474</v>
      </c>
      <c r="V243" t="s">
        <v>947</v>
      </c>
      <c r="W243" t="s">
        <v>440</v>
      </c>
      <c r="X243" t="s">
        <v>61</v>
      </c>
      <c r="Y243" t="s">
        <v>482</v>
      </c>
    </row>
    <row r="244" spans="1:25" ht="16" x14ac:dyDescent="0.2">
      <c r="A244" t="s">
        <v>474</v>
      </c>
      <c r="B244" t="s">
        <v>946</v>
      </c>
      <c r="C244" t="s">
        <v>474</v>
      </c>
      <c r="D244" t="s">
        <v>474</v>
      </c>
      <c r="E244" t="s">
        <v>542</v>
      </c>
      <c r="F244" t="s">
        <v>539</v>
      </c>
      <c r="G244" t="s">
        <v>940</v>
      </c>
      <c r="H244" t="s">
        <v>474</v>
      </c>
      <c r="I244" t="s">
        <v>941</v>
      </c>
      <c r="J244" t="s">
        <v>474</v>
      </c>
      <c r="K244" t="s">
        <v>474</v>
      </c>
      <c r="L244" t="s">
        <v>474</v>
      </c>
      <c r="M244" t="s">
        <v>474</v>
      </c>
      <c r="N244" t="s">
        <v>474</v>
      </c>
      <c r="O244" t="s">
        <v>474</v>
      </c>
      <c r="P244" t="s">
        <v>474</v>
      </c>
      <c r="Q244" t="s">
        <v>474</v>
      </c>
      <c r="R244" t="s">
        <v>474</v>
      </c>
      <c r="S244" t="s">
        <v>474</v>
      </c>
      <c r="T244" t="s">
        <v>474</v>
      </c>
      <c r="U244" t="s">
        <v>474</v>
      </c>
      <c r="V244" t="s">
        <v>530</v>
      </c>
      <c r="W244" t="s">
        <v>942</v>
      </c>
      <c r="X244" t="s">
        <v>61</v>
      </c>
      <c r="Y244" t="s">
        <v>482</v>
      </c>
    </row>
    <row r="245" spans="1:25" ht="16" x14ac:dyDescent="0.2">
      <c r="A245" t="s">
        <v>474</v>
      </c>
      <c r="B245" t="s">
        <v>949</v>
      </c>
      <c r="C245" t="s">
        <v>474</v>
      </c>
      <c r="D245" t="s">
        <v>474</v>
      </c>
      <c r="E245" t="s">
        <v>36</v>
      </c>
      <c r="F245" t="s">
        <v>893</v>
      </c>
      <c r="G245" t="s">
        <v>950</v>
      </c>
      <c r="H245" t="s">
        <v>474</v>
      </c>
      <c r="I245" t="s">
        <v>951</v>
      </c>
      <c r="J245" t="s">
        <v>474</v>
      </c>
      <c r="K245" t="s">
        <v>474</v>
      </c>
      <c r="L245" t="s">
        <v>474</v>
      </c>
      <c r="M245" t="s">
        <v>474</v>
      </c>
      <c r="N245" t="s">
        <v>474</v>
      </c>
      <c r="O245" t="s">
        <v>474</v>
      </c>
      <c r="P245" t="s">
        <v>474</v>
      </c>
      <c r="Q245" t="s">
        <v>474</v>
      </c>
      <c r="R245" t="s">
        <v>474</v>
      </c>
      <c r="S245" t="s">
        <v>474</v>
      </c>
      <c r="T245" t="s">
        <v>474</v>
      </c>
      <c r="U245" t="s">
        <v>474</v>
      </c>
      <c r="V245" t="s">
        <v>952</v>
      </c>
      <c r="W245" t="s">
        <v>953</v>
      </c>
      <c r="X245" t="s">
        <v>30</v>
      </c>
      <c r="Y245" t="s">
        <v>476</v>
      </c>
    </row>
    <row r="246" spans="1:25" ht="16" x14ac:dyDescent="0.2">
      <c r="A246" t="s">
        <v>474</v>
      </c>
      <c r="B246" t="s">
        <v>949</v>
      </c>
      <c r="C246" t="s">
        <v>474</v>
      </c>
      <c r="D246" t="s">
        <v>474</v>
      </c>
      <c r="E246" t="s">
        <v>43</v>
      </c>
      <c r="F246" t="s">
        <v>893</v>
      </c>
      <c r="G246" t="s">
        <v>954</v>
      </c>
      <c r="H246" t="s">
        <v>474</v>
      </c>
      <c r="I246" t="s">
        <v>955</v>
      </c>
      <c r="J246" t="s">
        <v>474</v>
      </c>
      <c r="K246" t="s">
        <v>474</v>
      </c>
      <c r="L246" t="s">
        <v>474</v>
      </c>
      <c r="M246" t="s">
        <v>474</v>
      </c>
      <c r="N246" t="s">
        <v>474</v>
      </c>
      <c r="O246" t="s">
        <v>474</v>
      </c>
      <c r="P246" t="s">
        <v>474</v>
      </c>
      <c r="Q246" t="s">
        <v>474</v>
      </c>
      <c r="R246" t="s">
        <v>474</v>
      </c>
      <c r="S246" t="s">
        <v>474</v>
      </c>
      <c r="T246" t="s">
        <v>474</v>
      </c>
      <c r="U246" t="s">
        <v>474</v>
      </c>
      <c r="V246" t="s">
        <v>956</v>
      </c>
      <c r="W246" t="s">
        <v>957</v>
      </c>
      <c r="X246" t="s">
        <v>30</v>
      </c>
      <c r="Y246" t="s">
        <v>476</v>
      </c>
    </row>
    <row r="247" spans="1:25" ht="16" x14ac:dyDescent="0.2">
      <c r="A247" t="s">
        <v>474</v>
      </c>
      <c r="B247" t="s">
        <v>949</v>
      </c>
      <c r="C247" t="s">
        <v>474</v>
      </c>
      <c r="D247" t="s">
        <v>474</v>
      </c>
      <c r="E247" t="s">
        <v>47</v>
      </c>
      <c r="F247" t="s">
        <v>893</v>
      </c>
      <c r="G247" t="s">
        <v>958</v>
      </c>
      <c r="H247" t="s">
        <v>474</v>
      </c>
      <c r="I247" t="s">
        <v>959</v>
      </c>
      <c r="J247" t="s">
        <v>474</v>
      </c>
      <c r="K247" t="s">
        <v>474</v>
      </c>
      <c r="L247" t="s">
        <v>474</v>
      </c>
      <c r="M247" t="s">
        <v>474</v>
      </c>
      <c r="N247" t="s">
        <v>474</v>
      </c>
      <c r="O247" t="s">
        <v>474</v>
      </c>
      <c r="P247" t="s">
        <v>474</v>
      </c>
      <c r="Q247" t="s">
        <v>474</v>
      </c>
      <c r="R247" t="s">
        <v>474</v>
      </c>
      <c r="S247" t="s">
        <v>474</v>
      </c>
      <c r="T247" t="s">
        <v>474</v>
      </c>
      <c r="U247" t="s">
        <v>474</v>
      </c>
      <c r="V247" t="s">
        <v>960</v>
      </c>
      <c r="W247" t="s">
        <v>961</v>
      </c>
      <c r="X247" t="s">
        <v>30</v>
      </c>
      <c r="Y247" t="s">
        <v>476</v>
      </c>
    </row>
    <row r="248" spans="1:25" ht="16" x14ac:dyDescent="0.2">
      <c r="A248" t="s">
        <v>474</v>
      </c>
      <c r="B248" t="s">
        <v>949</v>
      </c>
      <c r="C248" t="s">
        <v>474</v>
      </c>
      <c r="D248" t="s">
        <v>474</v>
      </c>
      <c r="E248" t="s">
        <v>51</v>
      </c>
      <c r="F248" t="s">
        <v>893</v>
      </c>
      <c r="G248" t="s">
        <v>962</v>
      </c>
      <c r="H248" t="s">
        <v>474</v>
      </c>
      <c r="I248" t="s">
        <v>963</v>
      </c>
      <c r="J248" t="s">
        <v>474</v>
      </c>
      <c r="K248" t="s">
        <v>474</v>
      </c>
      <c r="L248" t="s">
        <v>474</v>
      </c>
      <c r="M248" t="s">
        <v>474</v>
      </c>
      <c r="N248" t="s">
        <v>474</v>
      </c>
      <c r="O248" t="s">
        <v>474</v>
      </c>
      <c r="P248" t="s">
        <v>474</v>
      </c>
      <c r="Q248" t="s">
        <v>474</v>
      </c>
      <c r="R248" t="s">
        <v>474</v>
      </c>
      <c r="S248" t="s">
        <v>474</v>
      </c>
      <c r="T248" t="s">
        <v>474</v>
      </c>
      <c r="U248" t="s">
        <v>474</v>
      </c>
      <c r="V248" t="s">
        <v>956</v>
      </c>
      <c r="W248" t="s">
        <v>964</v>
      </c>
      <c r="X248" t="s">
        <v>30</v>
      </c>
      <c r="Y248" t="s">
        <v>476</v>
      </c>
    </row>
    <row r="249" spans="1:25" ht="16" x14ac:dyDescent="0.2">
      <c r="A249" t="s">
        <v>474</v>
      </c>
      <c r="B249" t="s">
        <v>949</v>
      </c>
      <c r="C249" t="s">
        <v>474</v>
      </c>
      <c r="D249" t="s">
        <v>474</v>
      </c>
      <c r="E249" t="s">
        <v>55</v>
      </c>
      <c r="F249" t="s">
        <v>893</v>
      </c>
      <c r="G249" t="s">
        <v>965</v>
      </c>
      <c r="H249" t="s">
        <v>474</v>
      </c>
      <c r="I249" t="s">
        <v>966</v>
      </c>
      <c r="J249" t="s">
        <v>474</v>
      </c>
      <c r="K249" t="s">
        <v>474</v>
      </c>
      <c r="L249" t="s">
        <v>474</v>
      </c>
      <c r="M249" t="s">
        <v>474</v>
      </c>
      <c r="N249" t="s">
        <v>474</v>
      </c>
      <c r="O249" t="s">
        <v>474</v>
      </c>
      <c r="P249" t="s">
        <v>474</v>
      </c>
      <c r="Q249" t="s">
        <v>474</v>
      </c>
      <c r="R249" t="s">
        <v>474</v>
      </c>
      <c r="S249" t="s">
        <v>474</v>
      </c>
      <c r="T249" t="s">
        <v>474</v>
      </c>
      <c r="U249" t="s">
        <v>474</v>
      </c>
      <c r="V249" t="s">
        <v>967</v>
      </c>
      <c r="W249" t="s">
        <v>968</v>
      </c>
      <c r="X249" t="s">
        <v>30</v>
      </c>
      <c r="Y249" t="s">
        <v>476</v>
      </c>
    </row>
    <row r="250" spans="1:25" ht="16" x14ac:dyDescent="0.2">
      <c r="A250" t="s">
        <v>474</v>
      </c>
      <c r="B250" t="s">
        <v>969</v>
      </c>
      <c r="C250" t="s">
        <v>474</v>
      </c>
      <c r="D250" t="s">
        <v>474</v>
      </c>
      <c r="E250" t="s">
        <v>36</v>
      </c>
      <c r="F250" t="s">
        <v>883</v>
      </c>
      <c r="G250" t="s">
        <v>970</v>
      </c>
      <c r="H250" t="s">
        <v>474</v>
      </c>
      <c r="I250" t="s">
        <v>971</v>
      </c>
      <c r="J250" t="s">
        <v>474</v>
      </c>
      <c r="K250" t="s">
        <v>474</v>
      </c>
      <c r="L250" t="s">
        <v>474</v>
      </c>
      <c r="M250" t="s">
        <v>474</v>
      </c>
      <c r="N250" t="s">
        <v>474</v>
      </c>
      <c r="O250" t="s">
        <v>474</v>
      </c>
      <c r="P250" t="s">
        <v>474</v>
      </c>
      <c r="Q250" t="s">
        <v>474</v>
      </c>
      <c r="R250" t="s">
        <v>474</v>
      </c>
      <c r="S250" t="s">
        <v>474</v>
      </c>
      <c r="T250" t="s">
        <v>474</v>
      </c>
      <c r="U250" t="s">
        <v>474</v>
      </c>
      <c r="V250" t="s">
        <v>516</v>
      </c>
      <c r="W250" t="s">
        <v>972</v>
      </c>
      <c r="X250" t="s">
        <v>30</v>
      </c>
      <c r="Y250" t="s">
        <v>476</v>
      </c>
    </row>
    <row r="251" spans="1:25" ht="16" x14ac:dyDescent="0.2">
      <c r="A251" t="s">
        <v>474</v>
      </c>
      <c r="B251" t="s">
        <v>969</v>
      </c>
      <c r="C251" t="s">
        <v>474</v>
      </c>
      <c r="D251" t="s">
        <v>474</v>
      </c>
      <c r="E251" t="s">
        <v>43</v>
      </c>
      <c r="F251" t="s">
        <v>883</v>
      </c>
      <c r="G251" t="s">
        <v>973</v>
      </c>
      <c r="H251" t="s">
        <v>474</v>
      </c>
      <c r="I251" t="s">
        <v>974</v>
      </c>
      <c r="J251" t="s">
        <v>474</v>
      </c>
      <c r="K251" t="s">
        <v>474</v>
      </c>
      <c r="L251" t="s">
        <v>474</v>
      </c>
      <c r="M251" t="s">
        <v>474</v>
      </c>
      <c r="N251" t="s">
        <v>474</v>
      </c>
      <c r="O251" t="s">
        <v>474</v>
      </c>
      <c r="P251" t="s">
        <v>474</v>
      </c>
      <c r="Q251" t="s">
        <v>474</v>
      </c>
      <c r="R251" t="s">
        <v>474</v>
      </c>
      <c r="S251" t="s">
        <v>474</v>
      </c>
      <c r="T251" t="s">
        <v>474</v>
      </c>
      <c r="U251" t="s">
        <v>474</v>
      </c>
      <c r="V251" t="s">
        <v>975</v>
      </c>
      <c r="W251" t="s">
        <v>976</v>
      </c>
      <c r="X251" t="s">
        <v>30</v>
      </c>
      <c r="Y251" t="s">
        <v>476</v>
      </c>
    </row>
    <row r="252" spans="1:25" ht="16" x14ac:dyDescent="0.2">
      <c r="A252" t="s">
        <v>474</v>
      </c>
      <c r="B252" t="s">
        <v>969</v>
      </c>
      <c r="C252" t="s">
        <v>474</v>
      </c>
      <c r="D252" t="s">
        <v>474</v>
      </c>
      <c r="E252" t="s">
        <v>47</v>
      </c>
      <c r="F252" t="s">
        <v>883</v>
      </c>
      <c r="G252" t="s">
        <v>977</v>
      </c>
      <c r="H252" t="s">
        <v>474</v>
      </c>
      <c r="I252" t="s">
        <v>978</v>
      </c>
      <c r="J252" t="s">
        <v>474</v>
      </c>
      <c r="K252" t="s">
        <v>474</v>
      </c>
      <c r="L252" t="s">
        <v>474</v>
      </c>
      <c r="M252" t="s">
        <v>474</v>
      </c>
      <c r="N252" t="s">
        <v>474</v>
      </c>
      <c r="O252" t="s">
        <v>474</v>
      </c>
      <c r="P252" t="s">
        <v>474</v>
      </c>
      <c r="Q252" t="s">
        <v>474</v>
      </c>
      <c r="R252" t="s">
        <v>474</v>
      </c>
      <c r="S252" t="s">
        <v>474</v>
      </c>
      <c r="T252" t="s">
        <v>474</v>
      </c>
      <c r="U252" t="s">
        <v>474</v>
      </c>
      <c r="V252" t="s">
        <v>979</v>
      </c>
      <c r="W252" t="s">
        <v>980</v>
      </c>
      <c r="X252" t="s">
        <v>30</v>
      </c>
      <c r="Y252" t="s">
        <v>476</v>
      </c>
    </row>
    <row r="253" spans="1:25" ht="16" x14ac:dyDescent="0.2">
      <c r="A253" t="s">
        <v>474</v>
      </c>
      <c r="B253" t="s">
        <v>969</v>
      </c>
      <c r="C253" t="s">
        <v>474</v>
      </c>
      <c r="D253" t="s">
        <v>474</v>
      </c>
      <c r="E253" t="s">
        <v>51</v>
      </c>
      <c r="F253" t="s">
        <v>883</v>
      </c>
      <c r="G253" t="s">
        <v>981</v>
      </c>
      <c r="H253" t="s">
        <v>474</v>
      </c>
      <c r="I253" t="s">
        <v>982</v>
      </c>
      <c r="J253" t="s">
        <v>474</v>
      </c>
      <c r="K253" t="s">
        <v>474</v>
      </c>
      <c r="L253" t="s">
        <v>474</v>
      </c>
      <c r="M253" t="s">
        <v>474</v>
      </c>
      <c r="N253" t="s">
        <v>474</v>
      </c>
      <c r="O253" t="s">
        <v>474</v>
      </c>
      <c r="P253" t="s">
        <v>474</v>
      </c>
      <c r="Q253" t="s">
        <v>474</v>
      </c>
      <c r="R253" t="s">
        <v>474</v>
      </c>
      <c r="S253" t="s">
        <v>474</v>
      </c>
      <c r="T253" t="s">
        <v>474</v>
      </c>
      <c r="U253" t="s">
        <v>474</v>
      </c>
      <c r="V253" t="s">
        <v>975</v>
      </c>
      <c r="W253" t="s">
        <v>983</v>
      </c>
      <c r="X253" t="s">
        <v>30</v>
      </c>
      <c r="Y253" t="s">
        <v>476</v>
      </c>
    </row>
    <row r="254" spans="1:25" ht="16" x14ac:dyDescent="0.2">
      <c r="A254" t="s">
        <v>474</v>
      </c>
      <c r="B254" t="s">
        <v>969</v>
      </c>
      <c r="C254" t="s">
        <v>474</v>
      </c>
      <c r="D254" t="s">
        <v>474</v>
      </c>
      <c r="E254" t="s">
        <v>55</v>
      </c>
      <c r="F254" t="s">
        <v>883</v>
      </c>
      <c r="G254" t="s">
        <v>984</v>
      </c>
      <c r="H254" t="s">
        <v>474</v>
      </c>
      <c r="I254" t="s">
        <v>985</v>
      </c>
      <c r="J254" t="s">
        <v>474</v>
      </c>
      <c r="K254" t="s">
        <v>474</v>
      </c>
      <c r="L254" t="s">
        <v>474</v>
      </c>
      <c r="M254" t="s">
        <v>474</v>
      </c>
      <c r="N254" t="s">
        <v>474</v>
      </c>
      <c r="O254" t="s">
        <v>474</v>
      </c>
      <c r="P254" t="s">
        <v>474</v>
      </c>
      <c r="Q254" t="s">
        <v>474</v>
      </c>
      <c r="R254" t="s">
        <v>474</v>
      </c>
      <c r="S254" t="s">
        <v>474</v>
      </c>
      <c r="T254" t="s">
        <v>474</v>
      </c>
      <c r="U254" t="s">
        <v>474</v>
      </c>
      <c r="V254" t="s">
        <v>555</v>
      </c>
      <c r="W254" t="s">
        <v>986</v>
      </c>
      <c r="X254" t="s">
        <v>30</v>
      </c>
      <c r="Y254" t="s">
        <v>476</v>
      </c>
    </row>
    <row r="255" spans="1:25" ht="16" x14ac:dyDescent="0.2">
      <c r="A255" t="s">
        <v>474</v>
      </c>
      <c r="B255" t="s">
        <v>987</v>
      </c>
      <c r="C255" t="s">
        <v>474</v>
      </c>
      <c r="D255" t="s">
        <v>474</v>
      </c>
      <c r="E255" t="s">
        <v>36</v>
      </c>
      <c r="F255" t="s">
        <v>878</v>
      </c>
      <c r="G255" t="s">
        <v>988</v>
      </c>
      <c r="H255" t="s">
        <v>474</v>
      </c>
      <c r="I255" t="s">
        <v>989</v>
      </c>
      <c r="J255" t="s">
        <v>474</v>
      </c>
      <c r="K255" t="s">
        <v>474</v>
      </c>
      <c r="L255" t="s">
        <v>474</v>
      </c>
      <c r="M255" t="s">
        <v>474</v>
      </c>
      <c r="N255" t="s">
        <v>474</v>
      </c>
      <c r="O255" t="s">
        <v>474</v>
      </c>
      <c r="P255" t="s">
        <v>474</v>
      </c>
      <c r="Q255" t="s">
        <v>474</v>
      </c>
      <c r="R255" t="s">
        <v>474</v>
      </c>
      <c r="S255" t="s">
        <v>474</v>
      </c>
      <c r="T255" t="s">
        <v>474</v>
      </c>
      <c r="U255" t="s">
        <v>474</v>
      </c>
      <c r="V255" t="s">
        <v>600</v>
      </c>
      <c r="W255" t="s">
        <v>990</v>
      </c>
      <c r="X255" t="s">
        <v>30</v>
      </c>
      <c r="Y255" t="s">
        <v>476</v>
      </c>
    </row>
    <row r="256" spans="1:25" ht="16" x14ac:dyDescent="0.2">
      <c r="A256" t="s">
        <v>474</v>
      </c>
      <c r="B256" t="s">
        <v>987</v>
      </c>
      <c r="C256" t="s">
        <v>474</v>
      </c>
      <c r="D256" t="s">
        <v>474</v>
      </c>
      <c r="E256" t="s">
        <v>43</v>
      </c>
      <c r="F256" t="s">
        <v>878</v>
      </c>
      <c r="G256" t="s">
        <v>991</v>
      </c>
      <c r="H256" t="s">
        <v>474</v>
      </c>
      <c r="I256" t="s">
        <v>992</v>
      </c>
      <c r="J256" t="s">
        <v>474</v>
      </c>
      <c r="K256" t="s">
        <v>474</v>
      </c>
      <c r="L256" t="s">
        <v>474</v>
      </c>
      <c r="M256" t="s">
        <v>474</v>
      </c>
      <c r="N256" t="s">
        <v>474</v>
      </c>
      <c r="O256" t="s">
        <v>474</v>
      </c>
      <c r="P256" t="s">
        <v>474</v>
      </c>
      <c r="Q256" t="s">
        <v>474</v>
      </c>
      <c r="R256" t="s">
        <v>474</v>
      </c>
      <c r="S256" t="s">
        <v>474</v>
      </c>
      <c r="T256" t="s">
        <v>474</v>
      </c>
      <c r="U256" t="s">
        <v>474</v>
      </c>
      <c r="V256" t="s">
        <v>604</v>
      </c>
      <c r="W256" t="s">
        <v>993</v>
      </c>
      <c r="X256" t="s">
        <v>30</v>
      </c>
      <c r="Y256" t="s">
        <v>476</v>
      </c>
    </row>
    <row r="257" spans="1:25" ht="16" x14ac:dyDescent="0.2">
      <c r="A257" t="s">
        <v>474</v>
      </c>
      <c r="B257" t="s">
        <v>987</v>
      </c>
      <c r="C257" t="s">
        <v>474</v>
      </c>
      <c r="D257" t="s">
        <v>474</v>
      </c>
      <c r="E257" t="s">
        <v>47</v>
      </c>
      <c r="F257" t="s">
        <v>878</v>
      </c>
      <c r="G257" t="s">
        <v>994</v>
      </c>
      <c r="H257" t="s">
        <v>474</v>
      </c>
      <c r="I257" t="s">
        <v>995</v>
      </c>
      <c r="J257" t="s">
        <v>474</v>
      </c>
      <c r="K257" t="s">
        <v>474</v>
      </c>
      <c r="L257" t="s">
        <v>474</v>
      </c>
      <c r="M257" t="s">
        <v>474</v>
      </c>
      <c r="N257" t="s">
        <v>474</v>
      </c>
      <c r="O257" t="s">
        <v>474</v>
      </c>
      <c r="P257" t="s">
        <v>474</v>
      </c>
      <c r="Q257" t="s">
        <v>474</v>
      </c>
      <c r="R257" t="s">
        <v>474</v>
      </c>
      <c r="S257" t="s">
        <v>474</v>
      </c>
      <c r="T257" t="s">
        <v>474</v>
      </c>
      <c r="U257" t="s">
        <v>474</v>
      </c>
      <c r="V257" t="s">
        <v>486</v>
      </c>
      <c r="W257" t="s">
        <v>996</v>
      </c>
      <c r="X257" t="s">
        <v>30</v>
      </c>
      <c r="Y257" t="s">
        <v>476</v>
      </c>
    </row>
    <row r="258" spans="1:25" ht="16" x14ac:dyDescent="0.2">
      <c r="A258" t="s">
        <v>474</v>
      </c>
      <c r="B258" t="s">
        <v>987</v>
      </c>
      <c r="C258" t="s">
        <v>474</v>
      </c>
      <c r="D258" t="s">
        <v>474</v>
      </c>
      <c r="E258" t="s">
        <v>51</v>
      </c>
      <c r="F258" t="s">
        <v>878</v>
      </c>
      <c r="G258" t="s">
        <v>997</v>
      </c>
      <c r="H258" t="s">
        <v>474</v>
      </c>
      <c r="I258" t="s">
        <v>998</v>
      </c>
      <c r="J258" t="s">
        <v>474</v>
      </c>
      <c r="K258" t="s">
        <v>474</v>
      </c>
      <c r="L258" t="s">
        <v>474</v>
      </c>
      <c r="M258" t="s">
        <v>474</v>
      </c>
      <c r="N258" t="s">
        <v>474</v>
      </c>
      <c r="O258" t="s">
        <v>474</v>
      </c>
      <c r="P258" t="s">
        <v>474</v>
      </c>
      <c r="Q258" t="s">
        <v>474</v>
      </c>
      <c r="R258" t="s">
        <v>474</v>
      </c>
      <c r="S258" t="s">
        <v>474</v>
      </c>
      <c r="T258" t="s">
        <v>474</v>
      </c>
      <c r="U258" t="s">
        <v>474</v>
      </c>
      <c r="V258" t="s">
        <v>604</v>
      </c>
      <c r="W258" t="s">
        <v>999</v>
      </c>
      <c r="X258" t="s">
        <v>30</v>
      </c>
      <c r="Y258" t="s">
        <v>476</v>
      </c>
    </row>
    <row r="259" spans="1:25" ht="16" x14ac:dyDescent="0.2">
      <c r="A259" t="s">
        <v>474</v>
      </c>
      <c r="B259" t="s">
        <v>987</v>
      </c>
      <c r="C259" t="s">
        <v>474</v>
      </c>
      <c r="D259" t="s">
        <v>474</v>
      </c>
      <c r="E259" t="s">
        <v>55</v>
      </c>
      <c r="F259" t="s">
        <v>878</v>
      </c>
      <c r="G259" t="s">
        <v>1000</v>
      </c>
      <c r="H259" t="s">
        <v>474</v>
      </c>
      <c r="I259" t="s">
        <v>1001</v>
      </c>
      <c r="J259" t="s">
        <v>474</v>
      </c>
      <c r="K259" t="s">
        <v>474</v>
      </c>
      <c r="L259" t="s">
        <v>474</v>
      </c>
      <c r="M259" t="s">
        <v>474</v>
      </c>
      <c r="N259" t="s">
        <v>474</v>
      </c>
      <c r="O259" t="s">
        <v>474</v>
      </c>
      <c r="P259" t="s">
        <v>474</v>
      </c>
      <c r="Q259" t="s">
        <v>474</v>
      </c>
      <c r="R259" t="s">
        <v>474</v>
      </c>
      <c r="S259" t="s">
        <v>474</v>
      </c>
      <c r="T259" t="s">
        <v>474</v>
      </c>
      <c r="U259" t="s">
        <v>474</v>
      </c>
      <c r="V259" t="s">
        <v>614</v>
      </c>
      <c r="W259" t="s">
        <v>1002</v>
      </c>
      <c r="X259" t="s">
        <v>30</v>
      </c>
      <c r="Y259" t="s">
        <v>476</v>
      </c>
    </row>
    <row r="260" spans="1:25" ht="16" x14ac:dyDescent="0.2">
      <c r="A260" t="s">
        <v>474</v>
      </c>
      <c r="B260" t="s">
        <v>1003</v>
      </c>
      <c r="C260" t="s">
        <v>474</v>
      </c>
      <c r="D260" t="s">
        <v>474</v>
      </c>
      <c r="E260" t="s">
        <v>36</v>
      </c>
      <c r="F260" t="s">
        <v>893</v>
      </c>
      <c r="G260" t="s">
        <v>950</v>
      </c>
      <c r="H260" t="s">
        <v>474</v>
      </c>
      <c r="I260" t="s">
        <v>951</v>
      </c>
      <c r="J260" t="s">
        <v>474</v>
      </c>
      <c r="K260" t="s">
        <v>474</v>
      </c>
      <c r="L260" t="s">
        <v>474</v>
      </c>
      <c r="M260" t="s">
        <v>474</v>
      </c>
      <c r="N260" t="s">
        <v>474</v>
      </c>
      <c r="O260" t="s">
        <v>474</v>
      </c>
      <c r="P260" t="s">
        <v>474</v>
      </c>
      <c r="Q260" t="s">
        <v>474</v>
      </c>
      <c r="R260" t="s">
        <v>474</v>
      </c>
      <c r="S260" t="s">
        <v>474</v>
      </c>
      <c r="T260" t="s">
        <v>474</v>
      </c>
      <c r="U260" t="s">
        <v>474</v>
      </c>
      <c r="V260" t="s">
        <v>1004</v>
      </c>
      <c r="W260" t="s">
        <v>953</v>
      </c>
      <c r="X260" t="s">
        <v>59</v>
      </c>
      <c r="Y260" t="s">
        <v>479</v>
      </c>
    </row>
    <row r="261" spans="1:25" ht="16" x14ac:dyDescent="0.2">
      <c r="A261" t="s">
        <v>474</v>
      </c>
      <c r="B261" t="s">
        <v>1003</v>
      </c>
      <c r="C261" t="s">
        <v>474</v>
      </c>
      <c r="D261" t="s">
        <v>474</v>
      </c>
      <c r="E261" t="s">
        <v>43</v>
      </c>
      <c r="F261" t="s">
        <v>893</v>
      </c>
      <c r="G261" t="s">
        <v>954</v>
      </c>
      <c r="H261" t="s">
        <v>474</v>
      </c>
      <c r="I261" t="s">
        <v>955</v>
      </c>
      <c r="J261" t="s">
        <v>474</v>
      </c>
      <c r="K261" t="s">
        <v>474</v>
      </c>
      <c r="L261" t="s">
        <v>474</v>
      </c>
      <c r="M261" t="s">
        <v>474</v>
      </c>
      <c r="N261" t="s">
        <v>474</v>
      </c>
      <c r="O261" t="s">
        <v>474</v>
      </c>
      <c r="P261" t="s">
        <v>474</v>
      </c>
      <c r="Q261" t="s">
        <v>474</v>
      </c>
      <c r="R261" t="s">
        <v>474</v>
      </c>
      <c r="S261" t="s">
        <v>474</v>
      </c>
      <c r="T261" t="s">
        <v>474</v>
      </c>
      <c r="U261" t="s">
        <v>474</v>
      </c>
      <c r="V261" t="s">
        <v>517</v>
      </c>
      <c r="W261" t="s">
        <v>957</v>
      </c>
      <c r="X261" t="s">
        <v>59</v>
      </c>
      <c r="Y261" t="s">
        <v>479</v>
      </c>
    </row>
    <row r="262" spans="1:25" ht="16" x14ac:dyDescent="0.2">
      <c r="A262" t="s">
        <v>474</v>
      </c>
      <c r="B262" t="s">
        <v>1003</v>
      </c>
      <c r="C262" t="s">
        <v>474</v>
      </c>
      <c r="D262" t="s">
        <v>474</v>
      </c>
      <c r="E262" t="s">
        <v>47</v>
      </c>
      <c r="F262" t="s">
        <v>893</v>
      </c>
      <c r="G262" t="s">
        <v>958</v>
      </c>
      <c r="H262" t="s">
        <v>474</v>
      </c>
      <c r="I262" t="s">
        <v>959</v>
      </c>
      <c r="J262" t="s">
        <v>474</v>
      </c>
      <c r="K262" t="s">
        <v>474</v>
      </c>
      <c r="L262" t="s">
        <v>474</v>
      </c>
      <c r="M262" t="s">
        <v>474</v>
      </c>
      <c r="N262" t="s">
        <v>474</v>
      </c>
      <c r="O262" t="s">
        <v>474</v>
      </c>
      <c r="P262" t="s">
        <v>474</v>
      </c>
      <c r="Q262" t="s">
        <v>474</v>
      </c>
      <c r="R262" t="s">
        <v>474</v>
      </c>
      <c r="S262" t="s">
        <v>474</v>
      </c>
      <c r="T262" t="s">
        <v>474</v>
      </c>
      <c r="U262" t="s">
        <v>474</v>
      </c>
      <c r="V262" t="s">
        <v>1005</v>
      </c>
      <c r="W262" t="s">
        <v>961</v>
      </c>
      <c r="X262" t="s">
        <v>59</v>
      </c>
      <c r="Y262" t="s">
        <v>479</v>
      </c>
    </row>
    <row r="263" spans="1:25" ht="16" x14ac:dyDescent="0.2">
      <c r="A263" t="s">
        <v>474</v>
      </c>
      <c r="B263" t="s">
        <v>1003</v>
      </c>
      <c r="C263" t="s">
        <v>474</v>
      </c>
      <c r="D263" t="s">
        <v>474</v>
      </c>
      <c r="E263" t="s">
        <v>51</v>
      </c>
      <c r="F263" t="s">
        <v>893</v>
      </c>
      <c r="G263" t="s">
        <v>962</v>
      </c>
      <c r="H263" t="s">
        <v>474</v>
      </c>
      <c r="I263" t="s">
        <v>963</v>
      </c>
      <c r="J263" t="s">
        <v>474</v>
      </c>
      <c r="K263" t="s">
        <v>474</v>
      </c>
      <c r="L263" t="s">
        <v>474</v>
      </c>
      <c r="M263" t="s">
        <v>474</v>
      </c>
      <c r="N263" t="s">
        <v>474</v>
      </c>
      <c r="O263" t="s">
        <v>474</v>
      </c>
      <c r="P263" t="s">
        <v>474</v>
      </c>
      <c r="Q263" t="s">
        <v>474</v>
      </c>
      <c r="R263" t="s">
        <v>474</v>
      </c>
      <c r="S263" t="s">
        <v>474</v>
      </c>
      <c r="T263" t="s">
        <v>474</v>
      </c>
      <c r="U263" t="s">
        <v>474</v>
      </c>
      <c r="V263" t="s">
        <v>517</v>
      </c>
      <c r="W263" t="s">
        <v>964</v>
      </c>
      <c r="X263" t="s">
        <v>59</v>
      </c>
      <c r="Y263" t="s">
        <v>479</v>
      </c>
    </row>
    <row r="264" spans="1:25" ht="16" x14ac:dyDescent="0.2">
      <c r="A264" t="s">
        <v>474</v>
      </c>
      <c r="B264" t="s">
        <v>1003</v>
      </c>
      <c r="C264" t="s">
        <v>474</v>
      </c>
      <c r="D264" t="s">
        <v>474</v>
      </c>
      <c r="E264" t="s">
        <v>55</v>
      </c>
      <c r="F264" t="s">
        <v>893</v>
      </c>
      <c r="G264" t="s">
        <v>965</v>
      </c>
      <c r="H264" t="s">
        <v>474</v>
      </c>
      <c r="I264" t="s">
        <v>966</v>
      </c>
      <c r="J264" t="s">
        <v>474</v>
      </c>
      <c r="K264" t="s">
        <v>474</v>
      </c>
      <c r="L264" t="s">
        <v>474</v>
      </c>
      <c r="M264" t="s">
        <v>474</v>
      </c>
      <c r="N264" t="s">
        <v>474</v>
      </c>
      <c r="O264" t="s">
        <v>474</v>
      </c>
      <c r="P264" t="s">
        <v>474</v>
      </c>
      <c r="Q264" t="s">
        <v>474</v>
      </c>
      <c r="R264" t="s">
        <v>474</v>
      </c>
      <c r="S264" t="s">
        <v>474</v>
      </c>
      <c r="T264" t="s">
        <v>474</v>
      </c>
      <c r="U264" t="s">
        <v>474</v>
      </c>
      <c r="V264" t="s">
        <v>1006</v>
      </c>
      <c r="W264" t="s">
        <v>968</v>
      </c>
      <c r="X264" t="s">
        <v>59</v>
      </c>
      <c r="Y264" t="s">
        <v>479</v>
      </c>
    </row>
    <row r="265" spans="1:25" ht="16" x14ac:dyDescent="0.2">
      <c r="A265" t="s">
        <v>474</v>
      </c>
      <c r="B265" t="s">
        <v>1007</v>
      </c>
      <c r="C265" t="s">
        <v>474</v>
      </c>
      <c r="D265" t="s">
        <v>474</v>
      </c>
      <c r="E265" t="s">
        <v>36</v>
      </c>
      <c r="F265" t="s">
        <v>883</v>
      </c>
      <c r="G265" t="s">
        <v>970</v>
      </c>
      <c r="H265" t="s">
        <v>474</v>
      </c>
      <c r="I265" t="s">
        <v>971</v>
      </c>
      <c r="J265" t="s">
        <v>474</v>
      </c>
      <c r="K265" t="s">
        <v>474</v>
      </c>
      <c r="L265" t="s">
        <v>474</v>
      </c>
      <c r="M265" t="s">
        <v>474</v>
      </c>
      <c r="N265" t="s">
        <v>474</v>
      </c>
      <c r="O265" t="s">
        <v>474</v>
      </c>
      <c r="P265" t="s">
        <v>474</v>
      </c>
      <c r="Q265" t="s">
        <v>474</v>
      </c>
      <c r="R265" t="s">
        <v>474</v>
      </c>
      <c r="S265" t="s">
        <v>474</v>
      </c>
      <c r="T265" t="s">
        <v>474</v>
      </c>
      <c r="U265" t="s">
        <v>474</v>
      </c>
      <c r="V265" t="s">
        <v>485</v>
      </c>
      <c r="W265" t="s">
        <v>972</v>
      </c>
      <c r="X265" t="s">
        <v>59</v>
      </c>
      <c r="Y265" t="s">
        <v>479</v>
      </c>
    </row>
    <row r="266" spans="1:25" ht="16" x14ac:dyDescent="0.2">
      <c r="A266" t="s">
        <v>474</v>
      </c>
      <c r="B266" t="s">
        <v>1007</v>
      </c>
      <c r="C266" t="s">
        <v>474</v>
      </c>
      <c r="D266" t="s">
        <v>474</v>
      </c>
      <c r="E266" t="s">
        <v>43</v>
      </c>
      <c r="F266" t="s">
        <v>883</v>
      </c>
      <c r="G266" t="s">
        <v>973</v>
      </c>
      <c r="H266" t="s">
        <v>474</v>
      </c>
      <c r="I266" t="s">
        <v>974</v>
      </c>
      <c r="J266" t="s">
        <v>474</v>
      </c>
      <c r="K266" t="s">
        <v>474</v>
      </c>
      <c r="L266" t="s">
        <v>474</v>
      </c>
      <c r="M266" t="s">
        <v>474</v>
      </c>
      <c r="N266" t="s">
        <v>474</v>
      </c>
      <c r="O266" t="s">
        <v>474</v>
      </c>
      <c r="P266" t="s">
        <v>474</v>
      </c>
      <c r="Q266" t="s">
        <v>474</v>
      </c>
      <c r="R266" t="s">
        <v>474</v>
      </c>
      <c r="S266" t="s">
        <v>474</v>
      </c>
      <c r="T266" t="s">
        <v>474</v>
      </c>
      <c r="U266" t="s">
        <v>474</v>
      </c>
      <c r="V266" t="s">
        <v>1008</v>
      </c>
      <c r="W266" t="s">
        <v>976</v>
      </c>
      <c r="X266" t="s">
        <v>59</v>
      </c>
      <c r="Y266" t="s">
        <v>479</v>
      </c>
    </row>
    <row r="267" spans="1:25" ht="16" x14ac:dyDescent="0.2">
      <c r="A267" t="s">
        <v>474</v>
      </c>
      <c r="B267" t="s">
        <v>1007</v>
      </c>
      <c r="C267" t="s">
        <v>474</v>
      </c>
      <c r="D267" t="s">
        <v>474</v>
      </c>
      <c r="E267" t="s">
        <v>47</v>
      </c>
      <c r="F267" t="s">
        <v>883</v>
      </c>
      <c r="G267" t="s">
        <v>977</v>
      </c>
      <c r="H267" t="s">
        <v>474</v>
      </c>
      <c r="I267" t="s">
        <v>978</v>
      </c>
      <c r="J267" t="s">
        <v>474</v>
      </c>
      <c r="K267" t="s">
        <v>474</v>
      </c>
      <c r="L267" t="s">
        <v>474</v>
      </c>
      <c r="M267" t="s">
        <v>474</v>
      </c>
      <c r="N267" t="s">
        <v>474</v>
      </c>
      <c r="O267" t="s">
        <v>474</v>
      </c>
      <c r="P267" t="s">
        <v>474</v>
      </c>
      <c r="Q267" t="s">
        <v>474</v>
      </c>
      <c r="R267" t="s">
        <v>474</v>
      </c>
      <c r="S267" t="s">
        <v>474</v>
      </c>
      <c r="T267" t="s">
        <v>474</v>
      </c>
      <c r="U267" t="s">
        <v>474</v>
      </c>
      <c r="V267" t="s">
        <v>553</v>
      </c>
      <c r="W267" t="s">
        <v>980</v>
      </c>
      <c r="X267" t="s">
        <v>59</v>
      </c>
      <c r="Y267" t="s">
        <v>479</v>
      </c>
    </row>
    <row r="268" spans="1:25" ht="16" x14ac:dyDescent="0.2">
      <c r="A268" t="s">
        <v>474</v>
      </c>
      <c r="B268" t="s">
        <v>1007</v>
      </c>
      <c r="C268" t="s">
        <v>474</v>
      </c>
      <c r="D268" t="s">
        <v>474</v>
      </c>
      <c r="E268" t="s">
        <v>51</v>
      </c>
      <c r="F268" t="s">
        <v>883</v>
      </c>
      <c r="G268" t="s">
        <v>981</v>
      </c>
      <c r="H268" t="s">
        <v>474</v>
      </c>
      <c r="I268" t="s">
        <v>982</v>
      </c>
      <c r="J268" t="s">
        <v>474</v>
      </c>
      <c r="K268" t="s">
        <v>474</v>
      </c>
      <c r="L268" t="s">
        <v>474</v>
      </c>
      <c r="M268" t="s">
        <v>474</v>
      </c>
      <c r="N268" t="s">
        <v>474</v>
      </c>
      <c r="O268" t="s">
        <v>474</v>
      </c>
      <c r="P268" t="s">
        <v>474</v>
      </c>
      <c r="Q268" t="s">
        <v>474</v>
      </c>
      <c r="R268" t="s">
        <v>474</v>
      </c>
      <c r="S268" t="s">
        <v>474</v>
      </c>
      <c r="T268" t="s">
        <v>474</v>
      </c>
      <c r="U268" t="s">
        <v>474</v>
      </c>
      <c r="V268" t="s">
        <v>1008</v>
      </c>
      <c r="W268" t="s">
        <v>983</v>
      </c>
      <c r="X268" t="s">
        <v>59</v>
      </c>
      <c r="Y268" t="s">
        <v>479</v>
      </c>
    </row>
    <row r="269" spans="1:25" ht="16" x14ac:dyDescent="0.2">
      <c r="A269" t="s">
        <v>474</v>
      </c>
      <c r="B269" t="s">
        <v>1007</v>
      </c>
      <c r="C269" t="s">
        <v>474</v>
      </c>
      <c r="D269" t="s">
        <v>474</v>
      </c>
      <c r="E269" t="s">
        <v>55</v>
      </c>
      <c r="F269" t="s">
        <v>883</v>
      </c>
      <c r="G269" t="s">
        <v>984</v>
      </c>
      <c r="H269" t="s">
        <v>474</v>
      </c>
      <c r="I269" t="s">
        <v>985</v>
      </c>
      <c r="J269" t="s">
        <v>474</v>
      </c>
      <c r="K269" t="s">
        <v>474</v>
      </c>
      <c r="L269" t="s">
        <v>474</v>
      </c>
      <c r="M269" t="s">
        <v>474</v>
      </c>
      <c r="N269" t="s">
        <v>474</v>
      </c>
      <c r="O269" t="s">
        <v>474</v>
      </c>
      <c r="P269" t="s">
        <v>474</v>
      </c>
      <c r="Q269" t="s">
        <v>474</v>
      </c>
      <c r="R269" t="s">
        <v>474</v>
      </c>
      <c r="S269" t="s">
        <v>474</v>
      </c>
      <c r="T269" t="s">
        <v>474</v>
      </c>
      <c r="U269" t="s">
        <v>474</v>
      </c>
      <c r="V269" t="s">
        <v>530</v>
      </c>
      <c r="W269" t="s">
        <v>986</v>
      </c>
      <c r="X269" t="s">
        <v>59</v>
      </c>
      <c r="Y269" t="s">
        <v>479</v>
      </c>
    </row>
    <row r="270" spans="1:25" ht="16" x14ac:dyDescent="0.2">
      <c r="A270" t="s">
        <v>474</v>
      </c>
      <c r="B270" t="s">
        <v>1009</v>
      </c>
      <c r="C270" t="s">
        <v>474</v>
      </c>
      <c r="D270" t="s">
        <v>474</v>
      </c>
      <c r="E270" t="s">
        <v>36</v>
      </c>
      <c r="F270" t="s">
        <v>878</v>
      </c>
      <c r="G270" t="s">
        <v>988</v>
      </c>
      <c r="H270" t="s">
        <v>474</v>
      </c>
      <c r="I270" t="s">
        <v>989</v>
      </c>
      <c r="J270" t="s">
        <v>474</v>
      </c>
      <c r="K270" t="s">
        <v>474</v>
      </c>
      <c r="L270" t="s">
        <v>474</v>
      </c>
      <c r="M270" t="s">
        <v>474</v>
      </c>
      <c r="N270" t="s">
        <v>474</v>
      </c>
      <c r="O270" t="s">
        <v>474</v>
      </c>
      <c r="P270" t="s">
        <v>474</v>
      </c>
      <c r="Q270" t="s">
        <v>474</v>
      </c>
      <c r="R270" t="s">
        <v>474</v>
      </c>
      <c r="S270" t="s">
        <v>474</v>
      </c>
      <c r="T270" t="s">
        <v>474</v>
      </c>
      <c r="U270" t="s">
        <v>474</v>
      </c>
      <c r="V270" t="s">
        <v>519</v>
      </c>
      <c r="W270" t="s">
        <v>990</v>
      </c>
      <c r="X270" t="s">
        <v>59</v>
      </c>
      <c r="Y270" t="s">
        <v>479</v>
      </c>
    </row>
    <row r="271" spans="1:25" ht="16" x14ac:dyDescent="0.2">
      <c r="A271" t="s">
        <v>474</v>
      </c>
      <c r="B271" t="s">
        <v>1009</v>
      </c>
      <c r="C271" t="s">
        <v>474</v>
      </c>
      <c r="D271" t="s">
        <v>474</v>
      </c>
      <c r="E271" t="s">
        <v>43</v>
      </c>
      <c r="F271" t="s">
        <v>878</v>
      </c>
      <c r="G271" t="s">
        <v>991</v>
      </c>
      <c r="H271" t="s">
        <v>474</v>
      </c>
      <c r="I271" t="s">
        <v>992</v>
      </c>
      <c r="J271" t="s">
        <v>474</v>
      </c>
      <c r="K271" t="s">
        <v>474</v>
      </c>
      <c r="L271" t="s">
        <v>474</v>
      </c>
      <c r="M271" t="s">
        <v>474</v>
      </c>
      <c r="N271" t="s">
        <v>474</v>
      </c>
      <c r="O271" t="s">
        <v>474</v>
      </c>
      <c r="P271" t="s">
        <v>474</v>
      </c>
      <c r="Q271" t="s">
        <v>474</v>
      </c>
      <c r="R271" t="s">
        <v>474</v>
      </c>
      <c r="S271" t="s">
        <v>474</v>
      </c>
      <c r="T271" t="s">
        <v>474</v>
      </c>
      <c r="U271" t="s">
        <v>474</v>
      </c>
      <c r="V271" t="s">
        <v>682</v>
      </c>
      <c r="W271" t="s">
        <v>993</v>
      </c>
      <c r="X271" t="s">
        <v>59</v>
      </c>
      <c r="Y271" t="s">
        <v>479</v>
      </c>
    </row>
    <row r="272" spans="1:25" ht="16" x14ac:dyDescent="0.2">
      <c r="A272" t="s">
        <v>474</v>
      </c>
      <c r="B272" t="s">
        <v>1009</v>
      </c>
      <c r="C272" t="s">
        <v>474</v>
      </c>
      <c r="D272" t="s">
        <v>474</v>
      </c>
      <c r="E272" t="s">
        <v>47</v>
      </c>
      <c r="F272" t="s">
        <v>878</v>
      </c>
      <c r="G272" t="s">
        <v>994</v>
      </c>
      <c r="H272" t="s">
        <v>474</v>
      </c>
      <c r="I272" t="s">
        <v>995</v>
      </c>
      <c r="J272" t="s">
        <v>474</v>
      </c>
      <c r="K272" t="s">
        <v>474</v>
      </c>
      <c r="L272" t="s">
        <v>474</v>
      </c>
      <c r="M272" t="s">
        <v>474</v>
      </c>
      <c r="N272" t="s">
        <v>474</v>
      </c>
      <c r="O272" t="s">
        <v>474</v>
      </c>
      <c r="P272" t="s">
        <v>474</v>
      </c>
      <c r="Q272" t="s">
        <v>474</v>
      </c>
      <c r="R272" t="s">
        <v>474</v>
      </c>
      <c r="S272" t="s">
        <v>474</v>
      </c>
      <c r="T272" t="s">
        <v>474</v>
      </c>
      <c r="U272" t="s">
        <v>474</v>
      </c>
      <c r="V272" t="s">
        <v>478</v>
      </c>
      <c r="W272" t="s">
        <v>996</v>
      </c>
      <c r="X272" t="s">
        <v>59</v>
      </c>
      <c r="Y272" t="s">
        <v>479</v>
      </c>
    </row>
    <row r="273" spans="1:25" ht="16" x14ac:dyDescent="0.2">
      <c r="A273" t="s">
        <v>474</v>
      </c>
      <c r="B273" t="s">
        <v>1009</v>
      </c>
      <c r="C273" t="s">
        <v>474</v>
      </c>
      <c r="D273" t="s">
        <v>474</v>
      </c>
      <c r="E273" t="s">
        <v>51</v>
      </c>
      <c r="F273" t="s">
        <v>878</v>
      </c>
      <c r="G273" t="s">
        <v>997</v>
      </c>
      <c r="H273" t="s">
        <v>474</v>
      </c>
      <c r="I273" t="s">
        <v>998</v>
      </c>
      <c r="J273" t="s">
        <v>474</v>
      </c>
      <c r="K273" t="s">
        <v>474</v>
      </c>
      <c r="L273" t="s">
        <v>474</v>
      </c>
      <c r="M273" t="s">
        <v>474</v>
      </c>
      <c r="N273" t="s">
        <v>474</v>
      </c>
      <c r="O273" t="s">
        <v>474</v>
      </c>
      <c r="P273" t="s">
        <v>474</v>
      </c>
      <c r="Q273" t="s">
        <v>474</v>
      </c>
      <c r="R273" t="s">
        <v>474</v>
      </c>
      <c r="S273" t="s">
        <v>474</v>
      </c>
      <c r="T273" t="s">
        <v>474</v>
      </c>
      <c r="U273" t="s">
        <v>474</v>
      </c>
      <c r="V273" t="s">
        <v>682</v>
      </c>
      <c r="W273" t="s">
        <v>999</v>
      </c>
      <c r="X273" t="s">
        <v>59</v>
      </c>
      <c r="Y273" t="s">
        <v>479</v>
      </c>
    </row>
    <row r="274" spans="1:25" ht="16" x14ac:dyDescent="0.2">
      <c r="A274" t="s">
        <v>474</v>
      </c>
      <c r="B274" t="s">
        <v>1009</v>
      </c>
      <c r="C274" t="s">
        <v>474</v>
      </c>
      <c r="D274" t="s">
        <v>474</v>
      </c>
      <c r="E274" t="s">
        <v>55</v>
      </c>
      <c r="F274" t="s">
        <v>878</v>
      </c>
      <c r="G274" t="s">
        <v>1000</v>
      </c>
      <c r="H274" t="s">
        <v>474</v>
      </c>
      <c r="I274" t="s">
        <v>1001</v>
      </c>
      <c r="J274" t="s">
        <v>474</v>
      </c>
      <c r="K274" t="s">
        <v>474</v>
      </c>
      <c r="L274" t="s">
        <v>474</v>
      </c>
      <c r="M274" t="s">
        <v>474</v>
      </c>
      <c r="N274" t="s">
        <v>474</v>
      </c>
      <c r="O274" t="s">
        <v>474</v>
      </c>
      <c r="P274" t="s">
        <v>474</v>
      </c>
      <c r="Q274" t="s">
        <v>474</v>
      </c>
      <c r="R274" t="s">
        <v>474</v>
      </c>
      <c r="S274" t="s">
        <v>474</v>
      </c>
      <c r="T274" t="s">
        <v>474</v>
      </c>
      <c r="U274" t="s">
        <v>474</v>
      </c>
      <c r="V274" t="s">
        <v>683</v>
      </c>
      <c r="W274" t="s">
        <v>1002</v>
      </c>
      <c r="X274" t="s">
        <v>59</v>
      </c>
      <c r="Y274" t="s">
        <v>479</v>
      </c>
    </row>
    <row r="275" spans="1:25" ht="16" x14ac:dyDescent="0.2">
      <c r="A275" t="s">
        <v>474</v>
      </c>
      <c r="B275" t="s">
        <v>1010</v>
      </c>
      <c r="C275" t="s">
        <v>474</v>
      </c>
      <c r="D275" t="s">
        <v>474</v>
      </c>
      <c r="E275" t="s">
        <v>36</v>
      </c>
      <c r="F275" t="s">
        <v>893</v>
      </c>
      <c r="G275" t="s">
        <v>950</v>
      </c>
      <c r="H275" t="s">
        <v>474</v>
      </c>
      <c r="I275" t="s">
        <v>951</v>
      </c>
      <c r="J275" t="s">
        <v>474</v>
      </c>
      <c r="K275" t="s">
        <v>474</v>
      </c>
      <c r="L275" t="s">
        <v>474</v>
      </c>
      <c r="M275" t="s">
        <v>474</v>
      </c>
      <c r="N275" t="s">
        <v>474</v>
      </c>
      <c r="O275" t="s">
        <v>474</v>
      </c>
      <c r="P275" t="s">
        <v>474</v>
      </c>
      <c r="Q275" t="s">
        <v>474</v>
      </c>
      <c r="R275" t="s">
        <v>474</v>
      </c>
      <c r="S275" t="s">
        <v>474</v>
      </c>
      <c r="T275" t="s">
        <v>474</v>
      </c>
      <c r="U275" t="s">
        <v>474</v>
      </c>
      <c r="V275" t="s">
        <v>1011</v>
      </c>
      <c r="W275" t="s">
        <v>953</v>
      </c>
      <c r="X275" t="s">
        <v>61</v>
      </c>
      <c r="Y275" t="s">
        <v>482</v>
      </c>
    </row>
    <row r="276" spans="1:25" ht="16" x14ac:dyDescent="0.2">
      <c r="A276" t="s">
        <v>474</v>
      </c>
      <c r="B276" t="s">
        <v>1010</v>
      </c>
      <c r="C276" t="s">
        <v>474</v>
      </c>
      <c r="D276" t="s">
        <v>474</v>
      </c>
      <c r="E276" t="s">
        <v>43</v>
      </c>
      <c r="F276" t="s">
        <v>893</v>
      </c>
      <c r="G276" t="s">
        <v>954</v>
      </c>
      <c r="H276" t="s">
        <v>474</v>
      </c>
      <c r="I276" t="s">
        <v>955</v>
      </c>
      <c r="J276" t="s">
        <v>474</v>
      </c>
      <c r="K276" t="s">
        <v>474</v>
      </c>
      <c r="L276" t="s">
        <v>474</v>
      </c>
      <c r="M276" t="s">
        <v>474</v>
      </c>
      <c r="N276" t="s">
        <v>474</v>
      </c>
      <c r="O276" t="s">
        <v>474</v>
      </c>
      <c r="P276" t="s">
        <v>474</v>
      </c>
      <c r="Q276" t="s">
        <v>474</v>
      </c>
      <c r="R276" t="s">
        <v>474</v>
      </c>
      <c r="S276" t="s">
        <v>474</v>
      </c>
      <c r="T276" t="s">
        <v>474</v>
      </c>
      <c r="U276" t="s">
        <v>474</v>
      </c>
      <c r="V276" t="s">
        <v>1012</v>
      </c>
      <c r="W276" t="s">
        <v>957</v>
      </c>
      <c r="X276" t="s">
        <v>61</v>
      </c>
      <c r="Y276" t="s">
        <v>482</v>
      </c>
    </row>
    <row r="277" spans="1:25" ht="16" x14ac:dyDescent="0.2">
      <c r="A277" t="s">
        <v>474</v>
      </c>
      <c r="B277" t="s">
        <v>1010</v>
      </c>
      <c r="C277" t="s">
        <v>474</v>
      </c>
      <c r="D277" t="s">
        <v>474</v>
      </c>
      <c r="E277" t="s">
        <v>47</v>
      </c>
      <c r="F277" t="s">
        <v>893</v>
      </c>
      <c r="G277" t="s">
        <v>958</v>
      </c>
      <c r="H277" t="s">
        <v>474</v>
      </c>
      <c r="I277" t="s">
        <v>959</v>
      </c>
      <c r="J277" t="s">
        <v>474</v>
      </c>
      <c r="K277" t="s">
        <v>474</v>
      </c>
      <c r="L277" t="s">
        <v>474</v>
      </c>
      <c r="M277" t="s">
        <v>474</v>
      </c>
      <c r="N277" t="s">
        <v>474</v>
      </c>
      <c r="O277" t="s">
        <v>474</v>
      </c>
      <c r="P277" t="s">
        <v>474</v>
      </c>
      <c r="Q277" t="s">
        <v>474</v>
      </c>
      <c r="R277" t="s">
        <v>474</v>
      </c>
      <c r="S277" t="s">
        <v>474</v>
      </c>
      <c r="T277" t="s">
        <v>474</v>
      </c>
      <c r="U277" t="s">
        <v>474</v>
      </c>
      <c r="V277" t="s">
        <v>1013</v>
      </c>
      <c r="W277" t="s">
        <v>961</v>
      </c>
      <c r="X277" t="s">
        <v>61</v>
      </c>
      <c r="Y277" t="s">
        <v>482</v>
      </c>
    </row>
    <row r="278" spans="1:25" ht="16" x14ac:dyDescent="0.2">
      <c r="A278" t="s">
        <v>474</v>
      </c>
      <c r="B278" t="s">
        <v>1010</v>
      </c>
      <c r="C278" t="s">
        <v>474</v>
      </c>
      <c r="D278" t="s">
        <v>474</v>
      </c>
      <c r="E278" t="s">
        <v>51</v>
      </c>
      <c r="F278" t="s">
        <v>893</v>
      </c>
      <c r="G278" t="s">
        <v>962</v>
      </c>
      <c r="H278" t="s">
        <v>474</v>
      </c>
      <c r="I278" t="s">
        <v>963</v>
      </c>
      <c r="J278" t="s">
        <v>474</v>
      </c>
      <c r="K278" t="s">
        <v>474</v>
      </c>
      <c r="L278" t="s">
        <v>474</v>
      </c>
      <c r="M278" t="s">
        <v>474</v>
      </c>
      <c r="N278" t="s">
        <v>474</v>
      </c>
      <c r="O278" t="s">
        <v>474</v>
      </c>
      <c r="P278" t="s">
        <v>474</v>
      </c>
      <c r="Q278" t="s">
        <v>474</v>
      </c>
      <c r="R278" t="s">
        <v>474</v>
      </c>
      <c r="S278" t="s">
        <v>474</v>
      </c>
      <c r="T278" t="s">
        <v>474</v>
      </c>
      <c r="U278" t="s">
        <v>474</v>
      </c>
      <c r="V278" t="s">
        <v>1012</v>
      </c>
      <c r="W278" t="s">
        <v>964</v>
      </c>
      <c r="X278" t="s">
        <v>61</v>
      </c>
      <c r="Y278" t="s">
        <v>482</v>
      </c>
    </row>
    <row r="279" spans="1:25" ht="16" x14ac:dyDescent="0.2">
      <c r="A279" t="s">
        <v>474</v>
      </c>
      <c r="B279" t="s">
        <v>1010</v>
      </c>
      <c r="C279" t="s">
        <v>474</v>
      </c>
      <c r="D279" t="s">
        <v>474</v>
      </c>
      <c r="E279" t="s">
        <v>55</v>
      </c>
      <c r="F279" t="s">
        <v>893</v>
      </c>
      <c r="G279" t="s">
        <v>965</v>
      </c>
      <c r="H279" t="s">
        <v>474</v>
      </c>
      <c r="I279" t="s">
        <v>966</v>
      </c>
      <c r="J279" t="s">
        <v>474</v>
      </c>
      <c r="K279" t="s">
        <v>474</v>
      </c>
      <c r="L279" t="s">
        <v>474</v>
      </c>
      <c r="M279" t="s">
        <v>474</v>
      </c>
      <c r="N279" t="s">
        <v>474</v>
      </c>
      <c r="O279" t="s">
        <v>474</v>
      </c>
      <c r="P279" t="s">
        <v>474</v>
      </c>
      <c r="Q279" t="s">
        <v>474</v>
      </c>
      <c r="R279" t="s">
        <v>474</v>
      </c>
      <c r="S279" t="s">
        <v>474</v>
      </c>
      <c r="T279" t="s">
        <v>474</v>
      </c>
      <c r="U279" t="s">
        <v>474</v>
      </c>
      <c r="V279" t="s">
        <v>600</v>
      </c>
      <c r="W279" t="s">
        <v>968</v>
      </c>
      <c r="X279" t="s">
        <v>61</v>
      </c>
      <c r="Y279" t="s">
        <v>482</v>
      </c>
    </row>
    <row r="280" spans="1:25" ht="16" x14ac:dyDescent="0.2">
      <c r="A280" t="s">
        <v>474</v>
      </c>
      <c r="B280" t="s">
        <v>1014</v>
      </c>
      <c r="C280" t="s">
        <v>474</v>
      </c>
      <c r="D280" t="s">
        <v>474</v>
      </c>
      <c r="E280" t="s">
        <v>36</v>
      </c>
      <c r="F280" t="s">
        <v>883</v>
      </c>
      <c r="G280" t="s">
        <v>970</v>
      </c>
      <c r="H280" t="s">
        <v>474</v>
      </c>
      <c r="I280" t="s">
        <v>971</v>
      </c>
      <c r="J280" t="s">
        <v>474</v>
      </c>
      <c r="K280" t="s">
        <v>474</v>
      </c>
      <c r="L280" t="s">
        <v>474</v>
      </c>
      <c r="M280" t="s">
        <v>474</v>
      </c>
      <c r="N280" t="s">
        <v>474</v>
      </c>
      <c r="O280" t="s">
        <v>474</v>
      </c>
      <c r="P280" t="s">
        <v>474</v>
      </c>
      <c r="Q280" t="s">
        <v>474</v>
      </c>
      <c r="R280" t="s">
        <v>474</v>
      </c>
      <c r="S280" t="s">
        <v>474</v>
      </c>
      <c r="T280" t="s">
        <v>474</v>
      </c>
      <c r="U280" t="s">
        <v>474</v>
      </c>
      <c r="V280" t="s">
        <v>485</v>
      </c>
      <c r="W280" t="s">
        <v>972</v>
      </c>
      <c r="X280" t="s">
        <v>61</v>
      </c>
      <c r="Y280" t="s">
        <v>482</v>
      </c>
    </row>
    <row r="281" spans="1:25" ht="16" x14ac:dyDescent="0.2">
      <c r="A281" t="s">
        <v>474</v>
      </c>
      <c r="B281" t="s">
        <v>1014</v>
      </c>
      <c r="C281" t="s">
        <v>474</v>
      </c>
      <c r="D281" t="s">
        <v>474</v>
      </c>
      <c r="E281" t="s">
        <v>43</v>
      </c>
      <c r="F281" t="s">
        <v>883</v>
      </c>
      <c r="G281" t="s">
        <v>973</v>
      </c>
      <c r="H281" t="s">
        <v>474</v>
      </c>
      <c r="I281" t="s">
        <v>974</v>
      </c>
      <c r="J281" t="s">
        <v>474</v>
      </c>
      <c r="K281" t="s">
        <v>474</v>
      </c>
      <c r="L281" t="s">
        <v>474</v>
      </c>
      <c r="M281" t="s">
        <v>474</v>
      </c>
      <c r="N281" t="s">
        <v>474</v>
      </c>
      <c r="O281" t="s">
        <v>474</v>
      </c>
      <c r="P281" t="s">
        <v>474</v>
      </c>
      <c r="Q281" t="s">
        <v>474</v>
      </c>
      <c r="R281" t="s">
        <v>474</v>
      </c>
      <c r="S281" t="s">
        <v>474</v>
      </c>
      <c r="T281" t="s">
        <v>474</v>
      </c>
      <c r="U281" t="s">
        <v>474</v>
      </c>
      <c r="V281" t="s">
        <v>1015</v>
      </c>
      <c r="W281" t="s">
        <v>976</v>
      </c>
      <c r="X281" t="s">
        <v>61</v>
      </c>
      <c r="Y281" t="s">
        <v>482</v>
      </c>
    </row>
    <row r="282" spans="1:25" ht="16" x14ac:dyDescent="0.2">
      <c r="A282" t="s">
        <v>474</v>
      </c>
      <c r="B282" t="s">
        <v>1014</v>
      </c>
      <c r="C282" t="s">
        <v>474</v>
      </c>
      <c r="D282" t="s">
        <v>474</v>
      </c>
      <c r="E282" t="s">
        <v>47</v>
      </c>
      <c r="F282" t="s">
        <v>883</v>
      </c>
      <c r="G282" t="s">
        <v>977</v>
      </c>
      <c r="H282" t="s">
        <v>474</v>
      </c>
      <c r="I282" t="s">
        <v>978</v>
      </c>
      <c r="J282" t="s">
        <v>474</v>
      </c>
      <c r="K282" t="s">
        <v>474</v>
      </c>
      <c r="L282" t="s">
        <v>474</v>
      </c>
      <c r="M282" t="s">
        <v>474</v>
      </c>
      <c r="N282" t="s">
        <v>474</v>
      </c>
      <c r="O282" t="s">
        <v>474</v>
      </c>
      <c r="P282" t="s">
        <v>474</v>
      </c>
      <c r="Q282" t="s">
        <v>474</v>
      </c>
      <c r="R282" t="s">
        <v>474</v>
      </c>
      <c r="S282" t="s">
        <v>474</v>
      </c>
      <c r="T282" t="s">
        <v>474</v>
      </c>
      <c r="U282" t="s">
        <v>474</v>
      </c>
      <c r="V282" t="s">
        <v>1016</v>
      </c>
      <c r="W282" t="s">
        <v>980</v>
      </c>
      <c r="X282" t="s">
        <v>61</v>
      </c>
      <c r="Y282" t="s">
        <v>482</v>
      </c>
    </row>
    <row r="283" spans="1:25" ht="16" x14ac:dyDescent="0.2">
      <c r="A283" t="s">
        <v>474</v>
      </c>
      <c r="B283" t="s">
        <v>1014</v>
      </c>
      <c r="C283" t="s">
        <v>474</v>
      </c>
      <c r="D283" t="s">
        <v>474</v>
      </c>
      <c r="E283" t="s">
        <v>51</v>
      </c>
      <c r="F283" t="s">
        <v>883</v>
      </c>
      <c r="G283" t="s">
        <v>981</v>
      </c>
      <c r="H283" t="s">
        <v>474</v>
      </c>
      <c r="I283" t="s">
        <v>982</v>
      </c>
      <c r="J283" t="s">
        <v>474</v>
      </c>
      <c r="K283" t="s">
        <v>474</v>
      </c>
      <c r="L283" t="s">
        <v>474</v>
      </c>
      <c r="M283" t="s">
        <v>474</v>
      </c>
      <c r="N283" t="s">
        <v>474</v>
      </c>
      <c r="O283" t="s">
        <v>474</v>
      </c>
      <c r="P283" t="s">
        <v>474</v>
      </c>
      <c r="Q283" t="s">
        <v>474</v>
      </c>
      <c r="R283" t="s">
        <v>474</v>
      </c>
      <c r="S283" t="s">
        <v>474</v>
      </c>
      <c r="T283" t="s">
        <v>474</v>
      </c>
      <c r="U283" t="s">
        <v>474</v>
      </c>
      <c r="V283" t="s">
        <v>545</v>
      </c>
      <c r="W283" t="s">
        <v>983</v>
      </c>
      <c r="X283" t="s">
        <v>61</v>
      </c>
      <c r="Y283" t="s">
        <v>482</v>
      </c>
    </row>
    <row r="284" spans="1:25" ht="16" x14ac:dyDescent="0.2">
      <c r="A284" t="s">
        <v>474</v>
      </c>
      <c r="B284" t="s">
        <v>1014</v>
      </c>
      <c r="C284" t="s">
        <v>474</v>
      </c>
      <c r="D284" t="s">
        <v>474</v>
      </c>
      <c r="E284" t="s">
        <v>55</v>
      </c>
      <c r="F284" t="s">
        <v>883</v>
      </c>
      <c r="G284" t="s">
        <v>984</v>
      </c>
      <c r="H284" t="s">
        <v>474</v>
      </c>
      <c r="I284" t="s">
        <v>985</v>
      </c>
      <c r="J284" t="s">
        <v>474</v>
      </c>
      <c r="K284" t="s">
        <v>474</v>
      </c>
      <c r="L284" t="s">
        <v>474</v>
      </c>
      <c r="M284" t="s">
        <v>474</v>
      </c>
      <c r="N284" t="s">
        <v>474</v>
      </c>
      <c r="O284" t="s">
        <v>474</v>
      </c>
      <c r="P284" t="s">
        <v>474</v>
      </c>
      <c r="Q284" t="s">
        <v>474</v>
      </c>
      <c r="R284" t="s">
        <v>474</v>
      </c>
      <c r="S284" t="s">
        <v>474</v>
      </c>
      <c r="T284" t="s">
        <v>474</v>
      </c>
      <c r="U284" t="s">
        <v>474</v>
      </c>
      <c r="V284" t="s">
        <v>485</v>
      </c>
      <c r="W284" t="s">
        <v>986</v>
      </c>
      <c r="X284" t="s">
        <v>61</v>
      </c>
      <c r="Y284" t="s">
        <v>482</v>
      </c>
    </row>
    <row r="285" spans="1:25" ht="16" x14ac:dyDescent="0.2">
      <c r="A285" t="s">
        <v>474</v>
      </c>
      <c r="B285" t="s">
        <v>1017</v>
      </c>
      <c r="C285" t="s">
        <v>474</v>
      </c>
      <c r="D285" t="s">
        <v>474</v>
      </c>
      <c r="E285" t="s">
        <v>36</v>
      </c>
      <c r="F285" t="s">
        <v>878</v>
      </c>
      <c r="G285" t="s">
        <v>988</v>
      </c>
      <c r="H285" t="s">
        <v>474</v>
      </c>
      <c r="I285" t="s">
        <v>989</v>
      </c>
      <c r="J285" t="s">
        <v>474</v>
      </c>
      <c r="K285" t="s">
        <v>474</v>
      </c>
      <c r="L285" t="s">
        <v>474</v>
      </c>
      <c r="M285" t="s">
        <v>474</v>
      </c>
      <c r="N285" t="s">
        <v>474</v>
      </c>
      <c r="O285" t="s">
        <v>474</v>
      </c>
      <c r="P285" t="s">
        <v>474</v>
      </c>
      <c r="Q285" t="s">
        <v>474</v>
      </c>
      <c r="R285" t="s">
        <v>474</v>
      </c>
      <c r="S285" t="s">
        <v>474</v>
      </c>
      <c r="T285" t="s">
        <v>474</v>
      </c>
      <c r="U285" t="s">
        <v>474</v>
      </c>
      <c r="V285" t="s">
        <v>485</v>
      </c>
      <c r="W285" t="s">
        <v>990</v>
      </c>
      <c r="X285" t="s">
        <v>61</v>
      </c>
      <c r="Y285" t="s">
        <v>482</v>
      </c>
    </row>
    <row r="286" spans="1:25" ht="16" x14ac:dyDescent="0.2">
      <c r="A286" t="s">
        <v>474</v>
      </c>
      <c r="B286" t="s">
        <v>1017</v>
      </c>
      <c r="C286" t="s">
        <v>474</v>
      </c>
      <c r="D286" t="s">
        <v>474</v>
      </c>
      <c r="E286" t="s">
        <v>43</v>
      </c>
      <c r="F286" t="s">
        <v>878</v>
      </c>
      <c r="G286" t="s">
        <v>991</v>
      </c>
      <c r="H286" t="s">
        <v>474</v>
      </c>
      <c r="I286" t="s">
        <v>992</v>
      </c>
      <c r="J286" t="s">
        <v>474</v>
      </c>
      <c r="K286" t="s">
        <v>474</v>
      </c>
      <c r="L286" t="s">
        <v>474</v>
      </c>
      <c r="M286" t="s">
        <v>474</v>
      </c>
      <c r="N286" t="s">
        <v>474</v>
      </c>
      <c r="O286" t="s">
        <v>474</v>
      </c>
      <c r="P286" t="s">
        <v>474</v>
      </c>
      <c r="Q286" t="s">
        <v>474</v>
      </c>
      <c r="R286" t="s">
        <v>474</v>
      </c>
      <c r="S286" t="s">
        <v>474</v>
      </c>
      <c r="T286" t="s">
        <v>474</v>
      </c>
      <c r="U286" t="s">
        <v>474</v>
      </c>
      <c r="V286" t="s">
        <v>705</v>
      </c>
      <c r="W286" t="s">
        <v>993</v>
      </c>
      <c r="X286" t="s">
        <v>61</v>
      </c>
      <c r="Y286" t="s">
        <v>482</v>
      </c>
    </row>
    <row r="287" spans="1:25" ht="16" x14ac:dyDescent="0.2">
      <c r="A287" t="s">
        <v>474</v>
      </c>
      <c r="B287" t="s">
        <v>1017</v>
      </c>
      <c r="C287" t="s">
        <v>474</v>
      </c>
      <c r="D287" t="s">
        <v>474</v>
      </c>
      <c r="E287" t="s">
        <v>47</v>
      </c>
      <c r="F287" t="s">
        <v>878</v>
      </c>
      <c r="G287" t="s">
        <v>994</v>
      </c>
      <c r="H287" t="s">
        <v>474</v>
      </c>
      <c r="I287" t="s">
        <v>995</v>
      </c>
      <c r="J287" t="s">
        <v>474</v>
      </c>
      <c r="K287" t="s">
        <v>474</v>
      </c>
      <c r="L287" t="s">
        <v>474</v>
      </c>
      <c r="M287" t="s">
        <v>474</v>
      </c>
      <c r="N287" t="s">
        <v>474</v>
      </c>
      <c r="O287" t="s">
        <v>474</v>
      </c>
      <c r="P287" t="s">
        <v>474</v>
      </c>
      <c r="Q287" t="s">
        <v>474</v>
      </c>
      <c r="R287" t="s">
        <v>474</v>
      </c>
      <c r="S287" t="s">
        <v>474</v>
      </c>
      <c r="T287" t="s">
        <v>474</v>
      </c>
      <c r="U287" t="s">
        <v>474</v>
      </c>
      <c r="V287" t="s">
        <v>505</v>
      </c>
      <c r="W287" t="s">
        <v>996</v>
      </c>
      <c r="X287" t="s">
        <v>61</v>
      </c>
      <c r="Y287" t="s">
        <v>482</v>
      </c>
    </row>
    <row r="288" spans="1:25" ht="16" x14ac:dyDescent="0.2">
      <c r="A288" t="s">
        <v>474</v>
      </c>
      <c r="B288" t="s">
        <v>1017</v>
      </c>
      <c r="C288" t="s">
        <v>474</v>
      </c>
      <c r="D288" t="s">
        <v>474</v>
      </c>
      <c r="E288" t="s">
        <v>51</v>
      </c>
      <c r="F288" t="s">
        <v>878</v>
      </c>
      <c r="G288" t="s">
        <v>997</v>
      </c>
      <c r="H288" t="s">
        <v>474</v>
      </c>
      <c r="I288" t="s">
        <v>998</v>
      </c>
      <c r="J288" t="s">
        <v>474</v>
      </c>
      <c r="K288" t="s">
        <v>474</v>
      </c>
      <c r="L288" t="s">
        <v>474</v>
      </c>
      <c r="M288" t="s">
        <v>474</v>
      </c>
      <c r="N288" t="s">
        <v>474</v>
      </c>
      <c r="O288" t="s">
        <v>474</v>
      </c>
      <c r="P288" t="s">
        <v>474</v>
      </c>
      <c r="Q288" t="s">
        <v>474</v>
      </c>
      <c r="R288" t="s">
        <v>474</v>
      </c>
      <c r="S288" t="s">
        <v>474</v>
      </c>
      <c r="T288" t="s">
        <v>474</v>
      </c>
      <c r="U288" t="s">
        <v>474</v>
      </c>
      <c r="V288" t="s">
        <v>705</v>
      </c>
      <c r="W288" t="s">
        <v>999</v>
      </c>
      <c r="X288" t="s">
        <v>61</v>
      </c>
      <c r="Y288" t="s">
        <v>482</v>
      </c>
    </row>
    <row r="289" spans="1:25" ht="16" x14ac:dyDescent="0.2">
      <c r="A289" t="s">
        <v>474</v>
      </c>
      <c r="B289" t="s">
        <v>1017</v>
      </c>
      <c r="C289" t="s">
        <v>474</v>
      </c>
      <c r="D289" t="s">
        <v>474</v>
      </c>
      <c r="E289" t="s">
        <v>55</v>
      </c>
      <c r="F289" t="s">
        <v>878</v>
      </c>
      <c r="G289" t="s">
        <v>1000</v>
      </c>
      <c r="H289" t="s">
        <v>474</v>
      </c>
      <c r="I289" t="s">
        <v>1001</v>
      </c>
      <c r="J289" t="s">
        <v>474</v>
      </c>
      <c r="K289" t="s">
        <v>474</v>
      </c>
      <c r="L289" t="s">
        <v>474</v>
      </c>
      <c r="M289" t="s">
        <v>474</v>
      </c>
      <c r="N289" t="s">
        <v>474</v>
      </c>
      <c r="O289" t="s">
        <v>474</v>
      </c>
      <c r="P289" t="s">
        <v>474</v>
      </c>
      <c r="Q289" t="s">
        <v>474</v>
      </c>
      <c r="R289" t="s">
        <v>474</v>
      </c>
      <c r="S289" t="s">
        <v>474</v>
      </c>
      <c r="T289" t="s">
        <v>474</v>
      </c>
      <c r="U289" t="s">
        <v>474</v>
      </c>
      <c r="V289" t="s">
        <v>514</v>
      </c>
      <c r="W289" t="s">
        <v>1002</v>
      </c>
      <c r="X289" t="s">
        <v>61</v>
      </c>
      <c r="Y289" t="s">
        <v>482</v>
      </c>
    </row>
    <row r="290" spans="1:25" ht="16" x14ac:dyDescent="0.2">
      <c r="A290" t="s">
        <v>474</v>
      </c>
      <c r="B290" t="s">
        <v>1018</v>
      </c>
      <c r="C290" t="s">
        <v>474</v>
      </c>
      <c r="D290" t="s">
        <v>474</v>
      </c>
      <c r="E290" t="s">
        <v>36</v>
      </c>
      <c r="F290" t="s">
        <v>1019</v>
      </c>
      <c r="G290" t="s">
        <v>1020</v>
      </c>
      <c r="H290" t="s">
        <v>474</v>
      </c>
      <c r="I290" t="s">
        <v>1021</v>
      </c>
      <c r="J290" t="s">
        <v>474</v>
      </c>
      <c r="K290" t="s">
        <v>474</v>
      </c>
      <c r="L290" t="s">
        <v>474</v>
      </c>
      <c r="M290" t="s">
        <v>474</v>
      </c>
      <c r="N290" t="s">
        <v>474</v>
      </c>
      <c r="O290" t="s">
        <v>474</v>
      </c>
      <c r="P290" t="s">
        <v>474</v>
      </c>
      <c r="Q290" t="s">
        <v>474</v>
      </c>
      <c r="R290" t="s">
        <v>474</v>
      </c>
      <c r="S290" t="s">
        <v>474</v>
      </c>
      <c r="T290" t="s">
        <v>474</v>
      </c>
      <c r="U290" t="s">
        <v>474</v>
      </c>
      <c r="V290" t="s">
        <v>1022</v>
      </c>
      <c r="W290" t="s">
        <v>1023</v>
      </c>
      <c r="X290" t="s">
        <v>30</v>
      </c>
      <c r="Y290" t="s">
        <v>476</v>
      </c>
    </row>
    <row r="291" spans="1:25" ht="16" x14ac:dyDescent="0.2">
      <c r="A291" t="s">
        <v>474</v>
      </c>
      <c r="B291" t="s">
        <v>1018</v>
      </c>
      <c r="C291" t="s">
        <v>474</v>
      </c>
      <c r="D291" t="s">
        <v>474</v>
      </c>
      <c r="E291" t="s">
        <v>43</v>
      </c>
      <c r="F291" t="s">
        <v>1019</v>
      </c>
      <c r="G291" t="s">
        <v>1024</v>
      </c>
      <c r="H291" t="s">
        <v>474</v>
      </c>
      <c r="I291" t="s">
        <v>1025</v>
      </c>
      <c r="J291" t="s">
        <v>474</v>
      </c>
      <c r="K291" t="s">
        <v>474</v>
      </c>
      <c r="L291" t="s">
        <v>474</v>
      </c>
      <c r="M291" t="s">
        <v>474</v>
      </c>
      <c r="N291" t="s">
        <v>474</v>
      </c>
      <c r="O291" t="s">
        <v>474</v>
      </c>
      <c r="P291" t="s">
        <v>474</v>
      </c>
      <c r="Q291" t="s">
        <v>474</v>
      </c>
      <c r="R291" t="s">
        <v>474</v>
      </c>
      <c r="S291" t="s">
        <v>474</v>
      </c>
      <c r="T291" t="s">
        <v>474</v>
      </c>
      <c r="U291" t="s">
        <v>474</v>
      </c>
      <c r="V291" t="s">
        <v>477</v>
      </c>
      <c r="W291" t="s">
        <v>1026</v>
      </c>
      <c r="X291" t="s">
        <v>30</v>
      </c>
      <c r="Y291" t="s">
        <v>476</v>
      </c>
    </row>
    <row r="292" spans="1:25" ht="16" x14ac:dyDescent="0.2">
      <c r="A292" t="s">
        <v>474</v>
      </c>
      <c r="B292" t="s">
        <v>1018</v>
      </c>
      <c r="C292" t="s">
        <v>474</v>
      </c>
      <c r="D292" t="s">
        <v>474</v>
      </c>
      <c r="E292" t="s">
        <v>47</v>
      </c>
      <c r="F292" t="s">
        <v>1019</v>
      </c>
      <c r="G292" t="s">
        <v>1027</v>
      </c>
      <c r="H292" t="s">
        <v>474</v>
      </c>
      <c r="I292" t="s">
        <v>1028</v>
      </c>
      <c r="J292" t="s">
        <v>474</v>
      </c>
      <c r="K292" t="s">
        <v>474</v>
      </c>
      <c r="L292" t="s">
        <v>474</v>
      </c>
      <c r="M292" t="s">
        <v>474</v>
      </c>
      <c r="N292" t="s">
        <v>474</v>
      </c>
      <c r="O292" t="s">
        <v>474</v>
      </c>
      <c r="P292" t="s">
        <v>474</v>
      </c>
      <c r="Q292" t="s">
        <v>474</v>
      </c>
      <c r="R292" t="s">
        <v>474</v>
      </c>
      <c r="S292" t="s">
        <v>474</v>
      </c>
      <c r="T292" t="s">
        <v>474</v>
      </c>
      <c r="U292" t="s">
        <v>474</v>
      </c>
      <c r="V292" t="s">
        <v>475</v>
      </c>
      <c r="W292" t="s">
        <v>1029</v>
      </c>
      <c r="X292" t="s">
        <v>30</v>
      </c>
      <c r="Y292" t="s">
        <v>476</v>
      </c>
    </row>
    <row r="293" spans="1:25" ht="16" x14ac:dyDescent="0.2">
      <c r="A293" t="s">
        <v>474</v>
      </c>
      <c r="B293" t="s">
        <v>1018</v>
      </c>
      <c r="C293" t="s">
        <v>474</v>
      </c>
      <c r="D293" t="s">
        <v>474</v>
      </c>
      <c r="E293" t="s">
        <v>51</v>
      </c>
      <c r="F293" t="s">
        <v>1019</v>
      </c>
      <c r="G293" t="s">
        <v>1030</v>
      </c>
      <c r="H293" t="s">
        <v>474</v>
      </c>
      <c r="I293" t="s">
        <v>1031</v>
      </c>
      <c r="J293" t="s">
        <v>474</v>
      </c>
      <c r="K293" t="s">
        <v>474</v>
      </c>
      <c r="L293" t="s">
        <v>474</v>
      </c>
      <c r="M293" t="s">
        <v>474</v>
      </c>
      <c r="N293" t="s">
        <v>474</v>
      </c>
      <c r="O293" t="s">
        <v>474</v>
      </c>
      <c r="P293" t="s">
        <v>474</v>
      </c>
      <c r="Q293" t="s">
        <v>474</v>
      </c>
      <c r="R293" t="s">
        <v>474</v>
      </c>
      <c r="S293" t="s">
        <v>474</v>
      </c>
      <c r="T293" t="s">
        <v>474</v>
      </c>
      <c r="U293" t="s">
        <v>474</v>
      </c>
      <c r="V293" t="s">
        <v>477</v>
      </c>
      <c r="W293" t="s">
        <v>1032</v>
      </c>
      <c r="X293" t="s">
        <v>30</v>
      </c>
      <c r="Y293" t="s">
        <v>476</v>
      </c>
    </row>
    <row r="294" spans="1:25" ht="16" x14ac:dyDescent="0.2">
      <c r="A294" t="s">
        <v>474</v>
      </c>
      <c r="B294" t="s">
        <v>1018</v>
      </c>
      <c r="C294" t="s">
        <v>474</v>
      </c>
      <c r="D294" t="s">
        <v>474</v>
      </c>
      <c r="E294" t="s">
        <v>55</v>
      </c>
      <c r="F294" t="s">
        <v>1019</v>
      </c>
      <c r="G294" t="s">
        <v>1033</v>
      </c>
      <c r="H294" t="s">
        <v>474</v>
      </c>
      <c r="I294" t="s">
        <v>1034</v>
      </c>
      <c r="J294" t="s">
        <v>474</v>
      </c>
      <c r="K294" t="s">
        <v>474</v>
      </c>
      <c r="L294" t="s">
        <v>474</v>
      </c>
      <c r="M294" t="s">
        <v>474</v>
      </c>
      <c r="N294" t="s">
        <v>474</v>
      </c>
      <c r="O294" t="s">
        <v>474</v>
      </c>
      <c r="P294" t="s">
        <v>474</v>
      </c>
      <c r="Q294" t="s">
        <v>474</v>
      </c>
      <c r="R294" t="s">
        <v>474</v>
      </c>
      <c r="S294" t="s">
        <v>474</v>
      </c>
      <c r="T294" t="s">
        <v>474</v>
      </c>
      <c r="U294" t="s">
        <v>474</v>
      </c>
      <c r="V294" t="s">
        <v>1035</v>
      </c>
      <c r="W294" t="s">
        <v>1036</v>
      </c>
      <c r="X294" t="s">
        <v>30</v>
      </c>
      <c r="Y294" t="s">
        <v>476</v>
      </c>
    </row>
    <row r="295" spans="1:25" ht="16" x14ac:dyDescent="0.2">
      <c r="A295" t="s">
        <v>474</v>
      </c>
      <c r="B295" t="s">
        <v>1037</v>
      </c>
      <c r="C295" t="s">
        <v>474</v>
      </c>
      <c r="D295" t="s">
        <v>474</v>
      </c>
      <c r="E295" t="s">
        <v>36</v>
      </c>
      <c r="F295" t="s">
        <v>1038</v>
      </c>
      <c r="G295" t="s">
        <v>1039</v>
      </c>
      <c r="H295" t="s">
        <v>474</v>
      </c>
      <c r="I295" t="s">
        <v>1040</v>
      </c>
      <c r="J295" t="s">
        <v>474</v>
      </c>
      <c r="K295" t="s">
        <v>474</v>
      </c>
      <c r="L295" t="s">
        <v>474</v>
      </c>
      <c r="M295" t="s">
        <v>474</v>
      </c>
      <c r="N295" t="s">
        <v>474</v>
      </c>
      <c r="O295" t="s">
        <v>474</v>
      </c>
      <c r="P295" t="s">
        <v>474</v>
      </c>
      <c r="Q295" t="s">
        <v>474</v>
      </c>
      <c r="R295" t="s">
        <v>474</v>
      </c>
      <c r="S295" t="s">
        <v>474</v>
      </c>
      <c r="T295" t="s">
        <v>474</v>
      </c>
      <c r="U295" t="s">
        <v>474</v>
      </c>
      <c r="V295" t="s">
        <v>1006</v>
      </c>
      <c r="W295" t="s">
        <v>1041</v>
      </c>
      <c r="X295" t="s">
        <v>30</v>
      </c>
      <c r="Y295" t="s">
        <v>476</v>
      </c>
    </row>
    <row r="296" spans="1:25" ht="16" x14ac:dyDescent="0.2">
      <c r="A296" t="s">
        <v>474</v>
      </c>
      <c r="B296" t="s">
        <v>1037</v>
      </c>
      <c r="C296" t="s">
        <v>474</v>
      </c>
      <c r="D296" t="s">
        <v>474</v>
      </c>
      <c r="E296" t="s">
        <v>43</v>
      </c>
      <c r="F296" t="s">
        <v>1038</v>
      </c>
      <c r="G296" t="s">
        <v>1042</v>
      </c>
      <c r="H296" t="s">
        <v>474</v>
      </c>
      <c r="I296" t="s">
        <v>1043</v>
      </c>
      <c r="J296" t="s">
        <v>474</v>
      </c>
      <c r="K296" t="s">
        <v>474</v>
      </c>
      <c r="L296" t="s">
        <v>474</v>
      </c>
      <c r="M296" t="s">
        <v>474</v>
      </c>
      <c r="N296" t="s">
        <v>474</v>
      </c>
      <c r="O296" t="s">
        <v>474</v>
      </c>
      <c r="P296" t="s">
        <v>474</v>
      </c>
      <c r="Q296" t="s">
        <v>474</v>
      </c>
      <c r="R296" t="s">
        <v>474</v>
      </c>
      <c r="S296" t="s">
        <v>474</v>
      </c>
      <c r="T296" t="s">
        <v>474</v>
      </c>
      <c r="U296" t="s">
        <v>474</v>
      </c>
      <c r="V296" t="s">
        <v>582</v>
      </c>
      <c r="W296" t="s">
        <v>1044</v>
      </c>
      <c r="X296" t="s">
        <v>30</v>
      </c>
      <c r="Y296" t="s">
        <v>476</v>
      </c>
    </row>
    <row r="297" spans="1:25" ht="16" x14ac:dyDescent="0.2">
      <c r="A297" t="s">
        <v>474</v>
      </c>
      <c r="B297" t="s">
        <v>1037</v>
      </c>
      <c r="C297" t="s">
        <v>474</v>
      </c>
      <c r="D297" t="s">
        <v>474</v>
      </c>
      <c r="E297" t="s">
        <v>47</v>
      </c>
      <c r="F297" t="s">
        <v>1038</v>
      </c>
      <c r="G297" t="s">
        <v>1045</v>
      </c>
      <c r="H297" t="s">
        <v>474</v>
      </c>
      <c r="I297" t="s">
        <v>1046</v>
      </c>
      <c r="J297" t="s">
        <v>474</v>
      </c>
      <c r="K297" t="s">
        <v>474</v>
      </c>
      <c r="L297" t="s">
        <v>474</v>
      </c>
      <c r="M297" t="s">
        <v>474</v>
      </c>
      <c r="N297" t="s">
        <v>474</v>
      </c>
      <c r="O297" t="s">
        <v>474</v>
      </c>
      <c r="P297" t="s">
        <v>474</v>
      </c>
      <c r="Q297" t="s">
        <v>474</v>
      </c>
      <c r="R297" t="s">
        <v>474</v>
      </c>
      <c r="S297" t="s">
        <v>474</v>
      </c>
      <c r="T297" t="s">
        <v>474</v>
      </c>
      <c r="U297" t="s">
        <v>474</v>
      </c>
      <c r="V297" t="s">
        <v>1047</v>
      </c>
      <c r="W297" t="s">
        <v>1048</v>
      </c>
      <c r="X297" t="s">
        <v>30</v>
      </c>
      <c r="Y297" t="s">
        <v>476</v>
      </c>
    </row>
    <row r="298" spans="1:25" ht="16" x14ac:dyDescent="0.2">
      <c r="A298" t="s">
        <v>474</v>
      </c>
      <c r="B298" t="s">
        <v>1037</v>
      </c>
      <c r="C298" t="s">
        <v>474</v>
      </c>
      <c r="D298" t="s">
        <v>474</v>
      </c>
      <c r="E298" t="s">
        <v>51</v>
      </c>
      <c r="F298" t="s">
        <v>1038</v>
      </c>
      <c r="G298" t="s">
        <v>1049</v>
      </c>
      <c r="H298" t="s">
        <v>474</v>
      </c>
      <c r="I298" t="s">
        <v>1050</v>
      </c>
      <c r="J298" t="s">
        <v>474</v>
      </c>
      <c r="K298" t="s">
        <v>474</v>
      </c>
      <c r="L298" t="s">
        <v>474</v>
      </c>
      <c r="M298" t="s">
        <v>474</v>
      </c>
      <c r="N298" t="s">
        <v>474</v>
      </c>
      <c r="O298" t="s">
        <v>474</v>
      </c>
      <c r="P298" t="s">
        <v>474</v>
      </c>
      <c r="Q298" t="s">
        <v>474</v>
      </c>
      <c r="R298" t="s">
        <v>474</v>
      </c>
      <c r="S298" t="s">
        <v>474</v>
      </c>
      <c r="T298" t="s">
        <v>474</v>
      </c>
      <c r="U298" t="s">
        <v>474</v>
      </c>
      <c r="V298" t="s">
        <v>582</v>
      </c>
      <c r="W298" t="s">
        <v>1051</v>
      </c>
      <c r="X298" t="s">
        <v>30</v>
      </c>
      <c r="Y298" t="s">
        <v>476</v>
      </c>
    </row>
    <row r="299" spans="1:25" ht="16" x14ac:dyDescent="0.2">
      <c r="A299" t="s">
        <v>474</v>
      </c>
      <c r="B299" t="s">
        <v>1037</v>
      </c>
      <c r="C299" t="s">
        <v>474</v>
      </c>
      <c r="D299" t="s">
        <v>474</v>
      </c>
      <c r="E299" t="s">
        <v>55</v>
      </c>
      <c r="F299" t="s">
        <v>1038</v>
      </c>
      <c r="G299" t="s">
        <v>1052</v>
      </c>
      <c r="H299" t="s">
        <v>474</v>
      </c>
      <c r="I299" t="s">
        <v>1053</v>
      </c>
      <c r="J299" t="s">
        <v>474</v>
      </c>
      <c r="K299" t="s">
        <v>474</v>
      </c>
      <c r="L299" t="s">
        <v>474</v>
      </c>
      <c r="M299" t="s">
        <v>474</v>
      </c>
      <c r="N299" t="s">
        <v>474</v>
      </c>
      <c r="O299" t="s">
        <v>474</v>
      </c>
      <c r="P299" t="s">
        <v>474</v>
      </c>
      <c r="Q299" t="s">
        <v>474</v>
      </c>
      <c r="R299" t="s">
        <v>474</v>
      </c>
      <c r="S299" t="s">
        <v>474</v>
      </c>
      <c r="T299" t="s">
        <v>474</v>
      </c>
      <c r="U299" t="s">
        <v>474</v>
      </c>
      <c r="V299" t="s">
        <v>1054</v>
      </c>
      <c r="W299" t="s">
        <v>1055</v>
      </c>
      <c r="X299" t="s">
        <v>30</v>
      </c>
      <c r="Y299" t="s">
        <v>476</v>
      </c>
    </row>
    <row r="300" spans="1:25" ht="16" x14ac:dyDescent="0.2">
      <c r="A300" t="s">
        <v>474</v>
      </c>
      <c r="B300" t="s">
        <v>1056</v>
      </c>
      <c r="C300" t="s">
        <v>474</v>
      </c>
      <c r="D300" t="s">
        <v>474</v>
      </c>
      <c r="E300" t="s">
        <v>36</v>
      </c>
      <c r="F300" t="s">
        <v>1057</v>
      </c>
      <c r="G300" t="s">
        <v>1058</v>
      </c>
      <c r="H300" t="s">
        <v>474</v>
      </c>
      <c r="I300" t="s">
        <v>1059</v>
      </c>
      <c r="J300" t="s">
        <v>474</v>
      </c>
      <c r="K300" t="s">
        <v>474</v>
      </c>
      <c r="L300" t="s">
        <v>474</v>
      </c>
      <c r="M300" t="s">
        <v>474</v>
      </c>
      <c r="N300" t="s">
        <v>474</v>
      </c>
      <c r="O300" t="s">
        <v>474</v>
      </c>
      <c r="P300" t="s">
        <v>474</v>
      </c>
      <c r="Q300" t="s">
        <v>474</v>
      </c>
      <c r="R300" t="s">
        <v>474</v>
      </c>
      <c r="S300" t="s">
        <v>474</v>
      </c>
      <c r="T300" t="s">
        <v>474</v>
      </c>
      <c r="U300" t="s">
        <v>474</v>
      </c>
      <c r="V300" t="s">
        <v>1022</v>
      </c>
      <c r="W300" t="s">
        <v>1060</v>
      </c>
      <c r="X300" t="s">
        <v>30</v>
      </c>
      <c r="Y300" t="s">
        <v>476</v>
      </c>
    </row>
    <row r="301" spans="1:25" ht="16" x14ac:dyDescent="0.2">
      <c r="A301" t="s">
        <v>474</v>
      </c>
      <c r="B301" t="s">
        <v>1056</v>
      </c>
      <c r="C301" t="s">
        <v>474</v>
      </c>
      <c r="D301" t="s">
        <v>474</v>
      </c>
      <c r="E301" t="s">
        <v>43</v>
      </c>
      <c r="F301" t="s">
        <v>1057</v>
      </c>
      <c r="G301" t="s">
        <v>1061</v>
      </c>
      <c r="H301" t="s">
        <v>474</v>
      </c>
      <c r="I301" t="s">
        <v>1062</v>
      </c>
      <c r="J301" t="s">
        <v>474</v>
      </c>
      <c r="K301" t="s">
        <v>474</v>
      </c>
      <c r="L301" t="s">
        <v>474</v>
      </c>
      <c r="M301" t="s">
        <v>474</v>
      </c>
      <c r="N301" t="s">
        <v>474</v>
      </c>
      <c r="O301" t="s">
        <v>474</v>
      </c>
      <c r="P301" t="s">
        <v>474</v>
      </c>
      <c r="Q301" t="s">
        <v>474</v>
      </c>
      <c r="R301" t="s">
        <v>474</v>
      </c>
      <c r="S301" t="s">
        <v>474</v>
      </c>
      <c r="T301" t="s">
        <v>474</v>
      </c>
      <c r="U301" t="s">
        <v>474</v>
      </c>
      <c r="V301" t="s">
        <v>477</v>
      </c>
      <c r="W301" t="s">
        <v>1063</v>
      </c>
      <c r="X301" t="s">
        <v>30</v>
      </c>
      <c r="Y301" t="s">
        <v>476</v>
      </c>
    </row>
    <row r="302" spans="1:25" ht="16" x14ac:dyDescent="0.2">
      <c r="A302" t="s">
        <v>474</v>
      </c>
      <c r="B302" t="s">
        <v>1056</v>
      </c>
      <c r="C302" t="s">
        <v>474</v>
      </c>
      <c r="D302" t="s">
        <v>474</v>
      </c>
      <c r="E302" t="s">
        <v>47</v>
      </c>
      <c r="F302" t="s">
        <v>1057</v>
      </c>
      <c r="G302" t="s">
        <v>1064</v>
      </c>
      <c r="H302" t="s">
        <v>474</v>
      </c>
      <c r="I302" t="s">
        <v>1065</v>
      </c>
      <c r="J302" t="s">
        <v>474</v>
      </c>
      <c r="K302" t="s">
        <v>474</v>
      </c>
      <c r="L302" t="s">
        <v>474</v>
      </c>
      <c r="M302" t="s">
        <v>474</v>
      </c>
      <c r="N302" t="s">
        <v>474</v>
      </c>
      <c r="O302" t="s">
        <v>474</v>
      </c>
      <c r="P302" t="s">
        <v>474</v>
      </c>
      <c r="Q302" t="s">
        <v>474</v>
      </c>
      <c r="R302" t="s">
        <v>474</v>
      </c>
      <c r="S302" t="s">
        <v>474</v>
      </c>
      <c r="T302" t="s">
        <v>474</v>
      </c>
      <c r="U302" t="s">
        <v>474</v>
      </c>
      <c r="V302" t="s">
        <v>475</v>
      </c>
      <c r="W302" t="s">
        <v>1066</v>
      </c>
      <c r="X302" t="s">
        <v>30</v>
      </c>
      <c r="Y302" t="s">
        <v>476</v>
      </c>
    </row>
    <row r="303" spans="1:25" ht="16" x14ac:dyDescent="0.2">
      <c r="A303" t="s">
        <v>474</v>
      </c>
      <c r="B303" t="s">
        <v>1056</v>
      </c>
      <c r="C303" t="s">
        <v>474</v>
      </c>
      <c r="D303" t="s">
        <v>474</v>
      </c>
      <c r="E303" t="s">
        <v>51</v>
      </c>
      <c r="F303" t="s">
        <v>1057</v>
      </c>
      <c r="G303" t="s">
        <v>1067</v>
      </c>
      <c r="H303" t="s">
        <v>474</v>
      </c>
      <c r="I303" t="s">
        <v>1068</v>
      </c>
      <c r="J303" t="s">
        <v>474</v>
      </c>
      <c r="K303" t="s">
        <v>474</v>
      </c>
      <c r="L303" t="s">
        <v>474</v>
      </c>
      <c r="M303" t="s">
        <v>474</v>
      </c>
      <c r="N303" t="s">
        <v>474</v>
      </c>
      <c r="O303" t="s">
        <v>474</v>
      </c>
      <c r="P303" t="s">
        <v>474</v>
      </c>
      <c r="Q303" t="s">
        <v>474</v>
      </c>
      <c r="R303" t="s">
        <v>474</v>
      </c>
      <c r="S303" t="s">
        <v>474</v>
      </c>
      <c r="T303" t="s">
        <v>474</v>
      </c>
      <c r="U303" t="s">
        <v>474</v>
      </c>
      <c r="V303" t="s">
        <v>477</v>
      </c>
      <c r="W303" t="s">
        <v>1069</v>
      </c>
      <c r="X303" t="s">
        <v>30</v>
      </c>
      <c r="Y303" t="s">
        <v>476</v>
      </c>
    </row>
    <row r="304" spans="1:25" ht="16" x14ac:dyDescent="0.2">
      <c r="A304" t="s">
        <v>474</v>
      </c>
      <c r="B304" t="s">
        <v>1056</v>
      </c>
      <c r="C304" t="s">
        <v>474</v>
      </c>
      <c r="D304" t="s">
        <v>474</v>
      </c>
      <c r="E304" t="s">
        <v>55</v>
      </c>
      <c r="F304" t="s">
        <v>1057</v>
      </c>
      <c r="G304" t="s">
        <v>1070</v>
      </c>
      <c r="H304" t="s">
        <v>474</v>
      </c>
      <c r="I304" t="s">
        <v>1071</v>
      </c>
      <c r="J304" t="s">
        <v>474</v>
      </c>
      <c r="K304" t="s">
        <v>474</v>
      </c>
      <c r="L304" t="s">
        <v>474</v>
      </c>
      <c r="M304" t="s">
        <v>474</v>
      </c>
      <c r="N304" t="s">
        <v>474</v>
      </c>
      <c r="O304" t="s">
        <v>474</v>
      </c>
      <c r="P304" t="s">
        <v>474</v>
      </c>
      <c r="Q304" t="s">
        <v>474</v>
      </c>
      <c r="R304" t="s">
        <v>474</v>
      </c>
      <c r="S304" t="s">
        <v>474</v>
      </c>
      <c r="T304" t="s">
        <v>474</v>
      </c>
      <c r="U304" t="s">
        <v>474</v>
      </c>
      <c r="V304" t="s">
        <v>1035</v>
      </c>
      <c r="W304" t="s">
        <v>1072</v>
      </c>
      <c r="X304" t="s">
        <v>30</v>
      </c>
      <c r="Y304" t="s">
        <v>476</v>
      </c>
    </row>
    <row r="305" spans="1:25" ht="16" x14ac:dyDescent="0.2">
      <c r="A305" t="s">
        <v>474</v>
      </c>
      <c r="B305" t="s">
        <v>1073</v>
      </c>
      <c r="C305" t="s">
        <v>474</v>
      </c>
      <c r="D305" t="s">
        <v>474</v>
      </c>
      <c r="E305" t="s">
        <v>36</v>
      </c>
      <c r="F305" t="s">
        <v>1074</v>
      </c>
      <c r="G305" t="s">
        <v>1075</v>
      </c>
      <c r="H305" t="s">
        <v>474</v>
      </c>
      <c r="I305" t="s">
        <v>1076</v>
      </c>
      <c r="J305" t="s">
        <v>474</v>
      </c>
      <c r="K305" t="s">
        <v>474</v>
      </c>
      <c r="L305" t="s">
        <v>474</v>
      </c>
      <c r="M305" t="s">
        <v>474</v>
      </c>
      <c r="N305" t="s">
        <v>474</v>
      </c>
      <c r="O305" t="s">
        <v>474</v>
      </c>
      <c r="P305" t="s">
        <v>474</v>
      </c>
      <c r="Q305" t="s">
        <v>474</v>
      </c>
      <c r="R305" t="s">
        <v>474</v>
      </c>
      <c r="S305" t="s">
        <v>474</v>
      </c>
      <c r="T305" t="s">
        <v>474</v>
      </c>
      <c r="U305" t="s">
        <v>474</v>
      </c>
      <c r="V305" t="s">
        <v>504</v>
      </c>
      <c r="W305" t="s">
        <v>1077</v>
      </c>
      <c r="X305" t="s">
        <v>30</v>
      </c>
      <c r="Y305" t="s">
        <v>476</v>
      </c>
    </row>
    <row r="306" spans="1:25" ht="16" x14ac:dyDescent="0.2">
      <c r="A306" t="s">
        <v>474</v>
      </c>
      <c r="B306" t="s">
        <v>1073</v>
      </c>
      <c r="C306" t="s">
        <v>474</v>
      </c>
      <c r="D306" t="s">
        <v>474</v>
      </c>
      <c r="E306" t="s">
        <v>43</v>
      </c>
      <c r="F306" t="s">
        <v>1074</v>
      </c>
      <c r="G306" t="s">
        <v>1078</v>
      </c>
      <c r="H306" t="s">
        <v>474</v>
      </c>
      <c r="I306" t="s">
        <v>1079</v>
      </c>
      <c r="J306" t="s">
        <v>474</v>
      </c>
      <c r="K306" t="s">
        <v>474</v>
      </c>
      <c r="L306" t="s">
        <v>474</v>
      </c>
      <c r="M306" t="s">
        <v>474</v>
      </c>
      <c r="N306" t="s">
        <v>474</v>
      </c>
      <c r="O306" t="s">
        <v>474</v>
      </c>
      <c r="P306" t="s">
        <v>474</v>
      </c>
      <c r="Q306" t="s">
        <v>474</v>
      </c>
      <c r="R306" t="s">
        <v>474</v>
      </c>
      <c r="S306" t="s">
        <v>474</v>
      </c>
      <c r="T306" t="s">
        <v>474</v>
      </c>
      <c r="U306" t="s">
        <v>474</v>
      </c>
      <c r="V306" t="s">
        <v>1080</v>
      </c>
      <c r="W306" t="s">
        <v>1081</v>
      </c>
      <c r="X306" t="s">
        <v>30</v>
      </c>
      <c r="Y306" t="s">
        <v>476</v>
      </c>
    </row>
    <row r="307" spans="1:25" ht="16" x14ac:dyDescent="0.2">
      <c r="A307" t="s">
        <v>474</v>
      </c>
      <c r="B307" t="s">
        <v>1073</v>
      </c>
      <c r="C307" t="s">
        <v>474</v>
      </c>
      <c r="D307" t="s">
        <v>474</v>
      </c>
      <c r="E307" t="s">
        <v>47</v>
      </c>
      <c r="F307" t="s">
        <v>1074</v>
      </c>
      <c r="G307" t="s">
        <v>1082</v>
      </c>
      <c r="H307" t="s">
        <v>474</v>
      </c>
      <c r="I307" t="s">
        <v>1083</v>
      </c>
      <c r="J307" t="s">
        <v>474</v>
      </c>
      <c r="K307" t="s">
        <v>474</v>
      </c>
      <c r="L307" t="s">
        <v>474</v>
      </c>
      <c r="M307" t="s">
        <v>474</v>
      </c>
      <c r="N307" t="s">
        <v>474</v>
      </c>
      <c r="O307" t="s">
        <v>474</v>
      </c>
      <c r="P307" t="s">
        <v>474</v>
      </c>
      <c r="Q307" t="s">
        <v>474</v>
      </c>
      <c r="R307" t="s">
        <v>474</v>
      </c>
      <c r="S307" t="s">
        <v>474</v>
      </c>
      <c r="T307" t="s">
        <v>474</v>
      </c>
      <c r="U307" t="s">
        <v>474</v>
      </c>
      <c r="V307" t="s">
        <v>1084</v>
      </c>
      <c r="W307" t="s">
        <v>1085</v>
      </c>
      <c r="X307" t="s">
        <v>30</v>
      </c>
      <c r="Y307" t="s">
        <v>476</v>
      </c>
    </row>
    <row r="308" spans="1:25" ht="16" x14ac:dyDescent="0.2">
      <c r="A308" t="s">
        <v>474</v>
      </c>
      <c r="B308" t="s">
        <v>1073</v>
      </c>
      <c r="C308" t="s">
        <v>474</v>
      </c>
      <c r="D308" t="s">
        <v>474</v>
      </c>
      <c r="E308" t="s">
        <v>51</v>
      </c>
      <c r="F308" t="s">
        <v>1074</v>
      </c>
      <c r="G308" t="s">
        <v>1086</v>
      </c>
      <c r="H308" t="s">
        <v>474</v>
      </c>
      <c r="I308" t="s">
        <v>1087</v>
      </c>
      <c r="J308" t="s">
        <v>474</v>
      </c>
      <c r="K308" t="s">
        <v>474</v>
      </c>
      <c r="L308" t="s">
        <v>474</v>
      </c>
      <c r="M308" t="s">
        <v>474</v>
      </c>
      <c r="N308" t="s">
        <v>474</v>
      </c>
      <c r="O308" t="s">
        <v>474</v>
      </c>
      <c r="P308" t="s">
        <v>474</v>
      </c>
      <c r="Q308" t="s">
        <v>474</v>
      </c>
      <c r="R308" t="s">
        <v>474</v>
      </c>
      <c r="S308" t="s">
        <v>474</v>
      </c>
      <c r="T308" t="s">
        <v>474</v>
      </c>
      <c r="U308" t="s">
        <v>474</v>
      </c>
      <c r="V308" t="s">
        <v>1080</v>
      </c>
      <c r="W308" t="s">
        <v>1088</v>
      </c>
      <c r="X308" t="s">
        <v>30</v>
      </c>
      <c r="Y308" t="s">
        <v>476</v>
      </c>
    </row>
    <row r="309" spans="1:25" ht="16" x14ac:dyDescent="0.2">
      <c r="A309" t="s">
        <v>474</v>
      </c>
      <c r="B309" t="s">
        <v>1073</v>
      </c>
      <c r="C309" t="s">
        <v>474</v>
      </c>
      <c r="D309" t="s">
        <v>474</v>
      </c>
      <c r="E309" t="s">
        <v>55</v>
      </c>
      <c r="F309" t="s">
        <v>1074</v>
      </c>
      <c r="G309" t="s">
        <v>1089</v>
      </c>
      <c r="H309" t="s">
        <v>474</v>
      </c>
      <c r="I309" t="s">
        <v>1090</v>
      </c>
      <c r="J309" t="s">
        <v>474</v>
      </c>
      <c r="K309" t="s">
        <v>474</v>
      </c>
      <c r="L309" t="s">
        <v>474</v>
      </c>
      <c r="M309" t="s">
        <v>474</v>
      </c>
      <c r="N309" t="s">
        <v>474</v>
      </c>
      <c r="O309" t="s">
        <v>474</v>
      </c>
      <c r="P309" t="s">
        <v>474</v>
      </c>
      <c r="Q309" t="s">
        <v>474</v>
      </c>
      <c r="R309" t="s">
        <v>474</v>
      </c>
      <c r="S309" t="s">
        <v>474</v>
      </c>
      <c r="T309" t="s">
        <v>474</v>
      </c>
      <c r="U309" t="s">
        <v>474</v>
      </c>
      <c r="V309" t="s">
        <v>1091</v>
      </c>
      <c r="W309" t="s">
        <v>1092</v>
      </c>
      <c r="X309" t="s">
        <v>30</v>
      </c>
      <c r="Y309" t="s">
        <v>476</v>
      </c>
    </row>
    <row r="310" spans="1:25" ht="16" x14ac:dyDescent="0.2">
      <c r="A310" t="s">
        <v>474</v>
      </c>
      <c r="B310" t="s">
        <v>1093</v>
      </c>
      <c r="C310" t="s">
        <v>474</v>
      </c>
      <c r="D310" t="s">
        <v>474</v>
      </c>
      <c r="E310" t="s">
        <v>36</v>
      </c>
      <c r="F310" t="s">
        <v>1019</v>
      </c>
      <c r="G310" t="s">
        <v>1020</v>
      </c>
      <c r="H310" t="s">
        <v>474</v>
      </c>
      <c r="I310" t="s">
        <v>1021</v>
      </c>
      <c r="J310" t="s">
        <v>474</v>
      </c>
      <c r="K310" t="s">
        <v>474</v>
      </c>
      <c r="L310" t="s">
        <v>474</v>
      </c>
      <c r="M310" t="s">
        <v>474</v>
      </c>
      <c r="N310" t="s">
        <v>474</v>
      </c>
      <c r="O310" t="s">
        <v>474</v>
      </c>
      <c r="P310" t="s">
        <v>474</v>
      </c>
      <c r="Q310" t="s">
        <v>474</v>
      </c>
      <c r="R310" t="s">
        <v>474</v>
      </c>
      <c r="S310" t="s">
        <v>474</v>
      </c>
      <c r="T310" t="s">
        <v>474</v>
      </c>
      <c r="U310" t="s">
        <v>474</v>
      </c>
      <c r="V310" t="s">
        <v>519</v>
      </c>
      <c r="W310" t="s">
        <v>1023</v>
      </c>
      <c r="X310" t="s">
        <v>59</v>
      </c>
      <c r="Y310" t="s">
        <v>479</v>
      </c>
    </row>
    <row r="311" spans="1:25" ht="16" x14ac:dyDescent="0.2">
      <c r="A311" t="s">
        <v>474</v>
      </c>
      <c r="B311" t="s">
        <v>1093</v>
      </c>
      <c r="C311" t="s">
        <v>474</v>
      </c>
      <c r="D311" t="s">
        <v>474</v>
      </c>
      <c r="E311" t="s">
        <v>43</v>
      </c>
      <c r="F311" t="s">
        <v>1019</v>
      </c>
      <c r="G311" t="s">
        <v>1024</v>
      </c>
      <c r="H311" t="s">
        <v>474</v>
      </c>
      <c r="I311" t="s">
        <v>1025</v>
      </c>
      <c r="J311" t="s">
        <v>474</v>
      </c>
      <c r="K311" t="s">
        <v>474</v>
      </c>
      <c r="L311" t="s">
        <v>474</v>
      </c>
      <c r="M311" t="s">
        <v>474</v>
      </c>
      <c r="N311" t="s">
        <v>474</v>
      </c>
      <c r="O311" t="s">
        <v>474</v>
      </c>
      <c r="P311" t="s">
        <v>474</v>
      </c>
      <c r="Q311" t="s">
        <v>474</v>
      </c>
      <c r="R311" t="s">
        <v>474</v>
      </c>
      <c r="S311" t="s">
        <v>474</v>
      </c>
      <c r="T311" t="s">
        <v>474</v>
      </c>
      <c r="U311" t="s">
        <v>474</v>
      </c>
      <c r="V311" t="s">
        <v>480</v>
      </c>
      <c r="W311" t="s">
        <v>1026</v>
      </c>
      <c r="X311" t="s">
        <v>59</v>
      </c>
      <c r="Y311" t="s">
        <v>479</v>
      </c>
    </row>
    <row r="312" spans="1:25" ht="16" x14ac:dyDescent="0.2">
      <c r="A312" t="s">
        <v>474</v>
      </c>
      <c r="B312" t="s">
        <v>1093</v>
      </c>
      <c r="C312" t="s">
        <v>474</v>
      </c>
      <c r="D312" t="s">
        <v>474</v>
      </c>
      <c r="E312" t="s">
        <v>47</v>
      </c>
      <c r="F312" t="s">
        <v>1019</v>
      </c>
      <c r="G312" t="s">
        <v>1027</v>
      </c>
      <c r="H312" t="s">
        <v>474</v>
      </c>
      <c r="I312" t="s">
        <v>1028</v>
      </c>
      <c r="J312" t="s">
        <v>474</v>
      </c>
      <c r="K312" t="s">
        <v>474</v>
      </c>
      <c r="L312" t="s">
        <v>474</v>
      </c>
      <c r="M312" t="s">
        <v>474</v>
      </c>
      <c r="N312" t="s">
        <v>474</v>
      </c>
      <c r="O312" t="s">
        <v>474</v>
      </c>
      <c r="P312" t="s">
        <v>474</v>
      </c>
      <c r="Q312" t="s">
        <v>474</v>
      </c>
      <c r="R312" t="s">
        <v>474</v>
      </c>
      <c r="S312" t="s">
        <v>474</v>
      </c>
      <c r="T312" t="s">
        <v>474</v>
      </c>
      <c r="U312" t="s">
        <v>474</v>
      </c>
      <c r="V312" t="s">
        <v>478</v>
      </c>
      <c r="W312" t="s">
        <v>1029</v>
      </c>
      <c r="X312" t="s">
        <v>59</v>
      </c>
      <c r="Y312" t="s">
        <v>479</v>
      </c>
    </row>
    <row r="313" spans="1:25" ht="16" x14ac:dyDescent="0.2">
      <c r="A313" t="s">
        <v>474</v>
      </c>
      <c r="B313" t="s">
        <v>1093</v>
      </c>
      <c r="C313" t="s">
        <v>474</v>
      </c>
      <c r="D313" t="s">
        <v>474</v>
      </c>
      <c r="E313" t="s">
        <v>51</v>
      </c>
      <c r="F313" t="s">
        <v>1019</v>
      </c>
      <c r="G313" t="s">
        <v>1030</v>
      </c>
      <c r="H313" t="s">
        <v>474</v>
      </c>
      <c r="I313" t="s">
        <v>1031</v>
      </c>
      <c r="J313" t="s">
        <v>474</v>
      </c>
      <c r="K313" t="s">
        <v>474</v>
      </c>
      <c r="L313" t="s">
        <v>474</v>
      </c>
      <c r="M313" t="s">
        <v>474</v>
      </c>
      <c r="N313" t="s">
        <v>474</v>
      </c>
      <c r="O313" t="s">
        <v>474</v>
      </c>
      <c r="P313" t="s">
        <v>474</v>
      </c>
      <c r="Q313" t="s">
        <v>474</v>
      </c>
      <c r="R313" t="s">
        <v>474</v>
      </c>
      <c r="S313" t="s">
        <v>474</v>
      </c>
      <c r="T313" t="s">
        <v>474</v>
      </c>
      <c r="U313" t="s">
        <v>474</v>
      </c>
      <c r="V313" t="s">
        <v>480</v>
      </c>
      <c r="W313" t="s">
        <v>1032</v>
      </c>
      <c r="X313" t="s">
        <v>59</v>
      </c>
      <c r="Y313" t="s">
        <v>479</v>
      </c>
    </row>
    <row r="314" spans="1:25" ht="16" x14ac:dyDescent="0.2">
      <c r="A314" t="s">
        <v>474</v>
      </c>
      <c r="B314" t="s">
        <v>1093</v>
      </c>
      <c r="C314" t="s">
        <v>474</v>
      </c>
      <c r="D314" t="s">
        <v>474</v>
      </c>
      <c r="E314" t="s">
        <v>55</v>
      </c>
      <c r="F314" t="s">
        <v>1019</v>
      </c>
      <c r="G314" t="s">
        <v>1033</v>
      </c>
      <c r="H314" t="s">
        <v>474</v>
      </c>
      <c r="I314" t="s">
        <v>1034</v>
      </c>
      <c r="J314" t="s">
        <v>474</v>
      </c>
      <c r="K314" t="s">
        <v>474</v>
      </c>
      <c r="L314" t="s">
        <v>474</v>
      </c>
      <c r="M314" t="s">
        <v>474</v>
      </c>
      <c r="N314" t="s">
        <v>474</v>
      </c>
      <c r="O314" t="s">
        <v>474</v>
      </c>
      <c r="P314" t="s">
        <v>474</v>
      </c>
      <c r="Q314" t="s">
        <v>474</v>
      </c>
      <c r="R314" t="s">
        <v>474</v>
      </c>
      <c r="S314" t="s">
        <v>474</v>
      </c>
      <c r="T314" t="s">
        <v>474</v>
      </c>
      <c r="U314" t="s">
        <v>474</v>
      </c>
      <c r="V314" t="s">
        <v>683</v>
      </c>
      <c r="W314" t="s">
        <v>1036</v>
      </c>
      <c r="X314" t="s">
        <v>59</v>
      </c>
      <c r="Y314" t="s">
        <v>479</v>
      </c>
    </row>
    <row r="315" spans="1:25" ht="16" x14ac:dyDescent="0.2">
      <c r="A315" t="s">
        <v>474</v>
      </c>
      <c r="B315" t="s">
        <v>1094</v>
      </c>
      <c r="C315" t="s">
        <v>474</v>
      </c>
      <c r="D315" t="s">
        <v>474</v>
      </c>
      <c r="E315" t="s">
        <v>36</v>
      </c>
      <c r="F315" t="s">
        <v>1038</v>
      </c>
      <c r="G315" t="s">
        <v>1039</v>
      </c>
      <c r="H315" t="s">
        <v>474</v>
      </c>
      <c r="I315" t="s">
        <v>1040</v>
      </c>
      <c r="J315" t="s">
        <v>474</v>
      </c>
      <c r="K315" t="s">
        <v>474</v>
      </c>
      <c r="L315" t="s">
        <v>474</v>
      </c>
      <c r="M315" t="s">
        <v>474</v>
      </c>
      <c r="N315" t="s">
        <v>474</v>
      </c>
      <c r="O315" t="s">
        <v>474</v>
      </c>
      <c r="P315" t="s">
        <v>474</v>
      </c>
      <c r="Q315" t="s">
        <v>474</v>
      </c>
      <c r="R315" t="s">
        <v>474</v>
      </c>
      <c r="S315" t="s">
        <v>474</v>
      </c>
      <c r="T315" t="s">
        <v>474</v>
      </c>
      <c r="U315" t="s">
        <v>474</v>
      </c>
      <c r="V315" t="s">
        <v>1095</v>
      </c>
      <c r="W315" t="s">
        <v>1041</v>
      </c>
      <c r="X315" t="s">
        <v>59</v>
      </c>
      <c r="Y315" t="s">
        <v>479</v>
      </c>
    </row>
    <row r="316" spans="1:25" ht="16" x14ac:dyDescent="0.2">
      <c r="A316" t="s">
        <v>474</v>
      </c>
      <c r="B316" t="s">
        <v>1094</v>
      </c>
      <c r="C316" t="s">
        <v>474</v>
      </c>
      <c r="D316" t="s">
        <v>474</v>
      </c>
      <c r="E316" t="s">
        <v>43</v>
      </c>
      <c r="F316" t="s">
        <v>1038</v>
      </c>
      <c r="G316" t="s">
        <v>1042</v>
      </c>
      <c r="H316" t="s">
        <v>474</v>
      </c>
      <c r="I316" t="s">
        <v>1043</v>
      </c>
      <c r="J316" t="s">
        <v>474</v>
      </c>
      <c r="K316" t="s">
        <v>474</v>
      </c>
      <c r="L316" t="s">
        <v>474</v>
      </c>
      <c r="M316" t="s">
        <v>474</v>
      </c>
      <c r="N316" t="s">
        <v>474</v>
      </c>
      <c r="O316" t="s">
        <v>474</v>
      </c>
      <c r="P316" t="s">
        <v>474</v>
      </c>
      <c r="Q316" t="s">
        <v>474</v>
      </c>
      <c r="R316" t="s">
        <v>474</v>
      </c>
      <c r="S316" t="s">
        <v>474</v>
      </c>
      <c r="T316" t="s">
        <v>474</v>
      </c>
      <c r="U316" t="s">
        <v>474</v>
      </c>
      <c r="V316" t="s">
        <v>483</v>
      </c>
      <c r="W316" t="s">
        <v>1044</v>
      </c>
      <c r="X316" t="s">
        <v>59</v>
      </c>
      <c r="Y316" t="s">
        <v>479</v>
      </c>
    </row>
    <row r="317" spans="1:25" ht="16" x14ac:dyDescent="0.2">
      <c r="A317" t="s">
        <v>474</v>
      </c>
      <c r="B317" t="s">
        <v>1094</v>
      </c>
      <c r="C317" t="s">
        <v>474</v>
      </c>
      <c r="D317" t="s">
        <v>474</v>
      </c>
      <c r="E317" t="s">
        <v>47</v>
      </c>
      <c r="F317" t="s">
        <v>1038</v>
      </c>
      <c r="G317" t="s">
        <v>1045</v>
      </c>
      <c r="H317" t="s">
        <v>474</v>
      </c>
      <c r="I317" t="s">
        <v>1046</v>
      </c>
      <c r="J317" t="s">
        <v>474</v>
      </c>
      <c r="K317" t="s">
        <v>474</v>
      </c>
      <c r="L317" t="s">
        <v>474</v>
      </c>
      <c r="M317" t="s">
        <v>474</v>
      </c>
      <c r="N317" t="s">
        <v>474</v>
      </c>
      <c r="O317" t="s">
        <v>474</v>
      </c>
      <c r="P317" t="s">
        <v>474</v>
      </c>
      <c r="Q317" t="s">
        <v>474</v>
      </c>
      <c r="R317" t="s">
        <v>474</v>
      </c>
      <c r="S317" t="s">
        <v>474</v>
      </c>
      <c r="T317" t="s">
        <v>474</v>
      </c>
      <c r="U317" t="s">
        <v>474</v>
      </c>
      <c r="V317" t="s">
        <v>1096</v>
      </c>
      <c r="W317" t="s">
        <v>1048</v>
      </c>
      <c r="X317" t="s">
        <v>59</v>
      </c>
      <c r="Y317" t="s">
        <v>479</v>
      </c>
    </row>
    <row r="318" spans="1:25" ht="16" x14ac:dyDescent="0.2">
      <c r="A318" t="s">
        <v>474</v>
      </c>
      <c r="B318" t="s">
        <v>1094</v>
      </c>
      <c r="C318" t="s">
        <v>474</v>
      </c>
      <c r="D318" t="s">
        <v>474</v>
      </c>
      <c r="E318" t="s">
        <v>51</v>
      </c>
      <c r="F318" t="s">
        <v>1038</v>
      </c>
      <c r="G318" t="s">
        <v>1049</v>
      </c>
      <c r="H318" t="s">
        <v>474</v>
      </c>
      <c r="I318" t="s">
        <v>1050</v>
      </c>
      <c r="J318" t="s">
        <v>474</v>
      </c>
      <c r="K318" t="s">
        <v>474</v>
      </c>
      <c r="L318" t="s">
        <v>474</v>
      </c>
      <c r="M318" t="s">
        <v>474</v>
      </c>
      <c r="N318" t="s">
        <v>474</v>
      </c>
      <c r="O318" t="s">
        <v>474</v>
      </c>
      <c r="P318" t="s">
        <v>474</v>
      </c>
      <c r="Q318" t="s">
        <v>474</v>
      </c>
      <c r="R318" t="s">
        <v>474</v>
      </c>
      <c r="S318" t="s">
        <v>474</v>
      </c>
      <c r="T318" t="s">
        <v>474</v>
      </c>
      <c r="U318" t="s">
        <v>474</v>
      </c>
      <c r="V318" t="s">
        <v>483</v>
      </c>
      <c r="W318" t="s">
        <v>1051</v>
      </c>
      <c r="X318" t="s">
        <v>59</v>
      </c>
      <c r="Y318" t="s">
        <v>479</v>
      </c>
    </row>
    <row r="319" spans="1:25" ht="16" x14ac:dyDescent="0.2">
      <c r="A319" t="s">
        <v>474</v>
      </c>
      <c r="B319" t="s">
        <v>1094</v>
      </c>
      <c r="C319" t="s">
        <v>474</v>
      </c>
      <c r="D319" t="s">
        <v>474</v>
      </c>
      <c r="E319" t="s">
        <v>55</v>
      </c>
      <c r="F319" t="s">
        <v>1038</v>
      </c>
      <c r="G319" t="s">
        <v>1052</v>
      </c>
      <c r="H319" t="s">
        <v>474</v>
      </c>
      <c r="I319" t="s">
        <v>1053</v>
      </c>
      <c r="J319" t="s">
        <v>474</v>
      </c>
      <c r="K319" t="s">
        <v>474</v>
      </c>
      <c r="L319" t="s">
        <v>474</v>
      </c>
      <c r="M319" t="s">
        <v>474</v>
      </c>
      <c r="N319" t="s">
        <v>474</v>
      </c>
      <c r="O319" t="s">
        <v>474</v>
      </c>
      <c r="P319" t="s">
        <v>474</v>
      </c>
      <c r="Q319" t="s">
        <v>474</v>
      </c>
      <c r="R319" t="s">
        <v>474</v>
      </c>
      <c r="S319" t="s">
        <v>474</v>
      </c>
      <c r="T319" t="s">
        <v>474</v>
      </c>
      <c r="U319" t="s">
        <v>474</v>
      </c>
      <c r="V319" t="s">
        <v>531</v>
      </c>
      <c r="W319" t="s">
        <v>1055</v>
      </c>
      <c r="X319" t="s">
        <v>59</v>
      </c>
      <c r="Y319" t="s">
        <v>479</v>
      </c>
    </row>
    <row r="320" spans="1:25" ht="16" x14ac:dyDescent="0.2">
      <c r="A320" t="s">
        <v>474</v>
      </c>
      <c r="B320" t="s">
        <v>1097</v>
      </c>
      <c r="C320" t="s">
        <v>474</v>
      </c>
      <c r="D320" t="s">
        <v>474</v>
      </c>
      <c r="E320" t="s">
        <v>36</v>
      </c>
      <c r="F320" t="s">
        <v>1057</v>
      </c>
      <c r="G320" t="s">
        <v>1058</v>
      </c>
      <c r="H320" t="s">
        <v>474</v>
      </c>
      <c r="I320" t="s">
        <v>1059</v>
      </c>
      <c r="J320" t="s">
        <v>474</v>
      </c>
      <c r="K320" t="s">
        <v>474</v>
      </c>
      <c r="L320" t="s">
        <v>474</v>
      </c>
      <c r="M320" t="s">
        <v>474</v>
      </c>
      <c r="N320" t="s">
        <v>474</v>
      </c>
      <c r="O320" t="s">
        <v>474</v>
      </c>
      <c r="P320" t="s">
        <v>474</v>
      </c>
      <c r="Q320" t="s">
        <v>474</v>
      </c>
      <c r="R320" t="s">
        <v>474</v>
      </c>
      <c r="S320" t="s">
        <v>474</v>
      </c>
      <c r="T320" t="s">
        <v>474</v>
      </c>
      <c r="U320" t="s">
        <v>474</v>
      </c>
      <c r="V320" t="s">
        <v>519</v>
      </c>
      <c r="W320" t="s">
        <v>1060</v>
      </c>
      <c r="X320" t="s">
        <v>59</v>
      </c>
      <c r="Y320" t="s">
        <v>479</v>
      </c>
    </row>
    <row r="321" spans="1:25" ht="16" x14ac:dyDescent="0.2">
      <c r="A321" t="s">
        <v>474</v>
      </c>
      <c r="B321" t="s">
        <v>1097</v>
      </c>
      <c r="C321" t="s">
        <v>474</v>
      </c>
      <c r="D321" t="s">
        <v>474</v>
      </c>
      <c r="E321" t="s">
        <v>43</v>
      </c>
      <c r="F321" t="s">
        <v>1057</v>
      </c>
      <c r="G321" t="s">
        <v>1061</v>
      </c>
      <c r="H321" t="s">
        <v>474</v>
      </c>
      <c r="I321" t="s">
        <v>1062</v>
      </c>
      <c r="J321" t="s">
        <v>474</v>
      </c>
      <c r="K321" t="s">
        <v>474</v>
      </c>
      <c r="L321" t="s">
        <v>474</v>
      </c>
      <c r="M321" t="s">
        <v>474</v>
      </c>
      <c r="N321" t="s">
        <v>474</v>
      </c>
      <c r="O321" t="s">
        <v>474</v>
      </c>
      <c r="P321" t="s">
        <v>474</v>
      </c>
      <c r="Q321" t="s">
        <v>474</v>
      </c>
      <c r="R321" t="s">
        <v>474</v>
      </c>
      <c r="S321" t="s">
        <v>474</v>
      </c>
      <c r="T321" t="s">
        <v>474</v>
      </c>
      <c r="U321" t="s">
        <v>474</v>
      </c>
      <c r="V321" t="s">
        <v>480</v>
      </c>
      <c r="W321" t="s">
        <v>1063</v>
      </c>
      <c r="X321" t="s">
        <v>59</v>
      </c>
      <c r="Y321" t="s">
        <v>479</v>
      </c>
    </row>
    <row r="322" spans="1:25" ht="16" x14ac:dyDescent="0.2">
      <c r="A322" t="s">
        <v>474</v>
      </c>
      <c r="B322" t="s">
        <v>1097</v>
      </c>
      <c r="C322" t="s">
        <v>474</v>
      </c>
      <c r="D322" t="s">
        <v>474</v>
      </c>
      <c r="E322" t="s">
        <v>47</v>
      </c>
      <c r="F322" t="s">
        <v>1057</v>
      </c>
      <c r="G322" t="s">
        <v>1064</v>
      </c>
      <c r="H322" t="s">
        <v>474</v>
      </c>
      <c r="I322" t="s">
        <v>1065</v>
      </c>
      <c r="J322" t="s">
        <v>474</v>
      </c>
      <c r="K322" t="s">
        <v>474</v>
      </c>
      <c r="L322" t="s">
        <v>474</v>
      </c>
      <c r="M322" t="s">
        <v>474</v>
      </c>
      <c r="N322" t="s">
        <v>474</v>
      </c>
      <c r="O322" t="s">
        <v>474</v>
      </c>
      <c r="P322" t="s">
        <v>474</v>
      </c>
      <c r="Q322" t="s">
        <v>474</v>
      </c>
      <c r="R322" t="s">
        <v>474</v>
      </c>
      <c r="S322" t="s">
        <v>474</v>
      </c>
      <c r="T322" t="s">
        <v>474</v>
      </c>
      <c r="U322" t="s">
        <v>474</v>
      </c>
      <c r="V322" t="s">
        <v>478</v>
      </c>
      <c r="W322" t="s">
        <v>1066</v>
      </c>
      <c r="X322" t="s">
        <v>59</v>
      </c>
      <c r="Y322" t="s">
        <v>479</v>
      </c>
    </row>
    <row r="323" spans="1:25" ht="16" x14ac:dyDescent="0.2">
      <c r="A323" t="s">
        <v>474</v>
      </c>
      <c r="B323" t="s">
        <v>1097</v>
      </c>
      <c r="C323" t="s">
        <v>474</v>
      </c>
      <c r="D323" t="s">
        <v>474</v>
      </c>
      <c r="E323" t="s">
        <v>51</v>
      </c>
      <c r="F323" t="s">
        <v>1057</v>
      </c>
      <c r="G323" t="s">
        <v>1067</v>
      </c>
      <c r="H323" t="s">
        <v>474</v>
      </c>
      <c r="I323" t="s">
        <v>1068</v>
      </c>
      <c r="J323" t="s">
        <v>474</v>
      </c>
      <c r="K323" t="s">
        <v>474</v>
      </c>
      <c r="L323" t="s">
        <v>474</v>
      </c>
      <c r="M323" t="s">
        <v>474</v>
      </c>
      <c r="N323" t="s">
        <v>474</v>
      </c>
      <c r="O323" t="s">
        <v>474</v>
      </c>
      <c r="P323" t="s">
        <v>474</v>
      </c>
      <c r="Q323" t="s">
        <v>474</v>
      </c>
      <c r="R323" t="s">
        <v>474</v>
      </c>
      <c r="S323" t="s">
        <v>474</v>
      </c>
      <c r="T323" t="s">
        <v>474</v>
      </c>
      <c r="U323" t="s">
        <v>474</v>
      </c>
      <c r="V323" t="s">
        <v>480</v>
      </c>
      <c r="W323" t="s">
        <v>1069</v>
      </c>
      <c r="X323" t="s">
        <v>59</v>
      </c>
      <c r="Y323" t="s">
        <v>479</v>
      </c>
    </row>
    <row r="324" spans="1:25" ht="16" x14ac:dyDescent="0.2">
      <c r="A324" t="s">
        <v>474</v>
      </c>
      <c r="B324" t="s">
        <v>1097</v>
      </c>
      <c r="C324" t="s">
        <v>474</v>
      </c>
      <c r="D324" t="s">
        <v>474</v>
      </c>
      <c r="E324" t="s">
        <v>55</v>
      </c>
      <c r="F324" t="s">
        <v>1057</v>
      </c>
      <c r="G324" t="s">
        <v>1070</v>
      </c>
      <c r="H324" t="s">
        <v>474</v>
      </c>
      <c r="I324" t="s">
        <v>1071</v>
      </c>
      <c r="J324" t="s">
        <v>474</v>
      </c>
      <c r="K324" t="s">
        <v>474</v>
      </c>
      <c r="L324" t="s">
        <v>474</v>
      </c>
      <c r="M324" t="s">
        <v>474</v>
      </c>
      <c r="N324" t="s">
        <v>474</v>
      </c>
      <c r="O324" t="s">
        <v>474</v>
      </c>
      <c r="P324" t="s">
        <v>474</v>
      </c>
      <c r="Q324" t="s">
        <v>474</v>
      </c>
      <c r="R324" t="s">
        <v>474</v>
      </c>
      <c r="S324" t="s">
        <v>474</v>
      </c>
      <c r="T324" t="s">
        <v>474</v>
      </c>
      <c r="U324" t="s">
        <v>474</v>
      </c>
      <c r="V324" t="s">
        <v>683</v>
      </c>
      <c r="W324" t="s">
        <v>1072</v>
      </c>
      <c r="X324" t="s">
        <v>59</v>
      </c>
      <c r="Y324" t="s">
        <v>479</v>
      </c>
    </row>
    <row r="325" spans="1:25" ht="16" x14ac:dyDescent="0.2">
      <c r="A325" t="s">
        <v>474</v>
      </c>
      <c r="B325" t="s">
        <v>1098</v>
      </c>
      <c r="C325" t="s">
        <v>474</v>
      </c>
      <c r="D325" t="s">
        <v>474</v>
      </c>
      <c r="E325" t="s">
        <v>36</v>
      </c>
      <c r="F325" t="s">
        <v>1074</v>
      </c>
      <c r="G325" t="s">
        <v>1075</v>
      </c>
      <c r="H325" t="s">
        <v>474</v>
      </c>
      <c r="I325" t="s">
        <v>1076</v>
      </c>
      <c r="J325" t="s">
        <v>474</v>
      </c>
      <c r="K325" t="s">
        <v>474</v>
      </c>
      <c r="L325" t="s">
        <v>474</v>
      </c>
      <c r="M325" t="s">
        <v>474</v>
      </c>
      <c r="N325" t="s">
        <v>474</v>
      </c>
      <c r="O325" t="s">
        <v>474</v>
      </c>
      <c r="P325" t="s">
        <v>474</v>
      </c>
      <c r="Q325" t="s">
        <v>474</v>
      </c>
      <c r="R325" t="s">
        <v>474</v>
      </c>
      <c r="S325" t="s">
        <v>474</v>
      </c>
      <c r="T325" t="s">
        <v>474</v>
      </c>
      <c r="U325" t="s">
        <v>474</v>
      </c>
      <c r="V325" t="s">
        <v>523</v>
      </c>
      <c r="W325" t="s">
        <v>1077</v>
      </c>
      <c r="X325" t="s">
        <v>59</v>
      </c>
      <c r="Y325" t="s">
        <v>479</v>
      </c>
    </row>
    <row r="326" spans="1:25" ht="16" x14ac:dyDescent="0.2">
      <c r="A326" t="s">
        <v>474</v>
      </c>
      <c r="B326" t="s">
        <v>1098</v>
      </c>
      <c r="C326" t="s">
        <v>474</v>
      </c>
      <c r="D326" t="s">
        <v>474</v>
      </c>
      <c r="E326" t="s">
        <v>43</v>
      </c>
      <c r="F326" t="s">
        <v>1074</v>
      </c>
      <c r="G326" t="s">
        <v>1078</v>
      </c>
      <c r="H326" t="s">
        <v>474</v>
      </c>
      <c r="I326" t="s">
        <v>1079</v>
      </c>
      <c r="J326" t="s">
        <v>474</v>
      </c>
      <c r="K326" t="s">
        <v>474</v>
      </c>
      <c r="L326" t="s">
        <v>474</v>
      </c>
      <c r="M326" t="s">
        <v>474</v>
      </c>
      <c r="N326" t="s">
        <v>474</v>
      </c>
      <c r="O326" t="s">
        <v>474</v>
      </c>
      <c r="P326" t="s">
        <v>474</v>
      </c>
      <c r="Q326" t="s">
        <v>474</v>
      </c>
      <c r="R326" t="s">
        <v>474</v>
      </c>
      <c r="S326" t="s">
        <v>474</v>
      </c>
      <c r="T326" t="s">
        <v>474</v>
      </c>
      <c r="U326" t="s">
        <v>474</v>
      </c>
      <c r="V326" t="s">
        <v>1099</v>
      </c>
      <c r="W326" t="s">
        <v>1081</v>
      </c>
      <c r="X326" t="s">
        <v>59</v>
      </c>
      <c r="Y326" t="s">
        <v>479</v>
      </c>
    </row>
    <row r="327" spans="1:25" ht="16" x14ac:dyDescent="0.2">
      <c r="A327" t="s">
        <v>474</v>
      </c>
      <c r="B327" t="s">
        <v>1098</v>
      </c>
      <c r="C327" t="s">
        <v>474</v>
      </c>
      <c r="D327" t="s">
        <v>474</v>
      </c>
      <c r="E327" t="s">
        <v>47</v>
      </c>
      <c r="F327" t="s">
        <v>1074</v>
      </c>
      <c r="G327" t="s">
        <v>1082</v>
      </c>
      <c r="H327" t="s">
        <v>474</v>
      </c>
      <c r="I327" t="s">
        <v>1083</v>
      </c>
      <c r="J327" t="s">
        <v>474</v>
      </c>
      <c r="K327" t="s">
        <v>474</v>
      </c>
      <c r="L327" t="s">
        <v>474</v>
      </c>
      <c r="M327" t="s">
        <v>474</v>
      </c>
      <c r="N327" t="s">
        <v>474</v>
      </c>
      <c r="O327" t="s">
        <v>474</v>
      </c>
      <c r="P327" t="s">
        <v>474</v>
      </c>
      <c r="Q327" t="s">
        <v>474</v>
      </c>
      <c r="R327" t="s">
        <v>474</v>
      </c>
      <c r="S327" t="s">
        <v>474</v>
      </c>
      <c r="T327" t="s">
        <v>474</v>
      </c>
      <c r="U327" t="s">
        <v>474</v>
      </c>
      <c r="V327" t="s">
        <v>1100</v>
      </c>
      <c r="W327" t="s">
        <v>1085</v>
      </c>
      <c r="X327" t="s">
        <v>59</v>
      </c>
      <c r="Y327" t="s">
        <v>479</v>
      </c>
    </row>
    <row r="328" spans="1:25" ht="16" x14ac:dyDescent="0.2">
      <c r="A328" t="s">
        <v>474</v>
      </c>
      <c r="B328" t="s">
        <v>1098</v>
      </c>
      <c r="C328" t="s">
        <v>474</v>
      </c>
      <c r="D328" t="s">
        <v>474</v>
      </c>
      <c r="E328" t="s">
        <v>51</v>
      </c>
      <c r="F328" t="s">
        <v>1074</v>
      </c>
      <c r="G328" t="s">
        <v>1086</v>
      </c>
      <c r="H328" t="s">
        <v>474</v>
      </c>
      <c r="I328" t="s">
        <v>1087</v>
      </c>
      <c r="J328" t="s">
        <v>474</v>
      </c>
      <c r="K328" t="s">
        <v>474</v>
      </c>
      <c r="L328" t="s">
        <v>474</v>
      </c>
      <c r="M328" t="s">
        <v>474</v>
      </c>
      <c r="N328" t="s">
        <v>474</v>
      </c>
      <c r="O328" t="s">
        <v>474</v>
      </c>
      <c r="P328" t="s">
        <v>474</v>
      </c>
      <c r="Q328" t="s">
        <v>474</v>
      </c>
      <c r="R328" t="s">
        <v>474</v>
      </c>
      <c r="S328" t="s">
        <v>474</v>
      </c>
      <c r="T328" t="s">
        <v>474</v>
      </c>
      <c r="U328" t="s">
        <v>474</v>
      </c>
      <c r="V328" t="s">
        <v>1099</v>
      </c>
      <c r="W328" t="s">
        <v>1088</v>
      </c>
      <c r="X328" t="s">
        <v>59</v>
      </c>
      <c r="Y328" t="s">
        <v>479</v>
      </c>
    </row>
    <row r="329" spans="1:25" ht="16" x14ac:dyDescent="0.2">
      <c r="A329" t="s">
        <v>474</v>
      </c>
      <c r="B329" t="s">
        <v>1098</v>
      </c>
      <c r="C329" t="s">
        <v>474</v>
      </c>
      <c r="D329" t="s">
        <v>474</v>
      </c>
      <c r="E329" t="s">
        <v>55</v>
      </c>
      <c r="F329" t="s">
        <v>1074</v>
      </c>
      <c r="G329" t="s">
        <v>1089</v>
      </c>
      <c r="H329" t="s">
        <v>474</v>
      </c>
      <c r="I329" t="s">
        <v>1090</v>
      </c>
      <c r="J329" t="s">
        <v>474</v>
      </c>
      <c r="K329" t="s">
        <v>474</v>
      </c>
      <c r="L329" t="s">
        <v>474</v>
      </c>
      <c r="M329" t="s">
        <v>474</v>
      </c>
      <c r="N329" t="s">
        <v>474</v>
      </c>
      <c r="O329" t="s">
        <v>474</v>
      </c>
      <c r="P329" t="s">
        <v>474</v>
      </c>
      <c r="Q329" t="s">
        <v>474</v>
      </c>
      <c r="R329" t="s">
        <v>474</v>
      </c>
      <c r="S329" t="s">
        <v>474</v>
      </c>
      <c r="T329" t="s">
        <v>474</v>
      </c>
      <c r="U329" t="s">
        <v>474</v>
      </c>
      <c r="V329" t="s">
        <v>952</v>
      </c>
      <c r="W329" t="s">
        <v>1092</v>
      </c>
      <c r="X329" t="s">
        <v>59</v>
      </c>
      <c r="Y329" t="s">
        <v>479</v>
      </c>
    </row>
    <row r="330" spans="1:25" ht="16" x14ac:dyDescent="0.2">
      <c r="A330" t="s">
        <v>474</v>
      </c>
      <c r="B330" t="s">
        <v>1101</v>
      </c>
      <c r="C330" t="s">
        <v>474</v>
      </c>
      <c r="D330" t="s">
        <v>474</v>
      </c>
      <c r="E330" t="s">
        <v>36</v>
      </c>
      <c r="F330" t="s">
        <v>1019</v>
      </c>
      <c r="G330" t="s">
        <v>1020</v>
      </c>
      <c r="H330" t="s">
        <v>474</v>
      </c>
      <c r="I330" t="s">
        <v>1021</v>
      </c>
      <c r="J330" t="s">
        <v>474</v>
      </c>
      <c r="K330" t="s">
        <v>474</v>
      </c>
      <c r="L330" t="s">
        <v>474</v>
      </c>
      <c r="M330" t="s">
        <v>474</v>
      </c>
      <c r="N330" t="s">
        <v>474</v>
      </c>
      <c r="O330" t="s">
        <v>474</v>
      </c>
      <c r="P330" t="s">
        <v>474</v>
      </c>
      <c r="Q330" t="s">
        <v>474</v>
      </c>
      <c r="R330" t="s">
        <v>474</v>
      </c>
      <c r="S330" t="s">
        <v>474</v>
      </c>
      <c r="T330" t="s">
        <v>474</v>
      </c>
      <c r="U330" t="s">
        <v>474</v>
      </c>
      <c r="V330" t="s">
        <v>1095</v>
      </c>
      <c r="W330" t="s">
        <v>1023</v>
      </c>
      <c r="X330" t="s">
        <v>61</v>
      </c>
      <c r="Y330" t="s">
        <v>482</v>
      </c>
    </row>
    <row r="331" spans="1:25" ht="16" x14ac:dyDescent="0.2">
      <c r="A331" t="s">
        <v>474</v>
      </c>
      <c r="B331" t="s">
        <v>1101</v>
      </c>
      <c r="C331" t="s">
        <v>474</v>
      </c>
      <c r="D331" t="s">
        <v>474</v>
      </c>
      <c r="E331" t="s">
        <v>43</v>
      </c>
      <c r="F331" t="s">
        <v>1019</v>
      </c>
      <c r="G331" t="s">
        <v>1024</v>
      </c>
      <c r="H331" t="s">
        <v>474</v>
      </c>
      <c r="I331" t="s">
        <v>1025</v>
      </c>
      <c r="J331" t="s">
        <v>474</v>
      </c>
      <c r="K331" t="s">
        <v>474</v>
      </c>
      <c r="L331" t="s">
        <v>474</v>
      </c>
      <c r="M331" t="s">
        <v>474</v>
      </c>
      <c r="N331" t="s">
        <v>474</v>
      </c>
      <c r="O331" t="s">
        <v>474</v>
      </c>
      <c r="P331" t="s">
        <v>474</v>
      </c>
      <c r="Q331" t="s">
        <v>474</v>
      </c>
      <c r="R331" t="s">
        <v>474</v>
      </c>
      <c r="S331" t="s">
        <v>474</v>
      </c>
      <c r="T331" t="s">
        <v>474</v>
      </c>
      <c r="U331" t="s">
        <v>474</v>
      </c>
      <c r="V331" t="s">
        <v>483</v>
      </c>
      <c r="W331" t="s">
        <v>1026</v>
      </c>
      <c r="X331" t="s">
        <v>61</v>
      </c>
      <c r="Y331" t="s">
        <v>482</v>
      </c>
    </row>
    <row r="332" spans="1:25" ht="16" x14ac:dyDescent="0.2">
      <c r="A332" t="s">
        <v>474</v>
      </c>
      <c r="B332" t="s">
        <v>1101</v>
      </c>
      <c r="C332" t="s">
        <v>474</v>
      </c>
      <c r="D332" t="s">
        <v>474</v>
      </c>
      <c r="E332" t="s">
        <v>47</v>
      </c>
      <c r="F332" t="s">
        <v>1019</v>
      </c>
      <c r="G332" t="s">
        <v>1027</v>
      </c>
      <c r="H332" t="s">
        <v>474</v>
      </c>
      <c r="I332" t="s">
        <v>1028</v>
      </c>
      <c r="J332" t="s">
        <v>474</v>
      </c>
      <c r="K332" t="s">
        <v>474</v>
      </c>
      <c r="L332" t="s">
        <v>474</v>
      </c>
      <c r="M332" t="s">
        <v>474</v>
      </c>
      <c r="N332" t="s">
        <v>474</v>
      </c>
      <c r="O332" t="s">
        <v>474</v>
      </c>
      <c r="P332" t="s">
        <v>474</v>
      </c>
      <c r="Q332" t="s">
        <v>474</v>
      </c>
      <c r="R332" t="s">
        <v>474</v>
      </c>
      <c r="S332" t="s">
        <v>474</v>
      </c>
      <c r="T332" t="s">
        <v>474</v>
      </c>
      <c r="U332" t="s">
        <v>474</v>
      </c>
      <c r="V332" t="s">
        <v>481</v>
      </c>
      <c r="W332" t="s">
        <v>1029</v>
      </c>
      <c r="X332" t="s">
        <v>61</v>
      </c>
      <c r="Y332" t="s">
        <v>482</v>
      </c>
    </row>
    <row r="333" spans="1:25" ht="16" x14ac:dyDescent="0.2">
      <c r="A333" t="s">
        <v>474</v>
      </c>
      <c r="B333" t="s">
        <v>1101</v>
      </c>
      <c r="C333" t="s">
        <v>474</v>
      </c>
      <c r="D333" t="s">
        <v>474</v>
      </c>
      <c r="E333" t="s">
        <v>51</v>
      </c>
      <c r="F333" t="s">
        <v>1019</v>
      </c>
      <c r="G333" t="s">
        <v>1030</v>
      </c>
      <c r="H333" t="s">
        <v>474</v>
      </c>
      <c r="I333" t="s">
        <v>1031</v>
      </c>
      <c r="J333" t="s">
        <v>474</v>
      </c>
      <c r="K333" t="s">
        <v>474</v>
      </c>
      <c r="L333" t="s">
        <v>474</v>
      </c>
      <c r="M333" t="s">
        <v>474</v>
      </c>
      <c r="N333" t="s">
        <v>474</v>
      </c>
      <c r="O333" t="s">
        <v>474</v>
      </c>
      <c r="P333" t="s">
        <v>474</v>
      </c>
      <c r="Q333" t="s">
        <v>474</v>
      </c>
      <c r="R333" t="s">
        <v>474</v>
      </c>
      <c r="S333" t="s">
        <v>474</v>
      </c>
      <c r="T333" t="s">
        <v>474</v>
      </c>
      <c r="U333" t="s">
        <v>474</v>
      </c>
      <c r="V333" t="s">
        <v>483</v>
      </c>
      <c r="W333" t="s">
        <v>1032</v>
      </c>
      <c r="X333" t="s">
        <v>61</v>
      </c>
      <c r="Y333" t="s">
        <v>482</v>
      </c>
    </row>
    <row r="334" spans="1:25" ht="16" x14ac:dyDescent="0.2">
      <c r="A334" t="s">
        <v>474</v>
      </c>
      <c r="B334" t="s">
        <v>1101</v>
      </c>
      <c r="C334" t="s">
        <v>474</v>
      </c>
      <c r="D334" t="s">
        <v>474</v>
      </c>
      <c r="E334" t="s">
        <v>55</v>
      </c>
      <c r="F334" t="s">
        <v>1019</v>
      </c>
      <c r="G334" t="s">
        <v>1033</v>
      </c>
      <c r="H334" t="s">
        <v>474</v>
      </c>
      <c r="I334" t="s">
        <v>1034</v>
      </c>
      <c r="J334" t="s">
        <v>474</v>
      </c>
      <c r="K334" t="s">
        <v>474</v>
      </c>
      <c r="L334" t="s">
        <v>474</v>
      </c>
      <c r="M334" t="s">
        <v>474</v>
      </c>
      <c r="N334" t="s">
        <v>474</v>
      </c>
      <c r="O334" t="s">
        <v>474</v>
      </c>
      <c r="P334" t="s">
        <v>474</v>
      </c>
      <c r="Q334" t="s">
        <v>474</v>
      </c>
      <c r="R334" t="s">
        <v>474</v>
      </c>
      <c r="S334" t="s">
        <v>474</v>
      </c>
      <c r="T334" t="s">
        <v>474</v>
      </c>
      <c r="U334" t="s">
        <v>474</v>
      </c>
      <c r="V334" t="s">
        <v>531</v>
      </c>
      <c r="W334" t="s">
        <v>1036</v>
      </c>
      <c r="X334" t="s">
        <v>61</v>
      </c>
      <c r="Y334" t="s">
        <v>482</v>
      </c>
    </row>
    <row r="335" spans="1:25" ht="16" x14ac:dyDescent="0.2">
      <c r="A335" t="s">
        <v>474</v>
      </c>
      <c r="B335" t="s">
        <v>1102</v>
      </c>
      <c r="C335" t="s">
        <v>474</v>
      </c>
      <c r="D335" t="s">
        <v>474</v>
      </c>
      <c r="E335" t="s">
        <v>36</v>
      </c>
      <c r="F335" t="s">
        <v>1038</v>
      </c>
      <c r="G335" t="s">
        <v>1039</v>
      </c>
      <c r="H335" t="s">
        <v>474</v>
      </c>
      <c r="I335" t="s">
        <v>1040</v>
      </c>
      <c r="J335" t="s">
        <v>474</v>
      </c>
      <c r="K335" t="s">
        <v>474</v>
      </c>
      <c r="L335" t="s">
        <v>474</v>
      </c>
      <c r="M335" t="s">
        <v>474</v>
      </c>
      <c r="N335" t="s">
        <v>474</v>
      </c>
      <c r="O335" t="s">
        <v>474</v>
      </c>
      <c r="P335" t="s">
        <v>474</v>
      </c>
      <c r="Q335" t="s">
        <v>474</v>
      </c>
      <c r="R335" t="s">
        <v>474</v>
      </c>
      <c r="S335" t="s">
        <v>474</v>
      </c>
      <c r="T335" t="s">
        <v>474</v>
      </c>
      <c r="U335" t="s">
        <v>474</v>
      </c>
      <c r="V335" t="s">
        <v>944</v>
      </c>
      <c r="W335" t="s">
        <v>1041</v>
      </c>
      <c r="X335" t="s">
        <v>61</v>
      </c>
      <c r="Y335" t="s">
        <v>482</v>
      </c>
    </row>
    <row r="336" spans="1:25" ht="16" x14ac:dyDescent="0.2">
      <c r="A336" t="s">
        <v>474</v>
      </c>
      <c r="B336" t="s">
        <v>1102</v>
      </c>
      <c r="C336" t="s">
        <v>474</v>
      </c>
      <c r="D336" t="s">
        <v>474</v>
      </c>
      <c r="E336" t="s">
        <v>43</v>
      </c>
      <c r="F336" t="s">
        <v>1038</v>
      </c>
      <c r="G336" t="s">
        <v>1042</v>
      </c>
      <c r="H336" t="s">
        <v>474</v>
      </c>
      <c r="I336" t="s">
        <v>1043</v>
      </c>
      <c r="J336" t="s">
        <v>474</v>
      </c>
      <c r="K336" t="s">
        <v>474</v>
      </c>
      <c r="L336" t="s">
        <v>474</v>
      </c>
      <c r="M336" t="s">
        <v>474</v>
      </c>
      <c r="N336" t="s">
        <v>474</v>
      </c>
      <c r="O336" t="s">
        <v>474</v>
      </c>
      <c r="P336" t="s">
        <v>474</v>
      </c>
      <c r="Q336" t="s">
        <v>474</v>
      </c>
      <c r="R336" t="s">
        <v>474</v>
      </c>
      <c r="S336" t="s">
        <v>474</v>
      </c>
      <c r="T336" t="s">
        <v>474</v>
      </c>
      <c r="U336" t="s">
        <v>474</v>
      </c>
      <c r="V336" t="s">
        <v>1103</v>
      </c>
      <c r="W336" t="s">
        <v>1044</v>
      </c>
      <c r="X336" t="s">
        <v>61</v>
      </c>
      <c r="Y336" t="s">
        <v>482</v>
      </c>
    </row>
    <row r="337" spans="1:25" ht="16" x14ac:dyDescent="0.2">
      <c r="A337" t="s">
        <v>474</v>
      </c>
      <c r="B337" t="s">
        <v>1102</v>
      </c>
      <c r="C337" t="s">
        <v>474</v>
      </c>
      <c r="D337" t="s">
        <v>474</v>
      </c>
      <c r="E337" t="s">
        <v>47</v>
      </c>
      <c r="F337" t="s">
        <v>1038</v>
      </c>
      <c r="G337" t="s">
        <v>1045</v>
      </c>
      <c r="H337" t="s">
        <v>474</v>
      </c>
      <c r="I337" t="s">
        <v>1046</v>
      </c>
      <c r="J337" t="s">
        <v>474</v>
      </c>
      <c r="K337" t="s">
        <v>474</v>
      </c>
      <c r="L337" t="s">
        <v>474</v>
      </c>
      <c r="M337" t="s">
        <v>474</v>
      </c>
      <c r="N337" t="s">
        <v>474</v>
      </c>
      <c r="O337" t="s">
        <v>474</v>
      </c>
      <c r="P337" t="s">
        <v>474</v>
      </c>
      <c r="Q337" t="s">
        <v>474</v>
      </c>
      <c r="R337" t="s">
        <v>474</v>
      </c>
      <c r="S337" t="s">
        <v>474</v>
      </c>
      <c r="T337" t="s">
        <v>474</v>
      </c>
      <c r="U337" t="s">
        <v>474</v>
      </c>
      <c r="V337" t="s">
        <v>1104</v>
      </c>
      <c r="W337" t="s">
        <v>1048</v>
      </c>
      <c r="X337" t="s">
        <v>61</v>
      </c>
      <c r="Y337" t="s">
        <v>482</v>
      </c>
    </row>
    <row r="338" spans="1:25" ht="16" x14ac:dyDescent="0.2">
      <c r="A338" t="s">
        <v>474</v>
      </c>
      <c r="B338" t="s">
        <v>1102</v>
      </c>
      <c r="C338" t="s">
        <v>474</v>
      </c>
      <c r="D338" t="s">
        <v>474</v>
      </c>
      <c r="E338" t="s">
        <v>51</v>
      </c>
      <c r="F338" t="s">
        <v>1038</v>
      </c>
      <c r="G338" t="s">
        <v>1049</v>
      </c>
      <c r="H338" t="s">
        <v>474</v>
      </c>
      <c r="I338" t="s">
        <v>1050</v>
      </c>
      <c r="J338" t="s">
        <v>474</v>
      </c>
      <c r="K338" t="s">
        <v>474</v>
      </c>
      <c r="L338" t="s">
        <v>474</v>
      </c>
      <c r="M338" t="s">
        <v>474</v>
      </c>
      <c r="N338" t="s">
        <v>474</v>
      </c>
      <c r="O338" t="s">
        <v>474</v>
      </c>
      <c r="P338" t="s">
        <v>474</v>
      </c>
      <c r="Q338" t="s">
        <v>474</v>
      </c>
      <c r="R338" t="s">
        <v>474</v>
      </c>
      <c r="S338" t="s">
        <v>474</v>
      </c>
      <c r="T338" t="s">
        <v>474</v>
      </c>
      <c r="U338" t="s">
        <v>474</v>
      </c>
      <c r="V338" t="s">
        <v>1103</v>
      </c>
      <c r="W338" t="s">
        <v>1051</v>
      </c>
      <c r="X338" t="s">
        <v>61</v>
      </c>
      <c r="Y338" t="s">
        <v>482</v>
      </c>
    </row>
    <row r="339" spans="1:25" ht="16" x14ac:dyDescent="0.2">
      <c r="A339" t="s">
        <v>474</v>
      </c>
      <c r="B339" t="s">
        <v>1102</v>
      </c>
      <c r="C339" t="s">
        <v>474</v>
      </c>
      <c r="D339" t="s">
        <v>474</v>
      </c>
      <c r="E339" t="s">
        <v>55</v>
      </c>
      <c r="F339" t="s">
        <v>1038</v>
      </c>
      <c r="G339" t="s">
        <v>1052</v>
      </c>
      <c r="H339" t="s">
        <v>474</v>
      </c>
      <c r="I339" t="s">
        <v>1053</v>
      </c>
      <c r="J339" t="s">
        <v>474</v>
      </c>
      <c r="K339" t="s">
        <v>474</v>
      </c>
      <c r="L339" t="s">
        <v>474</v>
      </c>
      <c r="M339" t="s">
        <v>474</v>
      </c>
      <c r="N339" t="s">
        <v>474</v>
      </c>
      <c r="O339" t="s">
        <v>474</v>
      </c>
      <c r="P339" t="s">
        <v>474</v>
      </c>
      <c r="Q339" t="s">
        <v>474</v>
      </c>
      <c r="R339" t="s">
        <v>474</v>
      </c>
      <c r="S339" t="s">
        <v>474</v>
      </c>
      <c r="T339" t="s">
        <v>474</v>
      </c>
      <c r="U339" t="s">
        <v>474</v>
      </c>
      <c r="V339" t="s">
        <v>945</v>
      </c>
      <c r="W339" t="s">
        <v>1055</v>
      </c>
      <c r="X339" t="s">
        <v>61</v>
      </c>
      <c r="Y339" t="s">
        <v>482</v>
      </c>
    </row>
    <row r="340" spans="1:25" ht="16" x14ac:dyDescent="0.2">
      <c r="A340" t="s">
        <v>474</v>
      </c>
      <c r="B340" t="s">
        <v>1105</v>
      </c>
      <c r="C340" t="s">
        <v>474</v>
      </c>
      <c r="D340" t="s">
        <v>474</v>
      </c>
      <c r="E340" t="s">
        <v>36</v>
      </c>
      <c r="F340" t="s">
        <v>1057</v>
      </c>
      <c r="G340" t="s">
        <v>1058</v>
      </c>
      <c r="H340" t="s">
        <v>474</v>
      </c>
      <c r="I340" t="s">
        <v>1059</v>
      </c>
      <c r="J340" t="s">
        <v>474</v>
      </c>
      <c r="K340" t="s">
        <v>474</v>
      </c>
      <c r="L340" t="s">
        <v>474</v>
      </c>
      <c r="M340" t="s">
        <v>474</v>
      </c>
      <c r="N340" t="s">
        <v>474</v>
      </c>
      <c r="O340" t="s">
        <v>474</v>
      </c>
      <c r="P340" t="s">
        <v>474</v>
      </c>
      <c r="Q340" t="s">
        <v>474</v>
      </c>
      <c r="R340" t="s">
        <v>474</v>
      </c>
      <c r="S340" t="s">
        <v>474</v>
      </c>
      <c r="T340" t="s">
        <v>474</v>
      </c>
      <c r="U340" t="s">
        <v>474</v>
      </c>
      <c r="V340" t="s">
        <v>1095</v>
      </c>
      <c r="W340" t="s">
        <v>1060</v>
      </c>
      <c r="X340" t="s">
        <v>61</v>
      </c>
      <c r="Y340" t="s">
        <v>482</v>
      </c>
    </row>
    <row r="341" spans="1:25" ht="16" x14ac:dyDescent="0.2">
      <c r="A341" t="s">
        <v>474</v>
      </c>
      <c r="B341" t="s">
        <v>1105</v>
      </c>
      <c r="C341" t="s">
        <v>474</v>
      </c>
      <c r="D341" t="s">
        <v>474</v>
      </c>
      <c r="E341" t="s">
        <v>43</v>
      </c>
      <c r="F341" t="s">
        <v>1057</v>
      </c>
      <c r="G341" t="s">
        <v>1061</v>
      </c>
      <c r="H341" t="s">
        <v>474</v>
      </c>
      <c r="I341" t="s">
        <v>1062</v>
      </c>
      <c r="J341" t="s">
        <v>474</v>
      </c>
      <c r="K341" t="s">
        <v>474</v>
      </c>
      <c r="L341" t="s">
        <v>474</v>
      </c>
      <c r="M341" t="s">
        <v>474</v>
      </c>
      <c r="N341" t="s">
        <v>474</v>
      </c>
      <c r="O341" t="s">
        <v>474</v>
      </c>
      <c r="P341" t="s">
        <v>474</v>
      </c>
      <c r="Q341" t="s">
        <v>474</v>
      </c>
      <c r="R341" t="s">
        <v>474</v>
      </c>
      <c r="S341" t="s">
        <v>474</v>
      </c>
      <c r="T341" t="s">
        <v>474</v>
      </c>
      <c r="U341" t="s">
        <v>474</v>
      </c>
      <c r="V341" t="s">
        <v>483</v>
      </c>
      <c r="W341" t="s">
        <v>1063</v>
      </c>
      <c r="X341" t="s">
        <v>61</v>
      </c>
      <c r="Y341" t="s">
        <v>482</v>
      </c>
    </row>
    <row r="342" spans="1:25" ht="16" x14ac:dyDescent="0.2">
      <c r="A342" t="s">
        <v>474</v>
      </c>
      <c r="B342" t="s">
        <v>1105</v>
      </c>
      <c r="C342" t="s">
        <v>474</v>
      </c>
      <c r="D342" t="s">
        <v>474</v>
      </c>
      <c r="E342" t="s">
        <v>47</v>
      </c>
      <c r="F342" t="s">
        <v>1057</v>
      </c>
      <c r="G342" t="s">
        <v>1064</v>
      </c>
      <c r="H342" t="s">
        <v>474</v>
      </c>
      <c r="I342" t="s">
        <v>1065</v>
      </c>
      <c r="J342" t="s">
        <v>474</v>
      </c>
      <c r="K342" t="s">
        <v>474</v>
      </c>
      <c r="L342" t="s">
        <v>474</v>
      </c>
      <c r="M342" t="s">
        <v>474</v>
      </c>
      <c r="N342" t="s">
        <v>474</v>
      </c>
      <c r="O342" t="s">
        <v>474</v>
      </c>
      <c r="P342" t="s">
        <v>474</v>
      </c>
      <c r="Q342" t="s">
        <v>474</v>
      </c>
      <c r="R342" t="s">
        <v>474</v>
      </c>
      <c r="S342" t="s">
        <v>474</v>
      </c>
      <c r="T342" t="s">
        <v>474</v>
      </c>
      <c r="U342" t="s">
        <v>474</v>
      </c>
      <c r="V342" t="s">
        <v>481</v>
      </c>
      <c r="W342" t="s">
        <v>1066</v>
      </c>
      <c r="X342" t="s">
        <v>61</v>
      </c>
      <c r="Y342" t="s">
        <v>482</v>
      </c>
    </row>
    <row r="343" spans="1:25" ht="16" x14ac:dyDescent="0.2">
      <c r="A343" t="s">
        <v>474</v>
      </c>
      <c r="B343" t="s">
        <v>1105</v>
      </c>
      <c r="C343" t="s">
        <v>474</v>
      </c>
      <c r="D343" t="s">
        <v>474</v>
      </c>
      <c r="E343" t="s">
        <v>51</v>
      </c>
      <c r="F343" t="s">
        <v>1057</v>
      </c>
      <c r="G343" t="s">
        <v>1067</v>
      </c>
      <c r="H343" t="s">
        <v>474</v>
      </c>
      <c r="I343" t="s">
        <v>1068</v>
      </c>
      <c r="J343" t="s">
        <v>474</v>
      </c>
      <c r="K343" t="s">
        <v>474</v>
      </c>
      <c r="L343" t="s">
        <v>474</v>
      </c>
      <c r="M343" t="s">
        <v>474</v>
      </c>
      <c r="N343" t="s">
        <v>474</v>
      </c>
      <c r="O343" t="s">
        <v>474</v>
      </c>
      <c r="P343" t="s">
        <v>474</v>
      </c>
      <c r="Q343" t="s">
        <v>474</v>
      </c>
      <c r="R343" t="s">
        <v>474</v>
      </c>
      <c r="S343" t="s">
        <v>474</v>
      </c>
      <c r="T343" t="s">
        <v>474</v>
      </c>
      <c r="U343" t="s">
        <v>474</v>
      </c>
      <c r="V343" t="s">
        <v>483</v>
      </c>
      <c r="W343" t="s">
        <v>1069</v>
      </c>
      <c r="X343" t="s">
        <v>61</v>
      </c>
      <c r="Y343" t="s">
        <v>482</v>
      </c>
    </row>
    <row r="344" spans="1:25" ht="16" x14ac:dyDescent="0.2">
      <c r="A344" t="s">
        <v>474</v>
      </c>
      <c r="B344" t="s">
        <v>1105</v>
      </c>
      <c r="C344" t="s">
        <v>474</v>
      </c>
      <c r="D344" t="s">
        <v>474</v>
      </c>
      <c r="E344" t="s">
        <v>55</v>
      </c>
      <c r="F344" t="s">
        <v>1057</v>
      </c>
      <c r="G344" t="s">
        <v>1070</v>
      </c>
      <c r="H344" t="s">
        <v>474</v>
      </c>
      <c r="I344" t="s">
        <v>1071</v>
      </c>
      <c r="J344" t="s">
        <v>474</v>
      </c>
      <c r="K344" t="s">
        <v>474</v>
      </c>
      <c r="L344" t="s">
        <v>474</v>
      </c>
      <c r="M344" t="s">
        <v>474</v>
      </c>
      <c r="N344" t="s">
        <v>474</v>
      </c>
      <c r="O344" t="s">
        <v>474</v>
      </c>
      <c r="P344" t="s">
        <v>474</v>
      </c>
      <c r="Q344" t="s">
        <v>474</v>
      </c>
      <c r="R344" t="s">
        <v>474</v>
      </c>
      <c r="S344" t="s">
        <v>474</v>
      </c>
      <c r="T344" t="s">
        <v>474</v>
      </c>
      <c r="U344" t="s">
        <v>474</v>
      </c>
      <c r="V344" t="s">
        <v>531</v>
      </c>
      <c r="W344" t="s">
        <v>1072</v>
      </c>
      <c r="X344" t="s">
        <v>61</v>
      </c>
      <c r="Y344" t="s">
        <v>482</v>
      </c>
    </row>
    <row r="345" spans="1:25" ht="16" x14ac:dyDescent="0.2">
      <c r="A345" t="s">
        <v>474</v>
      </c>
      <c r="B345" t="s">
        <v>1106</v>
      </c>
      <c r="C345" t="s">
        <v>474</v>
      </c>
      <c r="D345" t="s">
        <v>474</v>
      </c>
      <c r="E345" t="s">
        <v>36</v>
      </c>
      <c r="F345" t="s">
        <v>1074</v>
      </c>
      <c r="G345" t="s">
        <v>1075</v>
      </c>
      <c r="H345" t="s">
        <v>474</v>
      </c>
      <c r="I345" t="s">
        <v>1076</v>
      </c>
      <c r="J345" t="s">
        <v>474</v>
      </c>
      <c r="K345" t="s">
        <v>474</v>
      </c>
      <c r="L345" t="s">
        <v>474</v>
      </c>
      <c r="M345" t="s">
        <v>474</v>
      </c>
      <c r="N345" t="s">
        <v>474</v>
      </c>
      <c r="O345" t="s">
        <v>474</v>
      </c>
      <c r="P345" t="s">
        <v>474</v>
      </c>
      <c r="Q345" t="s">
        <v>474</v>
      </c>
      <c r="R345" t="s">
        <v>474</v>
      </c>
      <c r="S345" t="s">
        <v>474</v>
      </c>
      <c r="T345" t="s">
        <v>474</v>
      </c>
      <c r="U345" t="s">
        <v>474</v>
      </c>
      <c r="V345" t="s">
        <v>1107</v>
      </c>
      <c r="W345" t="s">
        <v>1077</v>
      </c>
      <c r="X345" t="s">
        <v>61</v>
      </c>
      <c r="Y345" t="s">
        <v>482</v>
      </c>
    </row>
    <row r="346" spans="1:25" ht="16" x14ac:dyDescent="0.2">
      <c r="A346" t="s">
        <v>474</v>
      </c>
      <c r="B346" t="s">
        <v>1106</v>
      </c>
      <c r="C346" t="s">
        <v>474</v>
      </c>
      <c r="D346" t="s">
        <v>474</v>
      </c>
      <c r="E346" t="s">
        <v>43</v>
      </c>
      <c r="F346" t="s">
        <v>1074</v>
      </c>
      <c r="G346" t="s">
        <v>1078</v>
      </c>
      <c r="H346" t="s">
        <v>474</v>
      </c>
      <c r="I346" t="s">
        <v>1079</v>
      </c>
      <c r="J346" t="s">
        <v>474</v>
      </c>
      <c r="K346" t="s">
        <v>474</v>
      </c>
      <c r="L346" t="s">
        <v>474</v>
      </c>
      <c r="M346" t="s">
        <v>474</v>
      </c>
      <c r="N346" t="s">
        <v>474</v>
      </c>
      <c r="O346" t="s">
        <v>474</v>
      </c>
      <c r="P346" t="s">
        <v>474</v>
      </c>
      <c r="Q346" t="s">
        <v>474</v>
      </c>
      <c r="R346" t="s">
        <v>474</v>
      </c>
      <c r="S346" t="s">
        <v>474</v>
      </c>
      <c r="T346" t="s">
        <v>474</v>
      </c>
      <c r="U346" t="s">
        <v>474</v>
      </c>
      <c r="V346" t="s">
        <v>1108</v>
      </c>
      <c r="W346" t="s">
        <v>1081</v>
      </c>
      <c r="X346" t="s">
        <v>61</v>
      </c>
      <c r="Y346" t="s">
        <v>482</v>
      </c>
    </row>
    <row r="347" spans="1:25" ht="16" x14ac:dyDescent="0.2">
      <c r="A347" t="s">
        <v>474</v>
      </c>
      <c r="B347" t="s">
        <v>1106</v>
      </c>
      <c r="C347" t="s">
        <v>474</v>
      </c>
      <c r="D347" t="s">
        <v>474</v>
      </c>
      <c r="E347" t="s">
        <v>47</v>
      </c>
      <c r="F347" t="s">
        <v>1074</v>
      </c>
      <c r="G347" t="s">
        <v>1082</v>
      </c>
      <c r="H347" t="s">
        <v>474</v>
      </c>
      <c r="I347" t="s">
        <v>1083</v>
      </c>
      <c r="J347" t="s">
        <v>474</v>
      </c>
      <c r="K347" t="s">
        <v>474</v>
      </c>
      <c r="L347" t="s">
        <v>474</v>
      </c>
      <c r="M347" t="s">
        <v>474</v>
      </c>
      <c r="N347" t="s">
        <v>474</v>
      </c>
      <c r="O347" t="s">
        <v>474</v>
      </c>
      <c r="P347" t="s">
        <v>474</v>
      </c>
      <c r="Q347" t="s">
        <v>474</v>
      </c>
      <c r="R347" t="s">
        <v>474</v>
      </c>
      <c r="S347" t="s">
        <v>474</v>
      </c>
      <c r="T347" t="s">
        <v>474</v>
      </c>
      <c r="U347" t="s">
        <v>474</v>
      </c>
      <c r="V347" t="s">
        <v>1109</v>
      </c>
      <c r="W347" t="s">
        <v>1085</v>
      </c>
      <c r="X347" t="s">
        <v>61</v>
      </c>
      <c r="Y347" t="s">
        <v>482</v>
      </c>
    </row>
    <row r="348" spans="1:25" ht="16" x14ac:dyDescent="0.2">
      <c r="A348" t="s">
        <v>474</v>
      </c>
      <c r="B348" t="s">
        <v>1106</v>
      </c>
      <c r="C348" t="s">
        <v>474</v>
      </c>
      <c r="D348" t="s">
        <v>474</v>
      </c>
      <c r="E348" t="s">
        <v>51</v>
      </c>
      <c r="F348" t="s">
        <v>1074</v>
      </c>
      <c r="G348" t="s">
        <v>1086</v>
      </c>
      <c r="H348" t="s">
        <v>474</v>
      </c>
      <c r="I348" t="s">
        <v>1087</v>
      </c>
      <c r="J348" t="s">
        <v>474</v>
      </c>
      <c r="K348" t="s">
        <v>474</v>
      </c>
      <c r="L348" t="s">
        <v>474</v>
      </c>
      <c r="M348" t="s">
        <v>474</v>
      </c>
      <c r="N348" t="s">
        <v>474</v>
      </c>
      <c r="O348" t="s">
        <v>474</v>
      </c>
      <c r="P348" t="s">
        <v>474</v>
      </c>
      <c r="Q348" t="s">
        <v>474</v>
      </c>
      <c r="R348" t="s">
        <v>474</v>
      </c>
      <c r="S348" t="s">
        <v>474</v>
      </c>
      <c r="T348" t="s">
        <v>474</v>
      </c>
      <c r="U348" t="s">
        <v>474</v>
      </c>
      <c r="V348" t="s">
        <v>1108</v>
      </c>
      <c r="W348" t="s">
        <v>1088</v>
      </c>
      <c r="X348" t="s">
        <v>61</v>
      </c>
      <c r="Y348" t="s">
        <v>482</v>
      </c>
    </row>
    <row r="349" spans="1:25" ht="16" x14ac:dyDescent="0.2">
      <c r="A349" t="s">
        <v>474</v>
      </c>
      <c r="B349" t="s">
        <v>1106</v>
      </c>
      <c r="C349" t="s">
        <v>474</v>
      </c>
      <c r="D349" t="s">
        <v>474</v>
      </c>
      <c r="E349" t="s">
        <v>55</v>
      </c>
      <c r="F349" t="s">
        <v>1074</v>
      </c>
      <c r="G349" t="s">
        <v>1089</v>
      </c>
      <c r="H349" t="s">
        <v>474</v>
      </c>
      <c r="I349" t="s">
        <v>1090</v>
      </c>
      <c r="J349" t="s">
        <v>474</v>
      </c>
      <c r="K349" t="s">
        <v>474</v>
      </c>
      <c r="L349" t="s">
        <v>474</v>
      </c>
      <c r="M349" t="s">
        <v>474</v>
      </c>
      <c r="N349" t="s">
        <v>474</v>
      </c>
      <c r="O349" t="s">
        <v>474</v>
      </c>
      <c r="P349" t="s">
        <v>474</v>
      </c>
      <c r="Q349" t="s">
        <v>474</v>
      </c>
      <c r="R349" t="s">
        <v>474</v>
      </c>
      <c r="S349" t="s">
        <v>474</v>
      </c>
      <c r="T349" t="s">
        <v>474</v>
      </c>
      <c r="U349" t="s">
        <v>474</v>
      </c>
      <c r="V349" t="s">
        <v>532</v>
      </c>
      <c r="W349" t="s">
        <v>1092</v>
      </c>
      <c r="X349" t="s">
        <v>61</v>
      </c>
      <c r="Y349" t="s">
        <v>482</v>
      </c>
    </row>
    <row r="350" spans="1:25" ht="16" x14ac:dyDescent="0.2">
      <c r="A350" t="s">
        <v>474</v>
      </c>
      <c r="B350" t="s">
        <v>1110</v>
      </c>
      <c r="C350" t="s">
        <v>474</v>
      </c>
      <c r="D350" t="s">
        <v>474</v>
      </c>
      <c r="E350" t="s">
        <v>36</v>
      </c>
      <c r="F350" t="s">
        <v>1019</v>
      </c>
      <c r="G350" t="s">
        <v>1111</v>
      </c>
      <c r="H350" t="s">
        <v>474</v>
      </c>
      <c r="I350" t="s">
        <v>1112</v>
      </c>
      <c r="J350" t="s">
        <v>474</v>
      </c>
      <c r="K350" t="s">
        <v>474</v>
      </c>
      <c r="L350" t="s">
        <v>474</v>
      </c>
      <c r="M350" t="s">
        <v>474</v>
      </c>
      <c r="N350" t="s">
        <v>474</v>
      </c>
      <c r="O350" t="s">
        <v>474</v>
      </c>
      <c r="P350" t="s">
        <v>474</v>
      </c>
      <c r="Q350" t="s">
        <v>474</v>
      </c>
      <c r="R350" t="s">
        <v>474</v>
      </c>
      <c r="S350" t="s">
        <v>474</v>
      </c>
      <c r="T350" t="s">
        <v>474</v>
      </c>
      <c r="U350" t="s">
        <v>474</v>
      </c>
      <c r="V350" t="s">
        <v>1113</v>
      </c>
      <c r="W350" t="s">
        <v>1114</v>
      </c>
      <c r="X350" t="s">
        <v>30</v>
      </c>
      <c r="Y350" t="s">
        <v>476</v>
      </c>
    </row>
    <row r="351" spans="1:25" ht="16" x14ac:dyDescent="0.2">
      <c r="A351" t="s">
        <v>474</v>
      </c>
      <c r="B351" t="s">
        <v>1115</v>
      </c>
      <c r="C351" t="s">
        <v>474</v>
      </c>
      <c r="D351" t="s">
        <v>474</v>
      </c>
      <c r="E351" t="s">
        <v>36</v>
      </c>
      <c r="F351" t="s">
        <v>1038</v>
      </c>
      <c r="G351" t="s">
        <v>1116</v>
      </c>
      <c r="H351" t="s">
        <v>474</v>
      </c>
      <c r="I351" t="s">
        <v>1117</v>
      </c>
      <c r="J351" t="s">
        <v>474</v>
      </c>
      <c r="K351" t="s">
        <v>474</v>
      </c>
      <c r="L351" t="s">
        <v>474</v>
      </c>
      <c r="M351" t="s">
        <v>474</v>
      </c>
      <c r="N351" t="s">
        <v>474</v>
      </c>
      <c r="O351" t="s">
        <v>474</v>
      </c>
      <c r="P351" t="s">
        <v>474</v>
      </c>
      <c r="Q351" t="s">
        <v>474</v>
      </c>
      <c r="R351" t="s">
        <v>474</v>
      </c>
      <c r="S351" t="s">
        <v>474</v>
      </c>
      <c r="T351" t="s">
        <v>474</v>
      </c>
      <c r="U351" t="s">
        <v>474</v>
      </c>
      <c r="V351" t="s">
        <v>1118</v>
      </c>
      <c r="W351" t="s">
        <v>1119</v>
      </c>
      <c r="X351" t="s">
        <v>30</v>
      </c>
      <c r="Y351" t="s">
        <v>476</v>
      </c>
    </row>
    <row r="352" spans="1:25" ht="16" x14ac:dyDescent="0.2">
      <c r="A352" t="s">
        <v>474</v>
      </c>
      <c r="B352" t="s">
        <v>1120</v>
      </c>
      <c r="C352" t="s">
        <v>474</v>
      </c>
      <c r="D352" t="s">
        <v>474</v>
      </c>
      <c r="E352" t="s">
        <v>36</v>
      </c>
      <c r="F352" t="s">
        <v>1038</v>
      </c>
      <c r="G352" t="s">
        <v>1116</v>
      </c>
      <c r="H352" t="s">
        <v>474</v>
      </c>
      <c r="I352" t="s">
        <v>1117</v>
      </c>
      <c r="J352" t="s">
        <v>474</v>
      </c>
      <c r="K352" t="s">
        <v>474</v>
      </c>
      <c r="L352" t="s">
        <v>474</v>
      </c>
      <c r="M352" t="s">
        <v>474</v>
      </c>
      <c r="N352" t="s">
        <v>474</v>
      </c>
      <c r="O352" t="s">
        <v>474</v>
      </c>
      <c r="P352" t="s">
        <v>474</v>
      </c>
      <c r="Q352" t="s">
        <v>474</v>
      </c>
      <c r="R352" t="s">
        <v>474</v>
      </c>
      <c r="S352" t="s">
        <v>474</v>
      </c>
      <c r="T352" t="s">
        <v>474</v>
      </c>
      <c r="U352" t="s">
        <v>474</v>
      </c>
      <c r="V352" t="s">
        <v>1121</v>
      </c>
      <c r="W352" t="s">
        <v>1119</v>
      </c>
      <c r="X352" t="s">
        <v>61</v>
      </c>
      <c r="Y352" t="s">
        <v>482</v>
      </c>
    </row>
    <row r="353" spans="1:25" ht="16" x14ac:dyDescent="0.2">
      <c r="A353" t="s">
        <v>474</v>
      </c>
      <c r="B353" t="s">
        <v>1122</v>
      </c>
      <c r="C353" t="s">
        <v>474</v>
      </c>
      <c r="D353" t="s">
        <v>474</v>
      </c>
      <c r="E353" t="s">
        <v>36</v>
      </c>
      <c r="F353" t="s">
        <v>1074</v>
      </c>
      <c r="G353" t="s">
        <v>1123</v>
      </c>
      <c r="H353" t="s">
        <v>474</v>
      </c>
      <c r="I353" t="s">
        <v>1124</v>
      </c>
      <c r="J353" t="s">
        <v>474</v>
      </c>
      <c r="K353" t="s">
        <v>474</v>
      </c>
      <c r="L353" t="s">
        <v>474</v>
      </c>
      <c r="M353" t="s">
        <v>474</v>
      </c>
      <c r="N353" t="s">
        <v>474</v>
      </c>
      <c r="O353" t="s">
        <v>474</v>
      </c>
      <c r="P353" t="s">
        <v>474</v>
      </c>
      <c r="Q353" t="s">
        <v>474</v>
      </c>
      <c r="R353" t="s">
        <v>474</v>
      </c>
      <c r="S353" t="s">
        <v>474</v>
      </c>
      <c r="T353" t="s">
        <v>474</v>
      </c>
      <c r="U353" t="s">
        <v>474</v>
      </c>
      <c r="V353" t="s">
        <v>1125</v>
      </c>
      <c r="W353" t="s">
        <v>1126</v>
      </c>
      <c r="X353" t="s">
        <v>61</v>
      </c>
      <c r="Y353" t="s">
        <v>482</v>
      </c>
    </row>
    <row r="354" spans="1:25" ht="16" x14ac:dyDescent="0.2">
      <c r="A354" t="s">
        <v>474</v>
      </c>
      <c r="B354" t="s">
        <v>1127</v>
      </c>
      <c r="C354" t="s">
        <v>474</v>
      </c>
      <c r="D354" t="s">
        <v>474</v>
      </c>
      <c r="E354" t="s">
        <v>36</v>
      </c>
      <c r="F354" t="s">
        <v>1019</v>
      </c>
      <c r="G354" t="s">
        <v>1111</v>
      </c>
      <c r="H354" t="s">
        <v>474</v>
      </c>
      <c r="I354" t="s">
        <v>1112</v>
      </c>
      <c r="J354" t="s">
        <v>474</v>
      </c>
      <c r="K354" t="s">
        <v>474</v>
      </c>
      <c r="L354" t="s">
        <v>474</v>
      </c>
      <c r="M354" t="s">
        <v>474</v>
      </c>
      <c r="N354" t="s">
        <v>474</v>
      </c>
      <c r="O354" t="s">
        <v>474</v>
      </c>
      <c r="P354" t="s">
        <v>474</v>
      </c>
      <c r="Q354" t="s">
        <v>474</v>
      </c>
      <c r="R354" t="s">
        <v>474</v>
      </c>
      <c r="S354" t="s">
        <v>474</v>
      </c>
      <c r="T354" t="s">
        <v>474</v>
      </c>
      <c r="U354" t="s">
        <v>474</v>
      </c>
      <c r="V354" t="s">
        <v>522</v>
      </c>
      <c r="W354" t="s">
        <v>1114</v>
      </c>
      <c r="X354" t="s">
        <v>59</v>
      </c>
      <c r="Y354" t="s">
        <v>479</v>
      </c>
    </row>
    <row r="355" spans="1:25" ht="16" x14ac:dyDescent="0.2">
      <c r="A355" t="s">
        <v>474</v>
      </c>
      <c r="B355" t="s">
        <v>1128</v>
      </c>
      <c r="C355" t="s">
        <v>474</v>
      </c>
      <c r="D355" t="s">
        <v>474</v>
      </c>
      <c r="E355" t="s">
        <v>36</v>
      </c>
      <c r="F355" t="s">
        <v>1019</v>
      </c>
      <c r="G355" t="s">
        <v>1111</v>
      </c>
      <c r="H355" t="s">
        <v>474</v>
      </c>
      <c r="I355" t="s">
        <v>1112</v>
      </c>
      <c r="J355" t="s">
        <v>474</v>
      </c>
      <c r="K355" t="s">
        <v>474</v>
      </c>
      <c r="L355" t="s">
        <v>474</v>
      </c>
      <c r="M355" t="s">
        <v>474</v>
      </c>
      <c r="N355" t="s">
        <v>474</v>
      </c>
      <c r="O355" t="s">
        <v>474</v>
      </c>
      <c r="P355" t="s">
        <v>474</v>
      </c>
      <c r="Q355" t="s">
        <v>474</v>
      </c>
      <c r="R355" t="s">
        <v>474</v>
      </c>
      <c r="S355" t="s">
        <v>474</v>
      </c>
      <c r="T355" t="s">
        <v>474</v>
      </c>
      <c r="U355" t="s">
        <v>474</v>
      </c>
      <c r="V355" t="s">
        <v>1129</v>
      </c>
      <c r="W355" t="s">
        <v>1114</v>
      </c>
      <c r="X355" t="s">
        <v>61</v>
      </c>
      <c r="Y355" t="s">
        <v>482</v>
      </c>
    </row>
    <row r="356" spans="1:25" ht="16" x14ac:dyDescent="0.2">
      <c r="A356" t="s">
        <v>474</v>
      </c>
      <c r="B356" t="s">
        <v>1130</v>
      </c>
      <c r="C356" t="s">
        <v>474</v>
      </c>
      <c r="D356" t="s">
        <v>474</v>
      </c>
      <c r="E356" t="s">
        <v>36</v>
      </c>
      <c r="F356" t="s">
        <v>1038</v>
      </c>
      <c r="G356" t="s">
        <v>1116</v>
      </c>
      <c r="H356" t="s">
        <v>474</v>
      </c>
      <c r="I356" t="s">
        <v>1117</v>
      </c>
      <c r="J356" t="s">
        <v>474</v>
      </c>
      <c r="K356" t="s">
        <v>474</v>
      </c>
      <c r="L356" t="s">
        <v>474</v>
      </c>
      <c r="M356" t="s">
        <v>474</v>
      </c>
      <c r="N356" t="s">
        <v>474</v>
      </c>
      <c r="O356" t="s">
        <v>474</v>
      </c>
      <c r="P356" t="s">
        <v>474</v>
      </c>
      <c r="Q356" t="s">
        <v>474</v>
      </c>
      <c r="R356" t="s">
        <v>474</v>
      </c>
      <c r="S356" t="s">
        <v>474</v>
      </c>
      <c r="T356" t="s">
        <v>474</v>
      </c>
      <c r="U356" t="s">
        <v>474</v>
      </c>
      <c r="V356" t="s">
        <v>1131</v>
      </c>
      <c r="W356" t="s">
        <v>1119</v>
      </c>
      <c r="X356" t="s">
        <v>59</v>
      </c>
      <c r="Y356" t="s">
        <v>479</v>
      </c>
    </row>
    <row r="357" spans="1:25" ht="16" x14ac:dyDescent="0.2">
      <c r="A357" t="s">
        <v>474</v>
      </c>
      <c r="B357" t="s">
        <v>1132</v>
      </c>
      <c r="C357" t="s">
        <v>474</v>
      </c>
      <c r="D357" t="s">
        <v>474</v>
      </c>
      <c r="E357" t="s">
        <v>36</v>
      </c>
      <c r="F357" t="s">
        <v>1057</v>
      </c>
      <c r="G357" t="s">
        <v>1133</v>
      </c>
      <c r="H357" t="s">
        <v>474</v>
      </c>
      <c r="I357" t="s">
        <v>1134</v>
      </c>
      <c r="J357" t="s">
        <v>474</v>
      </c>
      <c r="K357" t="s">
        <v>474</v>
      </c>
      <c r="L357" t="s">
        <v>474</v>
      </c>
      <c r="M357" t="s">
        <v>474</v>
      </c>
      <c r="N357" t="s">
        <v>474</v>
      </c>
      <c r="O357" t="s">
        <v>474</v>
      </c>
      <c r="P357" t="s">
        <v>474</v>
      </c>
      <c r="Q357" t="s">
        <v>474</v>
      </c>
      <c r="R357" t="s">
        <v>474</v>
      </c>
      <c r="S357" t="s">
        <v>474</v>
      </c>
      <c r="T357" t="s">
        <v>474</v>
      </c>
      <c r="U357" t="s">
        <v>474</v>
      </c>
      <c r="V357" t="s">
        <v>522</v>
      </c>
      <c r="W357" t="s">
        <v>1135</v>
      </c>
      <c r="X357" t="s">
        <v>59</v>
      </c>
      <c r="Y357" t="s">
        <v>479</v>
      </c>
    </row>
    <row r="358" spans="1:25" ht="16" x14ac:dyDescent="0.2">
      <c r="A358" t="s">
        <v>474</v>
      </c>
      <c r="B358" t="s">
        <v>1136</v>
      </c>
      <c r="C358" t="s">
        <v>474</v>
      </c>
      <c r="D358" t="s">
        <v>474</v>
      </c>
      <c r="E358" t="s">
        <v>36</v>
      </c>
      <c r="F358" t="s">
        <v>1057</v>
      </c>
      <c r="G358" t="s">
        <v>1133</v>
      </c>
      <c r="H358" t="s">
        <v>474</v>
      </c>
      <c r="I358" t="s">
        <v>1134</v>
      </c>
      <c r="J358" t="s">
        <v>474</v>
      </c>
      <c r="K358" t="s">
        <v>474</v>
      </c>
      <c r="L358" t="s">
        <v>474</v>
      </c>
      <c r="M358" t="s">
        <v>474</v>
      </c>
      <c r="N358" t="s">
        <v>474</v>
      </c>
      <c r="O358" t="s">
        <v>474</v>
      </c>
      <c r="P358" t="s">
        <v>474</v>
      </c>
      <c r="Q358" t="s">
        <v>474</v>
      </c>
      <c r="R358" t="s">
        <v>474</v>
      </c>
      <c r="S358" t="s">
        <v>474</v>
      </c>
      <c r="T358" t="s">
        <v>474</v>
      </c>
      <c r="U358" t="s">
        <v>474</v>
      </c>
      <c r="V358" t="s">
        <v>1113</v>
      </c>
      <c r="W358" t="s">
        <v>1135</v>
      </c>
      <c r="X358" t="s">
        <v>30</v>
      </c>
      <c r="Y358" t="s">
        <v>476</v>
      </c>
    </row>
    <row r="359" spans="1:25" ht="16" x14ac:dyDescent="0.2">
      <c r="A359" t="s">
        <v>474</v>
      </c>
      <c r="B359" t="s">
        <v>1137</v>
      </c>
      <c r="C359" t="s">
        <v>474</v>
      </c>
      <c r="D359" t="s">
        <v>474</v>
      </c>
      <c r="E359" t="s">
        <v>36</v>
      </c>
      <c r="F359" t="s">
        <v>1074</v>
      </c>
      <c r="G359" t="s">
        <v>1123</v>
      </c>
      <c r="H359" t="s">
        <v>474</v>
      </c>
      <c r="I359" t="s">
        <v>1124</v>
      </c>
      <c r="J359" t="s">
        <v>474</v>
      </c>
      <c r="K359" t="s">
        <v>474</v>
      </c>
      <c r="L359" t="s">
        <v>474</v>
      </c>
      <c r="M359" t="s">
        <v>474</v>
      </c>
      <c r="N359" t="s">
        <v>474</v>
      </c>
      <c r="O359" t="s">
        <v>474</v>
      </c>
      <c r="P359" t="s">
        <v>474</v>
      </c>
      <c r="Q359" t="s">
        <v>474</v>
      </c>
      <c r="R359" t="s">
        <v>474</v>
      </c>
      <c r="S359" t="s">
        <v>474</v>
      </c>
      <c r="T359" t="s">
        <v>474</v>
      </c>
      <c r="U359" t="s">
        <v>474</v>
      </c>
      <c r="V359" t="s">
        <v>1138</v>
      </c>
      <c r="W359" t="s">
        <v>1126</v>
      </c>
      <c r="X359" t="s">
        <v>59</v>
      </c>
      <c r="Y359" t="s">
        <v>479</v>
      </c>
    </row>
    <row r="360" spans="1:25" ht="16" x14ac:dyDescent="0.2">
      <c r="A360" t="s">
        <v>474</v>
      </c>
      <c r="B360" t="s">
        <v>1139</v>
      </c>
      <c r="C360" t="s">
        <v>474</v>
      </c>
      <c r="D360" t="s">
        <v>474</v>
      </c>
      <c r="E360" t="s">
        <v>36</v>
      </c>
      <c r="F360" t="s">
        <v>1057</v>
      </c>
      <c r="G360" t="s">
        <v>1133</v>
      </c>
      <c r="H360" t="s">
        <v>474</v>
      </c>
      <c r="I360" t="s">
        <v>1134</v>
      </c>
      <c r="J360" t="s">
        <v>474</v>
      </c>
      <c r="K360" t="s">
        <v>474</v>
      </c>
      <c r="L360" t="s">
        <v>474</v>
      </c>
      <c r="M360" t="s">
        <v>474</v>
      </c>
      <c r="N360" t="s">
        <v>474</v>
      </c>
      <c r="O360" t="s">
        <v>474</v>
      </c>
      <c r="P360" t="s">
        <v>474</v>
      </c>
      <c r="Q360" t="s">
        <v>474</v>
      </c>
      <c r="R360" t="s">
        <v>474</v>
      </c>
      <c r="S360" t="s">
        <v>474</v>
      </c>
      <c r="T360" t="s">
        <v>474</v>
      </c>
      <c r="U360" t="s">
        <v>474</v>
      </c>
      <c r="V360" t="s">
        <v>1129</v>
      </c>
      <c r="W360" t="s">
        <v>1135</v>
      </c>
      <c r="X360" t="s">
        <v>61</v>
      </c>
      <c r="Y360" t="s">
        <v>482</v>
      </c>
    </row>
    <row r="361" spans="1:25" ht="16" x14ac:dyDescent="0.2">
      <c r="A361" t="s">
        <v>474</v>
      </c>
      <c r="B361" t="s">
        <v>1140</v>
      </c>
      <c r="C361" t="s">
        <v>474</v>
      </c>
      <c r="D361" t="s">
        <v>474</v>
      </c>
      <c r="E361" t="s">
        <v>36</v>
      </c>
      <c r="F361" t="s">
        <v>1074</v>
      </c>
      <c r="G361" t="s">
        <v>1123</v>
      </c>
      <c r="H361" t="s">
        <v>474</v>
      </c>
      <c r="I361" t="s">
        <v>1124</v>
      </c>
      <c r="J361" t="s">
        <v>474</v>
      </c>
      <c r="K361" t="s">
        <v>474</v>
      </c>
      <c r="L361" t="s">
        <v>474</v>
      </c>
      <c r="M361" t="s">
        <v>474</v>
      </c>
      <c r="N361" t="s">
        <v>474</v>
      </c>
      <c r="O361" t="s">
        <v>474</v>
      </c>
      <c r="P361" t="s">
        <v>474</v>
      </c>
      <c r="Q361" t="s">
        <v>474</v>
      </c>
      <c r="R361" t="s">
        <v>474</v>
      </c>
      <c r="S361" t="s">
        <v>474</v>
      </c>
      <c r="T361" t="s">
        <v>474</v>
      </c>
      <c r="U361" t="s">
        <v>474</v>
      </c>
      <c r="V361" t="s">
        <v>1141</v>
      </c>
      <c r="W361" t="s">
        <v>1126</v>
      </c>
      <c r="X361" t="s">
        <v>30</v>
      </c>
      <c r="Y361" t="s">
        <v>476</v>
      </c>
    </row>
    <row r="362" spans="1:25" ht="16" x14ac:dyDescent="0.2">
      <c r="A362" t="s">
        <v>474</v>
      </c>
      <c r="B362" t="s">
        <v>593</v>
      </c>
      <c r="C362" t="s">
        <v>474</v>
      </c>
      <c r="D362" t="s">
        <v>474</v>
      </c>
      <c r="E362" t="s">
        <v>36</v>
      </c>
      <c r="F362" t="s">
        <v>498</v>
      </c>
      <c r="G362" t="s">
        <v>154</v>
      </c>
      <c r="H362" t="s">
        <v>474</v>
      </c>
      <c r="I362" t="s">
        <v>155</v>
      </c>
      <c r="J362" t="s">
        <v>474</v>
      </c>
      <c r="K362" t="s">
        <v>474</v>
      </c>
      <c r="L362" t="s">
        <v>474</v>
      </c>
      <c r="M362" t="s">
        <v>474</v>
      </c>
      <c r="N362" t="s">
        <v>474</v>
      </c>
      <c r="O362" t="s">
        <v>474</v>
      </c>
      <c r="P362" t="s">
        <v>474</v>
      </c>
      <c r="Q362" t="s">
        <v>474</v>
      </c>
      <c r="R362" t="s">
        <v>474</v>
      </c>
      <c r="S362" t="s">
        <v>474</v>
      </c>
      <c r="T362" t="s">
        <v>474</v>
      </c>
      <c r="U362" t="s">
        <v>474</v>
      </c>
      <c r="V362" t="s">
        <v>552</v>
      </c>
      <c r="W362" t="s">
        <v>39</v>
      </c>
      <c r="X362" t="s">
        <v>30</v>
      </c>
      <c r="Y362" t="s">
        <v>476</v>
      </c>
    </row>
    <row r="363" spans="1:25" ht="16" x14ac:dyDescent="0.2">
      <c r="A363" t="s">
        <v>474</v>
      </c>
      <c r="B363" t="s">
        <v>593</v>
      </c>
      <c r="C363" t="s">
        <v>474</v>
      </c>
      <c r="D363" t="s">
        <v>474</v>
      </c>
      <c r="E363" t="s">
        <v>43</v>
      </c>
      <c r="F363" t="s">
        <v>498</v>
      </c>
      <c r="G363" t="s">
        <v>156</v>
      </c>
      <c r="H363" t="s">
        <v>474</v>
      </c>
      <c r="I363" t="s">
        <v>157</v>
      </c>
      <c r="J363" t="s">
        <v>474</v>
      </c>
      <c r="K363" t="s">
        <v>474</v>
      </c>
      <c r="L363" t="s">
        <v>474</v>
      </c>
      <c r="M363" t="s">
        <v>474</v>
      </c>
      <c r="N363" t="s">
        <v>474</v>
      </c>
      <c r="O363" t="s">
        <v>474</v>
      </c>
      <c r="P363" t="s">
        <v>474</v>
      </c>
      <c r="Q363" t="s">
        <v>474</v>
      </c>
      <c r="R363" t="s">
        <v>474</v>
      </c>
      <c r="S363" t="s">
        <v>474</v>
      </c>
      <c r="T363" t="s">
        <v>474</v>
      </c>
      <c r="U363" t="s">
        <v>474</v>
      </c>
      <c r="V363" t="s">
        <v>1142</v>
      </c>
      <c r="W363" t="s">
        <v>158</v>
      </c>
      <c r="X363" t="s">
        <v>30</v>
      </c>
      <c r="Y363" t="s">
        <v>476</v>
      </c>
    </row>
    <row r="364" spans="1:25" ht="16" x14ac:dyDescent="0.2">
      <c r="A364" t="s">
        <v>474</v>
      </c>
      <c r="B364" t="s">
        <v>593</v>
      </c>
      <c r="C364" t="s">
        <v>474</v>
      </c>
      <c r="D364" t="s">
        <v>474</v>
      </c>
      <c r="E364" t="s">
        <v>47</v>
      </c>
      <c r="F364" t="s">
        <v>498</v>
      </c>
      <c r="G364" t="s">
        <v>159</v>
      </c>
      <c r="H364" t="s">
        <v>474</v>
      </c>
      <c r="I364" t="s">
        <v>160</v>
      </c>
      <c r="J364" t="s">
        <v>474</v>
      </c>
      <c r="K364" t="s">
        <v>474</v>
      </c>
      <c r="L364" t="s">
        <v>474</v>
      </c>
      <c r="M364" t="s">
        <v>474</v>
      </c>
      <c r="N364" t="s">
        <v>474</v>
      </c>
      <c r="O364" t="s">
        <v>474</v>
      </c>
      <c r="P364" t="s">
        <v>474</v>
      </c>
      <c r="Q364" t="s">
        <v>474</v>
      </c>
      <c r="R364" t="s">
        <v>474</v>
      </c>
      <c r="S364" t="s">
        <v>474</v>
      </c>
      <c r="T364" t="s">
        <v>474</v>
      </c>
      <c r="U364" t="s">
        <v>474</v>
      </c>
      <c r="V364" t="s">
        <v>1142</v>
      </c>
      <c r="W364" t="s">
        <v>161</v>
      </c>
      <c r="X364" t="s">
        <v>30</v>
      </c>
      <c r="Y364" t="s">
        <v>476</v>
      </c>
    </row>
    <row r="365" spans="1:25" ht="16" x14ac:dyDescent="0.2">
      <c r="A365" t="s">
        <v>474</v>
      </c>
      <c r="B365" t="s">
        <v>593</v>
      </c>
      <c r="C365" t="s">
        <v>474</v>
      </c>
      <c r="D365" t="s">
        <v>474</v>
      </c>
      <c r="E365" t="s">
        <v>51</v>
      </c>
      <c r="F365" t="s">
        <v>498</v>
      </c>
      <c r="G365" t="s">
        <v>162</v>
      </c>
      <c r="H365" t="s">
        <v>474</v>
      </c>
      <c r="I365" t="s">
        <v>163</v>
      </c>
      <c r="J365" t="s">
        <v>474</v>
      </c>
      <c r="K365" t="s">
        <v>474</v>
      </c>
      <c r="L365" t="s">
        <v>474</v>
      </c>
      <c r="M365" t="s">
        <v>474</v>
      </c>
      <c r="N365" t="s">
        <v>474</v>
      </c>
      <c r="O365" t="s">
        <v>474</v>
      </c>
      <c r="P365" t="s">
        <v>474</v>
      </c>
      <c r="Q365" t="s">
        <v>474</v>
      </c>
      <c r="R365" t="s">
        <v>474</v>
      </c>
      <c r="S365" t="s">
        <v>474</v>
      </c>
      <c r="T365" t="s">
        <v>474</v>
      </c>
      <c r="U365" t="s">
        <v>474</v>
      </c>
      <c r="V365" t="s">
        <v>552</v>
      </c>
      <c r="W365" t="s">
        <v>164</v>
      </c>
      <c r="X365" t="s">
        <v>30</v>
      </c>
      <c r="Y365" t="s">
        <v>476</v>
      </c>
    </row>
    <row r="366" spans="1:25" ht="16" x14ac:dyDescent="0.2">
      <c r="A366" t="s">
        <v>474</v>
      </c>
      <c r="B366" t="s">
        <v>593</v>
      </c>
      <c r="C366" t="s">
        <v>474</v>
      </c>
      <c r="D366" t="s">
        <v>474</v>
      </c>
      <c r="E366" t="s">
        <v>55</v>
      </c>
      <c r="F366" t="s">
        <v>498</v>
      </c>
      <c r="G366" t="s">
        <v>165</v>
      </c>
      <c r="H366" t="s">
        <v>474</v>
      </c>
      <c r="I366" t="s">
        <v>166</v>
      </c>
      <c r="J366" t="s">
        <v>474</v>
      </c>
      <c r="K366" t="s">
        <v>474</v>
      </c>
      <c r="L366" t="s">
        <v>474</v>
      </c>
      <c r="M366" t="s">
        <v>474</v>
      </c>
      <c r="N366" t="s">
        <v>474</v>
      </c>
      <c r="O366" t="s">
        <v>474</v>
      </c>
      <c r="P366" t="s">
        <v>474</v>
      </c>
      <c r="Q366" t="s">
        <v>474</v>
      </c>
      <c r="R366" t="s">
        <v>474</v>
      </c>
      <c r="S366" t="s">
        <v>474</v>
      </c>
      <c r="T366" t="s">
        <v>474</v>
      </c>
      <c r="U366" t="s">
        <v>474</v>
      </c>
      <c r="V366" t="s">
        <v>549</v>
      </c>
      <c r="W366" t="s">
        <v>58</v>
      </c>
      <c r="X366" t="s">
        <v>30</v>
      </c>
      <c r="Y366" t="s">
        <v>476</v>
      </c>
    </row>
    <row r="367" spans="1:25" ht="16" x14ac:dyDescent="0.2">
      <c r="A367" t="s">
        <v>474</v>
      </c>
      <c r="B367" t="s">
        <v>560</v>
      </c>
      <c r="C367" t="s">
        <v>474</v>
      </c>
      <c r="D367" t="s">
        <v>474</v>
      </c>
      <c r="E367" t="s">
        <v>36</v>
      </c>
      <c r="F367" t="s">
        <v>581</v>
      </c>
      <c r="G367" t="s">
        <v>561</v>
      </c>
      <c r="H367" t="s">
        <v>474</v>
      </c>
      <c r="I367" t="s">
        <v>562</v>
      </c>
      <c r="J367" t="s">
        <v>474</v>
      </c>
      <c r="K367" t="s">
        <v>474</v>
      </c>
      <c r="L367" t="s">
        <v>474</v>
      </c>
      <c r="M367" t="s">
        <v>474</v>
      </c>
      <c r="N367" t="s">
        <v>474</v>
      </c>
      <c r="O367" t="s">
        <v>474</v>
      </c>
      <c r="P367" t="s">
        <v>474</v>
      </c>
      <c r="Q367" t="s">
        <v>474</v>
      </c>
      <c r="R367" t="s">
        <v>474</v>
      </c>
      <c r="S367" t="s">
        <v>474</v>
      </c>
      <c r="T367" t="s">
        <v>474</v>
      </c>
      <c r="U367" t="s">
        <v>474</v>
      </c>
      <c r="V367" t="s">
        <v>515</v>
      </c>
      <c r="W367" t="s">
        <v>563</v>
      </c>
      <c r="X367" t="s">
        <v>30</v>
      </c>
      <c r="Y367" t="s">
        <v>476</v>
      </c>
    </row>
    <row r="368" spans="1:25" ht="16" x14ac:dyDescent="0.2">
      <c r="A368" t="s">
        <v>474</v>
      </c>
      <c r="B368" t="s">
        <v>560</v>
      </c>
      <c r="C368" t="s">
        <v>474</v>
      </c>
      <c r="D368" t="s">
        <v>474</v>
      </c>
      <c r="E368" t="s">
        <v>51</v>
      </c>
      <c r="F368" t="s">
        <v>581</v>
      </c>
      <c r="G368" t="s">
        <v>570</v>
      </c>
      <c r="H368" t="s">
        <v>474</v>
      </c>
      <c r="I368" t="s">
        <v>571</v>
      </c>
      <c r="J368" t="s">
        <v>474</v>
      </c>
      <c r="K368" t="s">
        <v>474</v>
      </c>
      <c r="L368" t="s">
        <v>474</v>
      </c>
      <c r="M368" t="s">
        <v>474</v>
      </c>
      <c r="N368" t="s">
        <v>474</v>
      </c>
      <c r="O368" t="s">
        <v>474</v>
      </c>
      <c r="P368" t="s">
        <v>474</v>
      </c>
      <c r="Q368" t="s">
        <v>474</v>
      </c>
      <c r="R368" t="s">
        <v>474</v>
      </c>
      <c r="S368" t="s">
        <v>474</v>
      </c>
      <c r="T368" t="s">
        <v>474</v>
      </c>
      <c r="U368" t="s">
        <v>474</v>
      </c>
      <c r="V368" t="s">
        <v>554</v>
      </c>
      <c r="W368" t="s">
        <v>572</v>
      </c>
      <c r="X368" t="s">
        <v>30</v>
      </c>
      <c r="Y368" t="s">
        <v>476</v>
      </c>
    </row>
    <row r="369" spans="1:25" ht="16" x14ac:dyDescent="0.2">
      <c r="A369" t="s">
        <v>474</v>
      </c>
      <c r="B369" t="s">
        <v>560</v>
      </c>
      <c r="C369" t="s">
        <v>474</v>
      </c>
      <c r="D369" t="s">
        <v>474</v>
      </c>
      <c r="E369" t="s">
        <v>55</v>
      </c>
      <c r="F369" t="s">
        <v>581</v>
      </c>
      <c r="G369" t="s">
        <v>573</v>
      </c>
      <c r="H369" t="s">
        <v>474</v>
      </c>
      <c r="I369" t="s">
        <v>574</v>
      </c>
      <c r="J369" t="s">
        <v>474</v>
      </c>
      <c r="K369" t="s">
        <v>474</v>
      </c>
      <c r="L369" t="s">
        <v>474</v>
      </c>
      <c r="M369" t="s">
        <v>474</v>
      </c>
      <c r="N369" t="s">
        <v>474</v>
      </c>
      <c r="O369" t="s">
        <v>474</v>
      </c>
      <c r="P369" t="s">
        <v>474</v>
      </c>
      <c r="Q369" t="s">
        <v>474</v>
      </c>
      <c r="R369" t="s">
        <v>474</v>
      </c>
      <c r="S369" t="s">
        <v>474</v>
      </c>
      <c r="T369" t="s">
        <v>474</v>
      </c>
      <c r="U369" t="s">
        <v>474</v>
      </c>
      <c r="V369" t="s">
        <v>542</v>
      </c>
      <c r="W369" t="s">
        <v>575</v>
      </c>
      <c r="X369" t="s">
        <v>30</v>
      </c>
      <c r="Y369" t="s">
        <v>476</v>
      </c>
    </row>
    <row r="370" spans="1:25" ht="16" x14ac:dyDescent="0.2">
      <c r="A370" t="s">
        <v>474</v>
      </c>
      <c r="B370" t="s">
        <v>576</v>
      </c>
      <c r="C370" t="s">
        <v>474</v>
      </c>
      <c r="D370" t="s">
        <v>474</v>
      </c>
      <c r="E370" t="s">
        <v>36</v>
      </c>
      <c r="F370" t="s">
        <v>581</v>
      </c>
      <c r="G370" t="s">
        <v>561</v>
      </c>
      <c r="H370" t="s">
        <v>474</v>
      </c>
      <c r="I370" t="s">
        <v>562</v>
      </c>
      <c r="J370" t="s">
        <v>474</v>
      </c>
      <c r="K370" t="s">
        <v>474</v>
      </c>
      <c r="L370" t="s">
        <v>474</v>
      </c>
      <c r="M370" t="s">
        <v>474</v>
      </c>
      <c r="N370" t="s">
        <v>474</v>
      </c>
      <c r="O370" t="s">
        <v>474</v>
      </c>
      <c r="P370" t="s">
        <v>474</v>
      </c>
      <c r="Q370" t="s">
        <v>474</v>
      </c>
      <c r="R370" t="s">
        <v>474</v>
      </c>
      <c r="S370" t="s">
        <v>474</v>
      </c>
      <c r="T370" t="s">
        <v>474</v>
      </c>
      <c r="U370" t="s">
        <v>474</v>
      </c>
      <c r="V370" t="s">
        <v>515</v>
      </c>
      <c r="W370" t="s">
        <v>563</v>
      </c>
      <c r="X370" t="s">
        <v>59</v>
      </c>
      <c r="Y370" t="s">
        <v>479</v>
      </c>
    </row>
    <row r="371" spans="1:25" ht="16" x14ac:dyDescent="0.2">
      <c r="A371" t="s">
        <v>474</v>
      </c>
      <c r="B371" t="s">
        <v>576</v>
      </c>
      <c r="C371" t="s">
        <v>474</v>
      </c>
      <c r="D371" t="s">
        <v>474</v>
      </c>
      <c r="E371" t="s">
        <v>43</v>
      </c>
      <c r="F371" t="s">
        <v>581</v>
      </c>
      <c r="G371" t="s">
        <v>564</v>
      </c>
      <c r="H371" t="s">
        <v>474</v>
      </c>
      <c r="I371" t="s">
        <v>565</v>
      </c>
      <c r="J371" t="s">
        <v>474</v>
      </c>
      <c r="K371" t="s">
        <v>474</v>
      </c>
      <c r="L371" t="s">
        <v>474</v>
      </c>
      <c r="M371" t="s">
        <v>474</v>
      </c>
      <c r="N371" t="s">
        <v>474</v>
      </c>
      <c r="O371" t="s">
        <v>474</v>
      </c>
      <c r="P371" t="s">
        <v>474</v>
      </c>
      <c r="Q371" t="s">
        <v>474</v>
      </c>
      <c r="R371" t="s">
        <v>474</v>
      </c>
      <c r="S371" t="s">
        <v>474</v>
      </c>
      <c r="T371" t="s">
        <v>474</v>
      </c>
      <c r="U371" t="s">
        <v>474</v>
      </c>
      <c r="V371" t="s">
        <v>1095</v>
      </c>
      <c r="W371" t="s">
        <v>566</v>
      </c>
      <c r="X371" t="s">
        <v>59</v>
      </c>
      <c r="Y371" t="s">
        <v>479</v>
      </c>
    </row>
    <row r="372" spans="1:25" ht="16" x14ac:dyDescent="0.2">
      <c r="A372" t="s">
        <v>474</v>
      </c>
      <c r="B372" t="s">
        <v>576</v>
      </c>
      <c r="C372" t="s">
        <v>474</v>
      </c>
      <c r="D372" t="s">
        <v>474</v>
      </c>
      <c r="E372" t="s">
        <v>47</v>
      </c>
      <c r="F372" t="s">
        <v>581</v>
      </c>
      <c r="G372" t="s">
        <v>567</v>
      </c>
      <c r="H372" t="s">
        <v>474</v>
      </c>
      <c r="I372" t="s">
        <v>568</v>
      </c>
      <c r="J372" t="s">
        <v>474</v>
      </c>
      <c r="K372" t="s">
        <v>474</v>
      </c>
      <c r="L372" t="s">
        <v>474</v>
      </c>
      <c r="M372" t="s">
        <v>474</v>
      </c>
      <c r="N372" t="s">
        <v>474</v>
      </c>
      <c r="O372" t="s">
        <v>474</v>
      </c>
      <c r="P372" t="s">
        <v>474</v>
      </c>
      <c r="Q372" t="s">
        <v>474</v>
      </c>
      <c r="R372" t="s">
        <v>474</v>
      </c>
      <c r="S372" t="s">
        <v>474</v>
      </c>
      <c r="T372" t="s">
        <v>474</v>
      </c>
      <c r="U372" t="s">
        <v>474</v>
      </c>
      <c r="V372" t="s">
        <v>548</v>
      </c>
      <c r="W372" t="s">
        <v>569</v>
      </c>
      <c r="X372" t="s">
        <v>59</v>
      </c>
      <c r="Y372" t="s">
        <v>479</v>
      </c>
    </row>
    <row r="373" spans="1:25" ht="16" x14ac:dyDescent="0.2">
      <c r="A373" t="s">
        <v>474</v>
      </c>
      <c r="B373" t="s">
        <v>577</v>
      </c>
      <c r="C373" t="s">
        <v>474</v>
      </c>
      <c r="D373" t="s">
        <v>474</v>
      </c>
      <c r="E373" t="s">
        <v>47</v>
      </c>
      <c r="F373" t="s">
        <v>581</v>
      </c>
      <c r="G373" t="s">
        <v>567</v>
      </c>
      <c r="H373" t="s">
        <v>474</v>
      </c>
      <c r="I373" t="s">
        <v>568</v>
      </c>
      <c r="J373" t="s">
        <v>474</v>
      </c>
      <c r="K373" t="s">
        <v>474</v>
      </c>
      <c r="L373" t="s">
        <v>474</v>
      </c>
      <c r="M373" t="s">
        <v>474</v>
      </c>
      <c r="N373" t="s">
        <v>474</v>
      </c>
      <c r="O373" t="s">
        <v>474</v>
      </c>
      <c r="P373" t="s">
        <v>474</v>
      </c>
      <c r="Q373" t="s">
        <v>474</v>
      </c>
      <c r="R373" t="s">
        <v>474</v>
      </c>
      <c r="S373" t="s">
        <v>474</v>
      </c>
      <c r="T373" t="s">
        <v>474</v>
      </c>
      <c r="U373" t="s">
        <v>474</v>
      </c>
      <c r="V373" t="s">
        <v>551</v>
      </c>
      <c r="W373" t="s">
        <v>569</v>
      </c>
      <c r="X373" t="s">
        <v>61</v>
      </c>
      <c r="Y373" t="s">
        <v>482</v>
      </c>
    </row>
    <row r="374" spans="1:25" ht="16" x14ac:dyDescent="0.2">
      <c r="A374" t="s">
        <v>474</v>
      </c>
      <c r="B374" t="s">
        <v>577</v>
      </c>
      <c r="C374" t="s">
        <v>474</v>
      </c>
      <c r="D374" t="s">
        <v>474</v>
      </c>
      <c r="E374" t="s">
        <v>55</v>
      </c>
      <c r="F374" t="s">
        <v>581</v>
      </c>
      <c r="G374" t="s">
        <v>573</v>
      </c>
      <c r="H374" t="s">
        <v>474</v>
      </c>
      <c r="I374" t="s">
        <v>574</v>
      </c>
      <c r="J374" t="s">
        <v>474</v>
      </c>
      <c r="K374" t="s">
        <v>474</v>
      </c>
      <c r="L374" t="s">
        <v>474</v>
      </c>
      <c r="M374" t="s">
        <v>474</v>
      </c>
      <c r="N374" t="s">
        <v>474</v>
      </c>
      <c r="O374" t="s">
        <v>474</v>
      </c>
      <c r="P374" t="s">
        <v>474</v>
      </c>
      <c r="Q374" t="s">
        <v>474</v>
      </c>
      <c r="R374" t="s">
        <v>474</v>
      </c>
      <c r="S374" t="s">
        <v>474</v>
      </c>
      <c r="T374" t="s">
        <v>474</v>
      </c>
      <c r="U374" t="s">
        <v>474</v>
      </c>
      <c r="V374" t="s">
        <v>516</v>
      </c>
      <c r="W374" t="s">
        <v>575</v>
      </c>
      <c r="X374" t="s">
        <v>61</v>
      </c>
      <c r="Y374" t="s">
        <v>482</v>
      </c>
    </row>
    <row r="375" spans="1:25" ht="16" x14ac:dyDescent="0.2">
      <c r="A375" t="s">
        <v>474</v>
      </c>
      <c r="B375" t="s">
        <v>31</v>
      </c>
      <c r="C375" t="s">
        <v>474</v>
      </c>
      <c r="D375" t="s">
        <v>474</v>
      </c>
      <c r="E375" t="s">
        <v>36</v>
      </c>
      <c r="F375" t="s">
        <v>484</v>
      </c>
      <c r="G375" t="s">
        <v>37</v>
      </c>
      <c r="H375" t="s">
        <v>474</v>
      </c>
      <c r="I375" t="s">
        <v>38</v>
      </c>
      <c r="J375" t="s">
        <v>474</v>
      </c>
      <c r="K375" t="s">
        <v>474</v>
      </c>
      <c r="L375" t="s">
        <v>474</v>
      </c>
      <c r="M375" t="s">
        <v>474</v>
      </c>
      <c r="N375" t="s">
        <v>474</v>
      </c>
      <c r="O375" t="s">
        <v>474</v>
      </c>
      <c r="P375" t="s">
        <v>474</v>
      </c>
      <c r="Q375" t="s">
        <v>474</v>
      </c>
      <c r="R375" t="s">
        <v>474</v>
      </c>
      <c r="S375" t="s">
        <v>474</v>
      </c>
      <c r="T375" t="s">
        <v>474</v>
      </c>
      <c r="U375" t="s">
        <v>474</v>
      </c>
      <c r="V375" t="s">
        <v>543</v>
      </c>
      <c r="W375" t="s">
        <v>39</v>
      </c>
      <c r="X375" t="s">
        <v>30</v>
      </c>
      <c r="Y375" t="s">
        <v>476</v>
      </c>
    </row>
    <row r="376" spans="1:25" ht="16" x14ac:dyDescent="0.2">
      <c r="A376" t="s">
        <v>474</v>
      </c>
      <c r="B376" t="s">
        <v>31</v>
      </c>
      <c r="C376" t="s">
        <v>474</v>
      </c>
      <c r="D376" t="s">
        <v>474</v>
      </c>
      <c r="E376" t="s">
        <v>43</v>
      </c>
      <c r="F376" t="s">
        <v>484</v>
      </c>
      <c r="G376" t="s">
        <v>44</v>
      </c>
      <c r="H376" t="s">
        <v>474</v>
      </c>
      <c r="I376" t="s">
        <v>45</v>
      </c>
      <c r="J376" t="s">
        <v>474</v>
      </c>
      <c r="K376" t="s">
        <v>474</v>
      </c>
      <c r="L376" t="s">
        <v>474</v>
      </c>
      <c r="M376" t="s">
        <v>474</v>
      </c>
      <c r="N376" t="s">
        <v>474</v>
      </c>
      <c r="O376" t="s">
        <v>474</v>
      </c>
      <c r="P376" t="s">
        <v>474</v>
      </c>
      <c r="Q376" t="s">
        <v>474</v>
      </c>
      <c r="R376" t="s">
        <v>474</v>
      </c>
      <c r="S376" t="s">
        <v>474</v>
      </c>
      <c r="T376" t="s">
        <v>474</v>
      </c>
      <c r="U376" t="s">
        <v>474</v>
      </c>
      <c r="V376" t="s">
        <v>534</v>
      </c>
      <c r="W376" t="s">
        <v>46</v>
      </c>
      <c r="X376" t="s">
        <v>30</v>
      </c>
      <c r="Y376" t="s">
        <v>476</v>
      </c>
    </row>
    <row r="377" spans="1:25" ht="16" x14ac:dyDescent="0.2">
      <c r="A377" t="s">
        <v>474</v>
      </c>
      <c r="B377" t="s">
        <v>31</v>
      </c>
      <c r="C377" t="s">
        <v>474</v>
      </c>
      <c r="D377" t="s">
        <v>474</v>
      </c>
      <c r="E377" t="s">
        <v>47</v>
      </c>
      <c r="F377" t="s">
        <v>484</v>
      </c>
      <c r="G377" t="s">
        <v>48</v>
      </c>
      <c r="H377" t="s">
        <v>474</v>
      </c>
      <c r="I377" t="s">
        <v>49</v>
      </c>
      <c r="J377" t="s">
        <v>474</v>
      </c>
      <c r="K377" t="s">
        <v>474</v>
      </c>
      <c r="L377" t="s">
        <v>474</v>
      </c>
      <c r="M377" t="s">
        <v>474</v>
      </c>
      <c r="N377" t="s">
        <v>474</v>
      </c>
      <c r="O377" t="s">
        <v>474</v>
      </c>
      <c r="P377" t="s">
        <v>474</v>
      </c>
      <c r="Q377" t="s">
        <v>474</v>
      </c>
      <c r="R377" t="s">
        <v>474</v>
      </c>
      <c r="S377" t="s">
        <v>474</v>
      </c>
      <c r="T377" t="s">
        <v>474</v>
      </c>
      <c r="U377" t="s">
        <v>474</v>
      </c>
      <c r="V377" t="s">
        <v>543</v>
      </c>
      <c r="W377" t="s">
        <v>50</v>
      </c>
      <c r="X377" t="s">
        <v>30</v>
      </c>
      <c r="Y377" t="s">
        <v>476</v>
      </c>
    </row>
    <row r="378" spans="1:25" ht="16" x14ac:dyDescent="0.2">
      <c r="A378" t="s">
        <v>474</v>
      </c>
      <c r="B378" t="s">
        <v>31</v>
      </c>
      <c r="C378" t="s">
        <v>474</v>
      </c>
      <c r="D378" t="s">
        <v>474</v>
      </c>
      <c r="E378" t="s">
        <v>51</v>
      </c>
      <c r="F378" t="s">
        <v>484</v>
      </c>
      <c r="G378" t="s">
        <v>52</v>
      </c>
      <c r="H378" t="s">
        <v>474</v>
      </c>
      <c r="I378" t="s">
        <v>53</v>
      </c>
      <c r="J378" t="s">
        <v>474</v>
      </c>
      <c r="K378" t="s">
        <v>474</v>
      </c>
      <c r="L378" t="s">
        <v>474</v>
      </c>
      <c r="M378" t="s">
        <v>474</v>
      </c>
      <c r="N378" t="s">
        <v>474</v>
      </c>
      <c r="O378" t="s">
        <v>474</v>
      </c>
      <c r="P378" t="s">
        <v>474</v>
      </c>
      <c r="Q378" t="s">
        <v>474</v>
      </c>
      <c r="R378" t="s">
        <v>474</v>
      </c>
      <c r="S378" t="s">
        <v>474</v>
      </c>
      <c r="T378" t="s">
        <v>474</v>
      </c>
      <c r="U378" t="s">
        <v>474</v>
      </c>
      <c r="V378" t="s">
        <v>543</v>
      </c>
      <c r="W378" t="s">
        <v>54</v>
      </c>
      <c r="X378" t="s">
        <v>30</v>
      </c>
      <c r="Y378" t="s">
        <v>476</v>
      </c>
    </row>
    <row r="379" spans="1:25" ht="16" x14ac:dyDescent="0.2">
      <c r="A379" t="s">
        <v>474</v>
      </c>
      <c r="B379" t="s">
        <v>31</v>
      </c>
      <c r="C379" t="s">
        <v>474</v>
      </c>
      <c r="D379" t="s">
        <v>474</v>
      </c>
      <c r="E379" t="s">
        <v>55</v>
      </c>
      <c r="F379" t="s">
        <v>484</v>
      </c>
      <c r="G379" t="s">
        <v>56</v>
      </c>
      <c r="H379" t="s">
        <v>474</v>
      </c>
      <c r="I379" t="s">
        <v>57</v>
      </c>
      <c r="J379" t="s">
        <v>474</v>
      </c>
      <c r="K379" t="s">
        <v>474</v>
      </c>
      <c r="L379" t="s">
        <v>474</v>
      </c>
      <c r="M379" t="s">
        <v>474</v>
      </c>
      <c r="N379" t="s">
        <v>474</v>
      </c>
      <c r="O379" t="s">
        <v>474</v>
      </c>
      <c r="P379" t="s">
        <v>474</v>
      </c>
      <c r="Q379" t="s">
        <v>474</v>
      </c>
      <c r="R379" t="s">
        <v>474</v>
      </c>
      <c r="S379" t="s">
        <v>474</v>
      </c>
      <c r="T379" t="s">
        <v>474</v>
      </c>
      <c r="U379" t="s">
        <v>474</v>
      </c>
      <c r="V379" t="s">
        <v>540</v>
      </c>
      <c r="W379" t="s">
        <v>58</v>
      </c>
      <c r="X379" t="s">
        <v>30</v>
      </c>
      <c r="Y379" t="s">
        <v>476</v>
      </c>
    </row>
    <row r="380" spans="1:25" ht="16" x14ac:dyDescent="0.2">
      <c r="A380" t="s">
        <v>474</v>
      </c>
      <c r="B380" t="s">
        <v>60</v>
      </c>
      <c r="C380" t="s">
        <v>474</v>
      </c>
      <c r="D380" t="s">
        <v>474</v>
      </c>
      <c r="E380" t="s">
        <v>36</v>
      </c>
      <c r="F380" t="s">
        <v>484</v>
      </c>
      <c r="G380" t="s">
        <v>37</v>
      </c>
      <c r="H380" t="s">
        <v>474</v>
      </c>
      <c r="I380" t="s">
        <v>38</v>
      </c>
      <c r="J380" t="s">
        <v>474</v>
      </c>
      <c r="K380" t="s">
        <v>474</v>
      </c>
      <c r="L380" t="s">
        <v>474</v>
      </c>
      <c r="M380" t="s">
        <v>474</v>
      </c>
      <c r="N380" t="s">
        <v>474</v>
      </c>
      <c r="O380" t="s">
        <v>474</v>
      </c>
      <c r="P380" t="s">
        <v>474</v>
      </c>
      <c r="Q380" t="s">
        <v>474</v>
      </c>
      <c r="R380" t="s">
        <v>474</v>
      </c>
      <c r="S380" t="s">
        <v>474</v>
      </c>
      <c r="T380" t="s">
        <v>474</v>
      </c>
      <c r="U380" t="s">
        <v>474</v>
      </c>
      <c r="V380" t="s">
        <v>543</v>
      </c>
      <c r="W380" t="s">
        <v>39</v>
      </c>
      <c r="X380" t="s">
        <v>59</v>
      </c>
      <c r="Y380" t="s">
        <v>479</v>
      </c>
    </row>
    <row r="381" spans="1:25" ht="16" x14ac:dyDescent="0.2">
      <c r="A381" t="s">
        <v>474</v>
      </c>
      <c r="B381" t="s">
        <v>60</v>
      </c>
      <c r="C381" t="s">
        <v>474</v>
      </c>
      <c r="D381" t="s">
        <v>474</v>
      </c>
      <c r="E381" t="s">
        <v>43</v>
      </c>
      <c r="F381" t="s">
        <v>484</v>
      </c>
      <c r="G381" t="s">
        <v>44</v>
      </c>
      <c r="H381" t="s">
        <v>474</v>
      </c>
      <c r="I381" t="s">
        <v>45</v>
      </c>
      <c r="J381" t="s">
        <v>474</v>
      </c>
      <c r="K381" t="s">
        <v>474</v>
      </c>
      <c r="L381" t="s">
        <v>474</v>
      </c>
      <c r="M381" t="s">
        <v>474</v>
      </c>
      <c r="N381" t="s">
        <v>474</v>
      </c>
      <c r="O381" t="s">
        <v>474</v>
      </c>
      <c r="P381" t="s">
        <v>474</v>
      </c>
      <c r="Q381" t="s">
        <v>474</v>
      </c>
      <c r="R381" t="s">
        <v>474</v>
      </c>
      <c r="S381" t="s">
        <v>474</v>
      </c>
      <c r="T381" t="s">
        <v>474</v>
      </c>
      <c r="U381" t="s">
        <v>474</v>
      </c>
      <c r="V381" t="s">
        <v>551</v>
      </c>
      <c r="W381" t="s">
        <v>46</v>
      </c>
      <c r="X381" t="s">
        <v>59</v>
      </c>
      <c r="Y381" t="s">
        <v>479</v>
      </c>
    </row>
    <row r="382" spans="1:25" ht="16" x14ac:dyDescent="0.2">
      <c r="A382" t="s">
        <v>474</v>
      </c>
      <c r="B382" t="s">
        <v>60</v>
      </c>
      <c r="C382" t="s">
        <v>474</v>
      </c>
      <c r="D382" t="s">
        <v>474</v>
      </c>
      <c r="E382" t="s">
        <v>47</v>
      </c>
      <c r="F382" t="s">
        <v>484</v>
      </c>
      <c r="G382" t="s">
        <v>48</v>
      </c>
      <c r="H382" t="s">
        <v>474</v>
      </c>
      <c r="I382" t="s">
        <v>49</v>
      </c>
      <c r="J382" t="s">
        <v>474</v>
      </c>
      <c r="K382" t="s">
        <v>474</v>
      </c>
      <c r="L382" t="s">
        <v>474</v>
      </c>
      <c r="M382" t="s">
        <v>474</v>
      </c>
      <c r="N382" t="s">
        <v>474</v>
      </c>
      <c r="O382" t="s">
        <v>474</v>
      </c>
      <c r="P382" t="s">
        <v>474</v>
      </c>
      <c r="Q382" t="s">
        <v>474</v>
      </c>
      <c r="R382" t="s">
        <v>474</v>
      </c>
      <c r="S382" t="s">
        <v>474</v>
      </c>
      <c r="T382" t="s">
        <v>474</v>
      </c>
      <c r="U382" t="s">
        <v>474</v>
      </c>
      <c r="V382" t="s">
        <v>528</v>
      </c>
      <c r="W382" t="s">
        <v>50</v>
      </c>
      <c r="X382" t="s">
        <v>59</v>
      </c>
      <c r="Y382" t="s">
        <v>479</v>
      </c>
    </row>
    <row r="383" spans="1:25" ht="16" x14ac:dyDescent="0.2">
      <c r="A383" t="s">
        <v>474</v>
      </c>
      <c r="B383" t="s">
        <v>60</v>
      </c>
      <c r="C383" t="s">
        <v>474</v>
      </c>
      <c r="D383" t="s">
        <v>474</v>
      </c>
      <c r="E383" t="s">
        <v>51</v>
      </c>
      <c r="F383" t="s">
        <v>484</v>
      </c>
      <c r="G383" t="s">
        <v>52</v>
      </c>
      <c r="H383" t="s">
        <v>474</v>
      </c>
      <c r="I383" t="s">
        <v>53</v>
      </c>
      <c r="J383" t="s">
        <v>474</v>
      </c>
      <c r="K383" t="s">
        <v>474</v>
      </c>
      <c r="L383" t="s">
        <v>474</v>
      </c>
      <c r="M383" t="s">
        <v>474</v>
      </c>
      <c r="N383" t="s">
        <v>474</v>
      </c>
      <c r="O383" t="s">
        <v>474</v>
      </c>
      <c r="P383" t="s">
        <v>474</v>
      </c>
      <c r="Q383" t="s">
        <v>474</v>
      </c>
      <c r="R383" t="s">
        <v>474</v>
      </c>
      <c r="S383" t="s">
        <v>474</v>
      </c>
      <c r="T383" t="s">
        <v>474</v>
      </c>
      <c r="U383" t="s">
        <v>474</v>
      </c>
      <c r="V383" t="s">
        <v>520</v>
      </c>
      <c r="W383" t="s">
        <v>54</v>
      </c>
      <c r="X383" t="s">
        <v>59</v>
      </c>
      <c r="Y383" t="s">
        <v>479</v>
      </c>
    </row>
    <row r="384" spans="1:25" ht="16" x14ac:dyDescent="0.2">
      <c r="A384" t="s">
        <v>474</v>
      </c>
      <c r="B384" t="s">
        <v>60</v>
      </c>
      <c r="C384" t="s">
        <v>474</v>
      </c>
      <c r="D384" t="s">
        <v>474</v>
      </c>
      <c r="E384" t="s">
        <v>55</v>
      </c>
      <c r="F384" t="s">
        <v>484</v>
      </c>
      <c r="G384" t="s">
        <v>56</v>
      </c>
      <c r="H384" t="s">
        <v>474</v>
      </c>
      <c r="I384" t="s">
        <v>57</v>
      </c>
      <c r="J384" t="s">
        <v>474</v>
      </c>
      <c r="K384" t="s">
        <v>474</v>
      </c>
      <c r="L384" t="s">
        <v>474</v>
      </c>
      <c r="M384" t="s">
        <v>474</v>
      </c>
      <c r="N384" t="s">
        <v>474</v>
      </c>
      <c r="O384" t="s">
        <v>474</v>
      </c>
      <c r="P384" t="s">
        <v>474</v>
      </c>
      <c r="Q384" t="s">
        <v>474</v>
      </c>
      <c r="R384" t="s">
        <v>474</v>
      </c>
      <c r="S384" t="s">
        <v>474</v>
      </c>
      <c r="T384" t="s">
        <v>474</v>
      </c>
      <c r="U384" t="s">
        <v>474</v>
      </c>
      <c r="V384" t="s">
        <v>55</v>
      </c>
      <c r="W384" t="s">
        <v>58</v>
      </c>
      <c r="X384" t="s">
        <v>59</v>
      </c>
      <c r="Y384" t="s">
        <v>479</v>
      </c>
    </row>
    <row r="385" spans="1:25" ht="16" x14ac:dyDescent="0.2">
      <c r="A385" t="s">
        <v>474</v>
      </c>
      <c r="B385" t="s">
        <v>62</v>
      </c>
      <c r="C385" t="s">
        <v>474</v>
      </c>
      <c r="D385" t="s">
        <v>474</v>
      </c>
      <c r="E385" t="s">
        <v>36</v>
      </c>
      <c r="F385" t="s">
        <v>484</v>
      </c>
      <c r="G385" t="s">
        <v>37</v>
      </c>
      <c r="H385" t="s">
        <v>474</v>
      </c>
      <c r="I385" t="s">
        <v>38</v>
      </c>
      <c r="J385" t="s">
        <v>474</v>
      </c>
      <c r="K385" t="s">
        <v>474</v>
      </c>
      <c r="L385" t="s">
        <v>474</v>
      </c>
      <c r="M385" t="s">
        <v>474</v>
      </c>
      <c r="N385" t="s">
        <v>474</v>
      </c>
      <c r="O385" t="s">
        <v>474</v>
      </c>
      <c r="P385" t="s">
        <v>474</v>
      </c>
      <c r="Q385" t="s">
        <v>474</v>
      </c>
      <c r="R385" t="s">
        <v>474</v>
      </c>
      <c r="S385" t="s">
        <v>474</v>
      </c>
      <c r="T385" t="s">
        <v>474</v>
      </c>
      <c r="U385" t="s">
        <v>474</v>
      </c>
      <c r="V385" t="s">
        <v>543</v>
      </c>
      <c r="W385" t="s">
        <v>39</v>
      </c>
      <c r="X385" t="s">
        <v>61</v>
      </c>
      <c r="Y385" t="s">
        <v>482</v>
      </c>
    </row>
    <row r="386" spans="1:25" ht="16" x14ac:dyDescent="0.2">
      <c r="A386" t="s">
        <v>474</v>
      </c>
      <c r="B386" t="s">
        <v>62</v>
      </c>
      <c r="C386" t="s">
        <v>474</v>
      </c>
      <c r="D386" t="s">
        <v>474</v>
      </c>
      <c r="E386" t="s">
        <v>43</v>
      </c>
      <c r="F386" t="s">
        <v>484</v>
      </c>
      <c r="G386" t="s">
        <v>44</v>
      </c>
      <c r="H386" t="s">
        <v>474</v>
      </c>
      <c r="I386" t="s">
        <v>45</v>
      </c>
      <c r="J386" t="s">
        <v>474</v>
      </c>
      <c r="K386" t="s">
        <v>474</v>
      </c>
      <c r="L386" t="s">
        <v>474</v>
      </c>
      <c r="M386" t="s">
        <v>474</v>
      </c>
      <c r="N386" t="s">
        <v>474</v>
      </c>
      <c r="O386" t="s">
        <v>474</v>
      </c>
      <c r="P386" t="s">
        <v>474</v>
      </c>
      <c r="Q386" t="s">
        <v>474</v>
      </c>
      <c r="R386" t="s">
        <v>474</v>
      </c>
      <c r="S386" t="s">
        <v>474</v>
      </c>
      <c r="T386" t="s">
        <v>474</v>
      </c>
      <c r="U386" t="s">
        <v>474</v>
      </c>
      <c r="V386" t="s">
        <v>551</v>
      </c>
      <c r="W386" t="s">
        <v>46</v>
      </c>
      <c r="X386" t="s">
        <v>61</v>
      </c>
      <c r="Y386" t="s">
        <v>482</v>
      </c>
    </row>
    <row r="387" spans="1:25" ht="16" x14ac:dyDescent="0.2">
      <c r="A387" t="s">
        <v>474</v>
      </c>
      <c r="B387" t="s">
        <v>62</v>
      </c>
      <c r="C387" t="s">
        <v>474</v>
      </c>
      <c r="D387" t="s">
        <v>474</v>
      </c>
      <c r="E387" t="s">
        <v>47</v>
      </c>
      <c r="F387" t="s">
        <v>484</v>
      </c>
      <c r="G387" t="s">
        <v>48</v>
      </c>
      <c r="H387" t="s">
        <v>474</v>
      </c>
      <c r="I387" t="s">
        <v>49</v>
      </c>
      <c r="J387" t="s">
        <v>474</v>
      </c>
      <c r="K387" t="s">
        <v>474</v>
      </c>
      <c r="L387" t="s">
        <v>474</v>
      </c>
      <c r="M387" t="s">
        <v>474</v>
      </c>
      <c r="N387" t="s">
        <v>474</v>
      </c>
      <c r="O387" t="s">
        <v>474</v>
      </c>
      <c r="P387" t="s">
        <v>474</v>
      </c>
      <c r="Q387" t="s">
        <v>474</v>
      </c>
      <c r="R387" t="s">
        <v>474</v>
      </c>
      <c r="S387" t="s">
        <v>474</v>
      </c>
      <c r="T387" t="s">
        <v>474</v>
      </c>
      <c r="U387" t="s">
        <v>474</v>
      </c>
      <c r="V387" t="s">
        <v>528</v>
      </c>
      <c r="W387" t="s">
        <v>50</v>
      </c>
      <c r="X387" t="s">
        <v>61</v>
      </c>
      <c r="Y387" t="s">
        <v>482</v>
      </c>
    </row>
    <row r="388" spans="1:25" ht="16" x14ac:dyDescent="0.2">
      <c r="A388" t="s">
        <v>474</v>
      </c>
      <c r="B388" t="s">
        <v>62</v>
      </c>
      <c r="C388" t="s">
        <v>474</v>
      </c>
      <c r="D388" t="s">
        <v>474</v>
      </c>
      <c r="E388" t="s">
        <v>51</v>
      </c>
      <c r="F388" t="s">
        <v>484</v>
      </c>
      <c r="G388" t="s">
        <v>52</v>
      </c>
      <c r="H388" t="s">
        <v>474</v>
      </c>
      <c r="I388" t="s">
        <v>53</v>
      </c>
      <c r="J388" t="s">
        <v>474</v>
      </c>
      <c r="K388" t="s">
        <v>474</v>
      </c>
      <c r="L388" t="s">
        <v>474</v>
      </c>
      <c r="M388" t="s">
        <v>474</v>
      </c>
      <c r="N388" t="s">
        <v>474</v>
      </c>
      <c r="O388" t="s">
        <v>474</v>
      </c>
      <c r="P388" t="s">
        <v>474</v>
      </c>
      <c r="Q388" t="s">
        <v>474</v>
      </c>
      <c r="R388" t="s">
        <v>474</v>
      </c>
      <c r="S388" t="s">
        <v>474</v>
      </c>
      <c r="T388" t="s">
        <v>474</v>
      </c>
      <c r="U388" t="s">
        <v>474</v>
      </c>
      <c r="V388" t="s">
        <v>536</v>
      </c>
      <c r="W388" t="s">
        <v>54</v>
      </c>
      <c r="X388" t="s">
        <v>61</v>
      </c>
      <c r="Y388" t="s">
        <v>482</v>
      </c>
    </row>
    <row r="389" spans="1:25" ht="16" x14ac:dyDescent="0.2">
      <c r="A389" t="s">
        <v>474</v>
      </c>
      <c r="B389" t="s">
        <v>62</v>
      </c>
      <c r="C389" t="s">
        <v>474</v>
      </c>
      <c r="D389" t="s">
        <v>474</v>
      </c>
      <c r="E389" t="s">
        <v>55</v>
      </c>
      <c r="F389" t="s">
        <v>484</v>
      </c>
      <c r="G389" t="s">
        <v>56</v>
      </c>
      <c r="H389" t="s">
        <v>474</v>
      </c>
      <c r="I389" t="s">
        <v>57</v>
      </c>
      <c r="J389" t="s">
        <v>474</v>
      </c>
      <c r="K389" t="s">
        <v>474</v>
      </c>
      <c r="L389" t="s">
        <v>474</v>
      </c>
      <c r="M389" t="s">
        <v>474</v>
      </c>
      <c r="N389" t="s">
        <v>474</v>
      </c>
      <c r="O389" t="s">
        <v>474</v>
      </c>
      <c r="P389" t="s">
        <v>474</v>
      </c>
      <c r="Q389" t="s">
        <v>474</v>
      </c>
      <c r="R389" t="s">
        <v>474</v>
      </c>
      <c r="S389" t="s">
        <v>474</v>
      </c>
      <c r="T389" t="s">
        <v>474</v>
      </c>
      <c r="U389" t="s">
        <v>474</v>
      </c>
      <c r="V389" t="s">
        <v>55</v>
      </c>
      <c r="W389" t="s">
        <v>58</v>
      </c>
      <c r="X389" t="s">
        <v>61</v>
      </c>
      <c r="Y389" t="s">
        <v>482</v>
      </c>
    </row>
    <row r="390" spans="1:25" ht="16" x14ac:dyDescent="0.2">
      <c r="A390" t="s">
        <v>474</v>
      </c>
      <c r="B390" t="s">
        <v>63</v>
      </c>
      <c r="C390" t="s">
        <v>474</v>
      </c>
      <c r="D390" t="s">
        <v>474</v>
      </c>
      <c r="E390" t="s">
        <v>36</v>
      </c>
      <c r="F390" t="s">
        <v>492</v>
      </c>
      <c r="G390" t="s">
        <v>65</v>
      </c>
      <c r="H390" t="s">
        <v>474</v>
      </c>
      <c r="I390" t="s">
        <v>66</v>
      </c>
      <c r="J390" t="s">
        <v>474</v>
      </c>
      <c r="K390" t="s">
        <v>474</v>
      </c>
      <c r="L390" t="s">
        <v>474</v>
      </c>
      <c r="M390" t="s">
        <v>474</v>
      </c>
      <c r="N390" t="s">
        <v>474</v>
      </c>
      <c r="O390" t="s">
        <v>474</v>
      </c>
      <c r="P390" t="s">
        <v>474</v>
      </c>
      <c r="Q390" t="s">
        <v>474</v>
      </c>
      <c r="R390" t="s">
        <v>474</v>
      </c>
      <c r="S390" t="s">
        <v>474</v>
      </c>
      <c r="T390" t="s">
        <v>474</v>
      </c>
      <c r="U390" t="s">
        <v>474</v>
      </c>
      <c r="V390" t="s">
        <v>51</v>
      </c>
      <c r="W390" t="s">
        <v>67</v>
      </c>
      <c r="X390" t="s">
        <v>30</v>
      </c>
      <c r="Y390" t="s">
        <v>476</v>
      </c>
    </row>
    <row r="391" spans="1:25" ht="16" x14ac:dyDescent="0.2">
      <c r="A391" t="s">
        <v>474</v>
      </c>
      <c r="B391" t="s">
        <v>63</v>
      </c>
      <c r="C391" t="s">
        <v>474</v>
      </c>
      <c r="D391" t="s">
        <v>474</v>
      </c>
      <c r="E391" t="s">
        <v>43</v>
      </c>
      <c r="F391" t="s">
        <v>492</v>
      </c>
      <c r="G391" t="s">
        <v>68</v>
      </c>
      <c r="H391" t="s">
        <v>474</v>
      </c>
      <c r="I391" t="s">
        <v>69</v>
      </c>
      <c r="J391" t="s">
        <v>474</v>
      </c>
      <c r="K391" t="s">
        <v>474</v>
      </c>
      <c r="L391" t="s">
        <v>474</v>
      </c>
      <c r="M391" t="s">
        <v>474</v>
      </c>
      <c r="N391" t="s">
        <v>474</v>
      </c>
      <c r="O391" t="s">
        <v>474</v>
      </c>
      <c r="P391" t="s">
        <v>474</v>
      </c>
      <c r="Q391" t="s">
        <v>474</v>
      </c>
      <c r="R391" t="s">
        <v>474</v>
      </c>
      <c r="S391" t="s">
        <v>474</v>
      </c>
      <c r="T391" t="s">
        <v>474</v>
      </c>
      <c r="U391" t="s">
        <v>474</v>
      </c>
      <c r="V391" t="s">
        <v>537</v>
      </c>
      <c r="W391" t="s">
        <v>70</v>
      </c>
      <c r="X391" t="s">
        <v>30</v>
      </c>
      <c r="Y391" t="s">
        <v>476</v>
      </c>
    </row>
    <row r="392" spans="1:25" ht="16" x14ac:dyDescent="0.2">
      <c r="A392" t="s">
        <v>474</v>
      </c>
      <c r="B392" t="s">
        <v>63</v>
      </c>
      <c r="C392" t="s">
        <v>474</v>
      </c>
      <c r="D392" t="s">
        <v>474</v>
      </c>
      <c r="E392" t="s">
        <v>47</v>
      </c>
      <c r="F392" t="s">
        <v>492</v>
      </c>
      <c r="G392" t="s">
        <v>71</v>
      </c>
      <c r="H392" t="s">
        <v>474</v>
      </c>
      <c r="I392" t="s">
        <v>72</v>
      </c>
      <c r="J392" t="s">
        <v>474</v>
      </c>
      <c r="K392" t="s">
        <v>474</v>
      </c>
      <c r="L392" t="s">
        <v>474</v>
      </c>
      <c r="M392" t="s">
        <v>474</v>
      </c>
      <c r="N392" t="s">
        <v>474</v>
      </c>
      <c r="O392" t="s">
        <v>474</v>
      </c>
      <c r="P392" t="s">
        <v>474</v>
      </c>
      <c r="Q392" t="s">
        <v>474</v>
      </c>
      <c r="R392" t="s">
        <v>474</v>
      </c>
      <c r="S392" t="s">
        <v>474</v>
      </c>
      <c r="T392" t="s">
        <v>474</v>
      </c>
      <c r="U392" t="s">
        <v>474</v>
      </c>
      <c r="V392" t="s">
        <v>542</v>
      </c>
      <c r="W392" t="s">
        <v>73</v>
      </c>
      <c r="X392" t="s">
        <v>30</v>
      </c>
      <c r="Y392" t="s">
        <v>476</v>
      </c>
    </row>
    <row r="393" spans="1:25" ht="16" x14ac:dyDescent="0.2">
      <c r="A393" t="s">
        <v>474</v>
      </c>
      <c r="B393" t="s">
        <v>63</v>
      </c>
      <c r="C393" t="s">
        <v>474</v>
      </c>
      <c r="D393" t="s">
        <v>474</v>
      </c>
      <c r="E393" t="s">
        <v>51</v>
      </c>
      <c r="F393" t="s">
        <v>492</v>
      </c>
      <c r="G393" t="s">
        <v>74</v>
      </c>
      <c r="H393" t="s">
        <v>474</v>
      </c>
      <c r="I393" t="s">
        <v>75</v>
      </c>
      <c r="J393" t="s">
        <v>474</v>
      </c>
      <c r="K393" t="s">
        <v>474</v>
      </c>
      <c r="L393" t="s">
        <v>474</v>
      </c>
      <c r="M393" t="s">
        <v>474</v>
      </c>
      <c r="N393" t="s">
        <v>474</v>
      </c>
      <c r="O393" t="s">
        <v>474</v>
      </c>
      <c r="P393" t="s">
        <v>474</v>
      </c>
      <c r="Q393" t="s">
        <v>474</v>
      </c>
      <c r="R393" t="s">
        <v>474</v>
      </c>
      <c r="S393" t="s">
        <v>474</v>
      </c>
      <c r="T393" t="s">
        <v>474</v>
      </c>
      <c r="U393" t="s">
        <v>474</v>
      </c>
      <c r="V393" t="s">
        <v>552</v>
      </c>
      <c r="W393" t="s">
        <v>76</v>
      </c>
      <c r="X393" t="s">
        <v>30</v>
      </c>
      <c r="Y393" t="s">
        <v>476</v>
      </c>
    </row>
    <row r="394" spans="1:25" ht="16" x14ac:dyDescent="0.2">
      <c r="A394" t="s">
        <v>474</v>
      </c>
      <c r="B394" t="s">
        <v>63</v>
      </c>
      <c r="C394" t="s">
        <v>474</v>
      </c>
      <c r="D394" t="s">
        <v>474</v>
      </c>
      <c r="E394" t="s">
        <v>55</v>
      </c>
      <c r="F394" t="s">
        <v>492</v>
      </c>
      <c r="G394" t="s">
        <v>77</v>
      </c>
      <c r="H394" t="s">
        <v>474</v>
      </c>
      <c r="I394" t="s">
        <v>78</v>
      </c>
      <c r="J394" t="s">
        <v>474</v>
      </c>
      <c r="K394" t="s">
        <v>474</v>
      </c>
      <c r="L394" t="s">
        <v>474</v>
      </c>
      <c r="M394" t="s">
        <v>474</v>
      </c>
      <c r="N394" t="s">
        <v>474</v>
      </c>
      <c r="O394" t="s">
        <v>474</v>
      </c>
      <c r="P394" t="s">
        <v>474</v>
      </c>
      <c r="Q394" t="s">
        <v>474</v>
      </c>
      <c r="R394" t="s">
        <v>474</v>
      </c>
      <c r="S394" t="s">
        <v>474</v>
      </c>
      <c r="T394" t="s">
        <v>474</v>
      </c>
      <c r="U394" t="s">
        <v>474</v>
      </c>
      <c r="V394" t="s">
        <v>529</v>
      </c>
      <c r="W394" t="s">
        <v>79</v>
      </c>
      <c r="X394" t="s">
        <v>30</v>
      </c>
      <c r="Y394" t="s">
        <v>476</v>
      </c>
    </row>
    <row r="395" spans="1:25" ht="16" x14ac:dyDescent="0.2">
      <c r="A395" t="s">
        <v>474</v>
      </c>
      <c r="B395" t="s">
        <v>80</v>
      </c>
      <c r="C395" t="s">
        <v>474</v>
      </c>
      <c r="D395" t="s">
        <v>474</v>
      </c>
      <c r="E395" t="s">
        <v>36</v>
      </c>
      <c r="F395" t="s">
        <v>493</v>
      </c>
      <c r="G395" t="s">
        <v>82</v>
      </c>
      <c r="H395" t="s">
        <v>474</v>
      </c>
      <c r="I395" t="s">
        <v>83</v>
      </c>
      <c r="J395" t="s">
        <v>474</v>
      </c>
      <c r="K395" t="s">
        <v>474</v>
      </c>
      <c r="L395" t="s">
        <v>474</v>
      </c>
      <c r="M395" t="s">
        <v>474</v>
      </c>
      <c r="N395" t="s">
        <v>474</v>
      </c>
      <c r="O395" t="s">
        <v>474</v>
      </c>
      <c r="P395" t="s">
        <v>474</v>
      </c>
      <c r="Q395" t="s">
        <v>474</v>
      </c>
      <c r="R395" t="s">
        <v>474</v>
      </c>
      <c r="S395" t="s">
        <v>474</v>
      </c>
      <c r="T395" t="s">
        <v>474</v>
      </c>
      <c r="U395" t="s">
        <v>474</v>
      </c>
      <c r="V395" t="s">
        <v>540</v>
      </c>
      <c r="W395" t="s">
        <v>84</v>
      </c>
      <c r="X395" t="s">
        <v>30</v>
      </c>
      <c r="Y395" t="s">
        <v>476</v>
      </c>
    </row>
    <row r="396" spans="1:25" ht="16" x14ac:dyDescent="0.2">
      <c r="A396" t="s">
        <v>474</v>
      </c>
      <c r="B396" t="s">
        <v>80</v>
      </c>
      <c r="C396" t="s">
        <v>474</v>
      </c>
      <c r="D396" t="s">
        <v>474</v>
      </c>
      <c r="E396" t="s">
        <v>43</v>
      </c>
      <c r="F396" t="s">
        <v>493</v>
      </c>
      <c r="G396" t="s">
        <v>85</v>
      </c>
      <c r="H396" t="s">
        <v>474</v>
      </c>
      <c r="I396" t="s">
        <v>86</v>
      </c>
      <c r="J396" t="s">
        <v>474</v>
      </c>
      <c r="K396" t="s">
        <v>474</v>
      </c>
      <c r="L396" t="s">
        <v>474</v>
      </c>
      <c r="M396" t="s">
        <v>474</v>
      </c>
      <c r="N396" t="s">
        <v>474</v>
      </c>
      <c r="O396" t="s">
        <v>474</v>
      </c>
      <c r="P396" t="s">
        <v>474</v>
      </c>
      <c r="Q396" t="s">
        <v>474</v>
      </c>
      <c r="R396" t="s">
        <v>474</v>
      </c>
      <c r="S396" t="s">
        <v>474</v>
      </c>
      <c r="T396" t="s">
        <v>474</v>
      </c>
      <c r="U396" t="s">
        <v>474</v>
      </c>
      <c r="V396" t="s">
        <v>537</v>
      </c>
      <c r="W396" t="s">
        <v>87</v>
      </c>
      <c r="X396" t="s">
        <v>30</v>
      </c>
      <c r="Y396" t="s">
        <v>476</v>
      </c>
    </row>
    <row r="397" spans="1:25" ht="16" x14ac:dyDescent="0.2">
      <c r="A397" t="s">
        <v>474</v>
      </c>
      <c r="B397" t="s">
        <v>80</v>
      </c>
      <c r="C397" t="s">
        <v>474</v>
      </c>
      <c r="D397" t="s">
        <v>474</v>
      </c>
      <c r="E397" t="s">
        <v>47</v>
      </c>
      <c r="F397" t="s">
        <v>493</v>
      </c>
      <c r="G397" t="s">
        <v>88</v>
      </c>
      <c r="H397" t="s">
        <v>474</v>
      </c>
      <c r="I397" t="s">
        <v>89</v>
      </c>
      <c r="J397" t="s">
        <v>474</v>
      </c>
      <c r="K397" t="s">
        <v>474</v>
      </c>
      <c r="L397" t="s">
        <v>474</v>
      </c>
      <c r="M397" t="s">
        <v>474</v>
      </c>
      <c r="N397" t="s">
        <v>474</v>
      </c>
      <c r="O397" t="s">
        <v>474</v>
      </c>
      <c r="P397" t="s">
        <v>474</v>
      </c>
      <c r="Q397" t="s">
        <v>474</v>
      </c>
      <c r="R397" t="s">
        <v>474</v>
      </c>
      <c r="S397" t="s">
        <v>474</v>
      </c>
      <c r="T397" t="s">
        <v>474</v>
      </c>
      <c r="U397" t="s">
        <v>474</v>
      </c>
      <c r="V397" t="s">
        <v>518</v>
      </c>
      <c r="W397" t="s">
        <v>90</v>
      </c>
      <c r="X397" t="s">
        <v>30</v>
      </c>
      <c r="Y397" t="s">
        <v>476</v>
      </c>
    </row>
    <row r="398" spans="1:25" ht="16" x14ac:dyDescent="0.2">
      <c r="A398" t="s">
        <v>474</v>
      </c>
      <c r="B398" t="s">
        <v>80</v>
      </c>
      <c r="C398" t="s">
        <v>474</v>
      </c>
      <c r="D398" t="s">
        <v>474</v>
      </c>
      <c r="E398" t="s">
        <v>51</v>
      </c>
      <c r="F398" t="s">
        <v>493</v>
      </c>
      <c r="G398" t="s">
        <v>91</v>
      </c>
      <c r="H398" t="s">
        <v>474</v>
      </c>
      <c r="I398" t="s">
        <v>92</v>
      </c>
      <c r="J398" t="s">
        <v>474</v>
      </c>
      <c r="K398" t="s">
        <v>474</v>
      </c>
      <c r="L398" t="s">
        <v>474</v>
      </c>
      <c r="M398" t="s">
        <v>474</v>
      </c>
      <c r="N398" t="s">
        <v>474</v>
      </c>
      <c r="O398" t="s">
        <v>474</v>
      </c>
      <c r="P398" t="s">
        <v>474</v>
      </c>
      <c r="Q398" t="s">
        <v>474</v>
      </c>
      <c r="R398" t="s">
        <v>474</v>
      </c>
      <c r="S398" t="s">
        <v>474</v>
      </c>
      <c r="T398" t="s">
        <v>474</v>
      </c>
      <c r="U398" t="s">
        <v>474</v>
      </c>
      <c r="V398" t="s">
        <v>526</v>
      </c>
      <c r="W398" t="s">
        <v>93</v>
      </c>
      <c r="X398" t="s">
        <v>30</v>
      </c>
      <c r="Y398" t="s">
        <v>476</v>
      </c>
    </row>
    <row r="399" spans="1:25" ht="16" x14ac:dyDescent="0.2">
      <c r="A399" t="s">
        <v>474</v>
      </c>
      <c r="B399" t="s">
        <v>80</v>
      </c>
      <c r="C399" t="s">
        <v>474</v>
      </c>
      <c r="D399" t="s">
        <v>474</v>
      </c>
      <c r="E399" t="s">
        <v>55</v>
      </c>
      <c r="F399" t="s">
        <v>493</v>
      </c>
      <c r="G399" t="s">
        <v>94</v>
      </c>
      <c r="H399" t="s">
        <v>474</v>
      </c>
      <c r="I399" t="s">
        <v>95</v>
      </c>
      <c r="J399" t="s">
        <v>474</v>
      </c>
      <c r="K399" t="s">
        <v>474</v>
      </c>
      <c r="L399" t="s">
        <v>474</v>
      </c>
      <c r="M399" t="s">
        <v>474</v>
      </c>
      <c r="N399" t="s">
        <v>474</v>
      </c>
      <c r="O399" t="s">
        <v>474</v>
      </c>
      <c r="P399" t="s">
        <v>474</v>
      </c>
      <c r="Q399" t="s">
        <v>474</v>
      </c>
      <c r="R399" t="s">
        <v>474</v>
      </c>
      <c r="S399" t="s">
        <v>474</v>
      </c>
      <c r="T399" t="s">
        <v>474</v>
      </c>
      <c r="U399" t="s">
        <v>474</v>
      </c>
      <c r="V399" t="s">
        <v>542</v>
      </c>
      <c r="W399" t="s">
        <v>96</v>
      </c>
      <c r="X399" t="s">
        <v>30</v>
      </c>
      <c r="Y399" t="s">
        <v>476</v>
      </c>
    </row>
    <row r="400" spans="1:25" ht="16" x14ac:dyDescent="0.2">
      <c r="A400" t="s">
        <v>474</v>
      </c>
      <c r="B400" t="s">
        <v>97</v>
      </c>
      <c r="C400" t="s">
        <v>474</v>
      </c>
      <c r="D400" t="s">
        <v>474</v>
      </c>
      <c r="E400" t="s">
        <v>36</v>
      </c>
      <c r="F400" t="s">
        <v>494</v>
      </c>
      <c r="G400" t="s">
        <v>99</v>
      </c>
      <c r="H400" t="s">
        <v>474</v>
      </c>
      <c r="I400" t="s">
        <v>100</v>
      </c>
      <c r="J400" t="s">
        <v>474</v>
      </c>
      <c r="K400" t="s">
        <v>474</v>
      </c>
      <c r="L400" t="s">
        <v>474</v>
      </c>
      <c r="M400" t="s">
        <v>474</v>
      </c>
      <c r="N400" t="s">
        <v>474</v>
      </c>
      <c r="O400" t="s">
        <v>474</v>
      </c>
      <c r="P400" t="s">
        <v>474</v>
      </c>
      <c r="Q400" t="s">
        <v>474</v>
      </c>
      <c r="R400" t="s">
        <v>474</v>
      </c>
      <c r="S400" t="s">
        <v>474</v>
      </c>
      <c r="T400" t="s">
        <v>474</v>
      </c>
      <c r="U400" t="s">
        <v>474</v>
      </c>
      <c r="V400" t="s">
        <v>552</v>
      </c>
      <c r="W400" t="s">
        <v>101</v>
      </c>
      <c r="X400" t="s">
        <v>30</v>
      </c>
      <c r="Y400" t="s">
        <v>476</v>
      </c>
    </row>
    <row r="401" spans="1:25" ht="16" x14ac:dyDescent="0.2">
      <c r="A401" t="s">
        <v>474</v>
      </c>
      <c r="B401" t="s">
        <v>97</v>
      </c>
      <c r="C401" t="s">
        <v>474</v>
      </c>
      <c r="D401" t="s">
        <v>474</v>
      </c>
      <c r="E401" t="s">
        <v>43</v>
      </c>
      <c r="F401" t="s">
        <v>494</v>
      </c>
      <c r="G401" t="s">
        <v>102</v>
      </c>
      <c r="H401" t="s">
        <v>474</v>
      </c>
      <c r="I401" t="s">
        <v>103</v>
      </c>
      <c r="J401" t="s">
        <v>474</v>
      </c>
      <c r="K401" t="s">
        <v>474</v>
      </c>
      <c r="L401" t="s">
        <v>474</v>
      </c>
      <c r="M401" t="s">
        <v>474</v>
      </c>
      <c r="N401" t="s">
        <v>474</v>
      </c>
      <c r="O401" t="s">
        <v>474</v>
      </c>
      <c r="P401" t="s">
        <v>474</v>
      </c>
      <c r="Q401" t="s">
        <v>474</v>
      </c>
      <c r="R401" t="s">
        <v>474</v>
      </c>
      <c r="S401" t="s">
        <v>474</v>
      </c>
      <c r="T401" t="s">
        <v>474</v>
      </c>
      <c r="U401" t="s">
        <v>474</v>
      </c>
      <c r="V401" t="s">
        <v>548</v>
      </c>
      <c r="W401" t="s">
        <v>104</v>
      </c>
      <c r="X401" t="s">
        <v>30</v>
      </c>
      <c r="Y401" t="s">
        <v>476</v>
      </c>
    </row>
    <row r="402" spans="1:25" ht="16" x14ac:dyDescent="0.2">
      <c r="A402" t="s">
        <v>474</v>
      </c>
      <c r="B402" t="s">
        <v>97</v>
      </c>
      <c r="C402" t="s">
        <v>474</v>
      </c>
      <c r="D402" t="s">
        <v>474</v>
      </c>
      <c r="E402" t="s">
        <v>47</v>
      </c>
      <c r="F402" t="s">
        <v>494</v>
      </c>
      <c r="G402" t="s">
        <v>105</v>
      </c>
      <c r="H402" t="s">
        <v>474</v>
      </c>
      <c r="I402" t="s">
        <v>106</v>
      </c>
      <c r="J402" t="s">
        <v>474</v>
      </c>
      <c r="K402" t="s">
        <v>474</v>
      </c>
      <c r="L402" t="s">
        <v>474</v>
      </c>
      <c r="M402" t="s">
        <v>474</v>
      </c>
      <c r="N402" t="s">
        <v>474</v>
      </c>
      <c r="O402" t="s">
        <v>474</v>
      </c>
      <c r="P402" t="s">
        <v>474</v>
      </c>
      <c r="Q402" t="s">
        <v>474</v>
      </c>
      <c r="R402" t="s">
        <v>474</v>
      </c>
      <c r="S402" t="s">
        <v>474</v>
      </c>
      <c r="T402" t="s">
        <v>474</v>
      </c>
      <c r="U402" t="s">
        <v>474</v>
      </c>
      <c r="V402" t="s">
        <v>547</v>
      </c>
      <c r="W402" t="s">
        <v>107</v>
      </c>
      <c r="X402" t="s">
        <v>30</v>
      </c>
      <c r="Y402" t="s">
        <v>476</v>
      </c>
    </row>
    <row r="403" spans="1:25" ht="16" x14ac:dyDescent="0.2">
      <c r="A403" t="s">
        <v>474</v>
      </c>
      <c r="B403" t="s">
        <v>97</v>
      </c>
      <c r="C403" t="s">
        <v>474</v>
      </c>
      <c r="D403" t="s">
        <v>474</v>
      </c>
      <c r="E403" t="s">
        <v>51</v>
      </c>
      <c r="F403" t="s">
        <v>494</v>
      </c>
      <c r="G403" t="s">
        <v>108</v>
      </c>
      <c r="H403" t="s">
        <v>474</v>
      </c>
      <c r="I403" t="s">
        <v>109</v>
      </c>
      <c r="J403" t="s">
        <v>474</v>
      </c>
      <c r="K403" t="s">
        <v>474</v>
      </c>
      <c r="L403" t="s">
        <v>474</v>
      </c>
      <c r="M403" t="s">
        <v>474</v>
      </c>
      <c r="N403" t="s">
        <v>474</v>
      </c>
      <c r="O403" t="s">
        <v>474</v>
      </c>
      <c r="P403" t="s">
        <v>474</v>
      </c>
      <c r="Q403" t="s">
        <v>474</v>
      </c>
      <c r="R403" t="s">
        <v>474</v>
      </c>
      <c r="S403" t="s">
        <v>474</v>
      </c>
      <c r="T403" t="s">
        <v>474</v>
      </c>
      <c r="U403" t="s">
        <v>474</v>
      </c>
      <c r="V403" t="s">
        <v>528</v>
      </c>
      <c r="W403" t="s">
        <v>110</v>
      </c>
      <c r="X403" t="s">
        <v>30</v>
      </c>
      <c r="Y403" t="s">
        <v>476</v>
      </c>
    </row>
    <row r="404" spans="1:25" ht="16" x14ac:dyDescent="0.2">
      <c r="A404" t="s">
        <v>474</v>
      </c>
      <c r="B404" t="s">
        <v>97</v>
      </c>
      <c r="C404" t="s">
        <v>474</v>
      </c>
      <c r="D404" t="s">
        <v>474</v>
      </c>
      <c r="E404" t="s">
        <v>55</v>
      </c>
      <c r="F404" t="s">
        <v>494</v>
      </c>
      <c r="G404" t="s">
        <v>111</v>
      </c>
      <c r="H404" t="s">
        <v>474</v>
      </c>
      <c r="I404" t="s">
        <v>112</v>
      </c>
      <c r="J404" t="s">
        <v>474</v>
      </c>
      <c r="K404" t="s">
        <v>474</v>
      </c>
      <c r="L404" t="s">
        <v>474</v>
      </c>
      <c r="M404" t="s">
        <v>474</v>
      </c>
      <c r="N404" t="s">
        <v>474</v>
      </c>
      <c r="O404" t="s">
        <v>474</v>
      </c>
      <c r="P404" t="s">
        <v>474</v>
      </c>
      <c r="Q404" t="s">
        <v>474</v>
      </c>
      <c r="R404" t="s">
        <v>474</v>
      </c>
      <c r="S404" t="s">
        <v>474</v>
      </c>
      <c r="T404" t="s">
        <v>474</v>
      </c>
      <c r="U404" t="s">
        <v>474</v>
      </c>
      <c r="V404" t="s">
        <v>578</v>
      </c>
      <c r="W404" t="s">
        <v>113</v>
      </c>
      <c r="X404" t="s">
        <v>30</v>
      </c>
      <c r="Y404" t="s">
        <v>476</v>
      </c>
    </row>
    <row r="405" spans="1:25" ht="16" x14ac:dyDescent="0.2">
      <c r="A405" t="s">
        <v>474</v>
      </c>
      <c r="B405" t="s">
        <v>114</v>
      </c>
      <c r="C405" t="s">
        <v>474</v>
      </c>
      <c r="D405" t="s">
        <v>474</v>
      </c>
      <c r="E405" t="s">
        <v>36</v>
      </c>
      <c r="F405" t="s">
        <v>495</v>
      </c>
      <c r="G405" t="s">
        <v>116</v>
      </c>
      <c r="H405" t="s">
        <v>474</v>
      </c>
      <c r="I405" t="s">
        <v>117</v>
      </c>
      <c r="J405" t="s">
        <v>474</v>
      </c>
      <c r="K405" t="s">
        <v>474</v>
      </c>
      <c r="L405" t="s">
        <v>474</v>
      </c>
      <c r="M405" t="s">
        <v>474</v>
      </c>
      <c r="N405" t="s">
        <v>474</v>
      </c>
      <c r="O405" t="s">
        <v>474</v>
      </c>
      <c r="P405" t="s">
        <v>474</v>
      </c>
      <c r="Q405" t="s">
        <v>474</v>
      </c>
      <c r="R405" t="s">
        <v>474</v>
      </c>
      <c r="S405" t="s">
        <v>474</v>
      </c>
      <c r="T405" t="s">
        <v>474</v>
      </c>
      <c r="U405" t="s">
        <v>474</v>
      </c>
      <c r="V405" t="s">
        <v>485</v>
      </c>
      <c r="W405" t="s">
        <v>118</v>
      </c>
      <c r="X405" t="s">
        <v>30</v>
      </c>
      <c r="Y405" t="s">
        <v>476</v>
      </c>
    </row>
    <row r="406" spans="1:25" ht="16" x14ac:dyDescent="0.2">
      <c r="A406" t="s">
        <v>474</v>
      </c>
      <c r="B406" t="s">
        <v>114</v>
      </c>
      <c r="C406" t="s">
        <v>474</v>
      </c>
      <c r="D406" t="s">
        <v>474</v>
      </c>
      <c r="E406" t="s">
        <v>43</v>
      </c>
      <c r="F406" t="s">
        <v>495</v>
      </c>
      <c r="G406" t="s">
        <v>119</v>
      </c>
      <c r="H406" t="s">
        <v>474</v>
      </c>
      <c r="I406" t="s">
        <v>120</v>
      </c>
      <c r="J406" t="s">
        <v>474</v>
      </c>
      <c r="K406" t="s">
        <v>474</v>
      </c>
      <c r="L406" t="s">
        <v>474</v>
      </c>
      <c r="M406" t="s">
        <v>474</v>
      </c>
      <c r="N406" t="s">
        <v>474</v>
      </c>
      <c r="O406" t="s">
        <v>474</v>
      </c>
      <c r="P406" t="s">
        <v>474</v>
      </c>
      <c r="Q406" t="s">
        <v>474</v>
      </c>
      <c r="R406" t="s">
        <v>474</v>
      </c>
      <c r="S406" t="s">
        <v>474</v>
      </c>
      <c r="T406" t="s">
        <v>474</v>
      </c>
      <c r="U406" t="s">
        <v>474</v>
      </c>
      <c r="V406" t="s">
        <v>486</v>
      </c>
      <c r="W406" t="s">
        <v>121</v>
      </c>
      <c r="X406" t="s">
        <v>30</v>
      </c>
      <c r="Y406" t="s">
        <v>476</v>
      </c>
    </row>
    <row r="407" spans="1:25" ht="16" x14ac:dyDescent="0.2">
      <c r="A407" t="s">
        <v>474</v>
      </c>
      <c r="B407" t="s">
        <v>114</v>
      </c>
      <c r="C407" t="s">
        <v>474</v>
      </c>
      <c r="D407" t="s">
        <v>474</v>
      </c>
      <c r="E407" t="s">
        <v>47</v>
      </c>
      <c r="F407" t="s">
        <v>495</v>
      </c>
      <c r="G407" t="s">
        <v>122</v>
      </c>
      <c r="H407" t="s">
        <v>474</v>
      </c>
      <c r="I407" t="s">
        <v>123</v>
      </c>
      <c r="J407" t="s">
        <v>474</v>
      </c>
      <c r="K407" t="s">
        <v>474</v>
      </c>
      <c r="L407" t="s">
        <v>474</v>
      </c>
      <c r="M407" t="s">
        <v>474</v>
      </c>
      <c r="N407" t="s">
        <v>474</v>
      </c>
      <c r="O407" t="s">
        <v>474</v>
      </c>
      <c r="P407" t="s">
        <v>474</v>
      </c>
      <c r="Q407" t="s">
        <v>474</v>
      </c>
      <c r="R407" t="s">
        <v>474</v>
      </c>
      <c r="S407" t="s">
        <v>474</v>
      </c>
      <c r="T407" t="s">
        <v>474</v>
      </c>
      <c r="U407" t="s">
        <v>474</v>
      </c>
      <c r="V407" t="s">
        <v>486</v>
      </c>
      <c r="W407" t="s">
        <v>124</v>
      </c>
      <c r="X407" t="s">
        <v>30</v>
      </c>
      <c r="Y407" t="s">
        <v>476</v>
      </c>
    </row>
    <row r="408" spans="1:25" ht="16" x14ac:dyDescent="0.2">
      <c r="A408" t="s">
        <v>474</v>
      </c>
      <c r="B408" t="s">
        <v>114</v>
      </c>
      <c r="C408" t="s">
        <v>474</v>
      </c>
      <c r="D408" t="s">
        <v>474</v>
      </c>
      <c r="E408" t="s">
        <v>51</v>
      </c>
      <c r="F408" t="s">
        <v>495</v>
      </c>
      <c r="G408" t="s">
        <v>125</v>
      </c>
      <c r="H408" t="s">
        <v>474</v>
      </c>
      <c r="I408" t="s">
        <v>126</v>
      </c>
      <c r="J408" t="s">
        <v>474</v>
      </c>
      <c r="K408" t="s">
        <v>474</v>
      </c>
      <c r="L408" t="s">
        <v>474</v>
      </c>
      <c r="M408" t="s">
        <v>474</v>
      </c>
      <c r="N408" t="s">
        <v>474</v>
      </c>
      <c r="O408" t="s">
        <v>474</v>
      </c>
      <c r="P408" t="s">
        <v>474</v>
      </c>
      <c r="Q408" t="s">
        <v>474</v>
      </c>
      <c r="R408" t="s">
        <v>474</v>
      </c>
      <c r="S408" t="s">
        <v>474</v>
      </c>
      <c r="T408" t="s">
        <v>474</v>
      </c>
      <c r="U408" t="s">
        <v>474</v>
      </c>
      <c r="V408" t="s">
        <v>485</v>
      </c>
      <c r="W408" t="s">
        <v>127</v>
      </c>
      <c r="X408" t="s">
        <v>30</v>
      </c>
      <c r="Y408" t="s">
        <v>476</v>
      </c>
    </row>
    <row r="409" spans="1:25" ht="16" x14ac:dyDescent="0.2">
      <c r="A409" t="s">
        <v>474</v>
      </c>
      <c r="B409" t="s">
        <v>114</v>
      </c>
      <c r="C409" t="s">
        <v>474</v>
      </c>
      <c r="D409" t="s">
        <v>474</v>
      </c>
      <c r="E409" t="s">
        <v>55</v>
      </c>
      <c r="F409" t="s">
        <v>495</v>
      </c>
      <c r="G409" t="s">
        <v>128</v>
      </c>
      <c r="H409" t="s">
        <v>474</v>
      </c>
      <c r="I409" t="s">
        <v>129</v>
      </c>
      <c r="J409" t="s">
        <v>474</v>
      </c>
      <c r="K409" t="s">
        <v>474</v>
      </c>
      <c r="L409" t="s">
        <v>474</v>
      </c>
      <c r="M409" t="s">
        <v>474</v>
      </c>
      <c r="N409" t="s">
        <v>474</v>
      </c>
      <c r="O409" t="s">
        <v>474</v>
      </c>
      <c r="P409" t="s">
        <v>474</v>
      </c>
      <c r="Q409" t="s">
        <v>474</v>
      </c>
      <c r="R409" t="s">
        <v>474</v>
      </c>
      <c r="S409" t="s">
        <v>474</v>
      </c>
      <c r="T409" t="s">
        <v>474</v>
      </c>
      <c r="U409" t="s">
        <v>474</v>
      </c>
      <c r="V409" t="s">
        <v>487</v>
      </c>
      <c r="W409" t="s">
        <v>130</v>
      </c>
      <c r="X409" t="s">
        <v>30</v>
      </c>
      <c r="Y409" t="s">
        <v>476</v>
      </c>
    </row>
    <row r="410" spans="1:25" ht="16" x14ac:dyDescent="0.2">
      <c r="A410" t="s">
        <v>474</v>
      </c>
      <c r="B410" t="s">
        <v>131</v>
      </c>
      <c r="C410" t="s">
        <v>474</v>
      </c>
      <c r="D410" t="s">
        <v>474</v>
      </c>
      <c r="E410" t="s">
        <v>43</v>
      </c>
      <c r="F410" t="s">
        <v>493</v>
      </c>
      <c r="G410" t="s">
        <v>85</v>
      </c>
      <c r="H410" t="s">
        <v>474</v>
      </c>
      <c r="I410" t="s">
        <v>86</v>
      </c>
      <c r="J410" t="s">
        <v>474</v>
      </c>
      <c r="K410" t="s">
        <v>474</v>
      </c>
      <c r="L410" t="s">
        <v>474</v>
      </c>
      <c r="M410" t="s">
        <v>474</v>
      </c>
      <c r="N410" t="s">
        <v>474</v>
      </c>
      <c r="O410" t="s">
        <v>474</v>
      </c>
      <c r="P410" t="s">
        <v>474</v>
      </c>
      <c r="Q410" t="s">
        <v>474</v>
      </c>
      <c r="R410" t="s">
        <v>474</v>
      </c>
      <c r="S410" t="s">
        <v>474</v>
      </c>
      <c r="T410" t="s">
        <v>474</v>
      </c>
      <c r="U410" t="s">
        <v>474</v>
      </c>
      <c r="V410" t="s">
        <v>485</v>
      </c>
      <c r="W410" t="s">
        <v>87</v>
      </c>
      <c r="X410" t="s">
        <v>59</v>
      </c>
      <c r="Y410" t="s">
        <v>479</v>
      </c>
    </row>
    <row r="411" spans="1:25" ht="16" x14ac:dyDescent="0.2">
      <c r="A411" t="s">
        <v>474</v>
      </c>
      <c r="B411" t="s">
        <v>131</v>
      </c>
      <c r="C411" t="s">
        <v>474</v>
      </c>
      <c r="D411" t="s">
        <v>474</v>
      </c>
      <c r="E411" t="s">
        <v>47</v>
      </c>
      <c r="F411" t="s">
        <v>493</v>
      </c>
      <c r="G411" t="s">
        <v>88</v>
      </c>
      <c r="H411" t="s">
        <v>474</v>
      </c>
      <c r="I411" t="s">
        <v>89</v>
      </c>
      <c r="J411" t="s">
        <v>474</v>
      </c>
      <c r="K411" t="s">
        <v>474</v>
      </c>
      <c r="L411" t="s">
        <v>474</v>
      </c>
      <c r="M411" t="s">
        <v>474</v>
      </c>
      <c r="N411" t="s">
        <v>474</v>
      </c>
      <c r="O411" t="s">
        <v>474</v>
      </c>
      <c r="P411" t="s">
        <v>474</v>
      </c>
      <c r="Q411" t="s">
        <v>474</v>
      </c>
      <c r="R411" t="s">
        <v>474</v>
      </c>
      <c r="S411" t="s">
        <v>474</v>
      </c>
      <c r="T411" t="s">
        <v>474</v>
      </c>
      <c r="U411" t="s">
        <v>474</v>
      </c>
      <c r="V411" t="s">
        <v>485</v>
      </c>
      <c r="W411" t="s">
        <v>90</v>
      </c>
      <c r="X411" t="s">
        <v>59</v>
      </c>
      <c r="Y411" t="s">
        <v>479</v>
      </c>
    </row>
    <row r="412" spans="1:25" ht="16" x14ac:dyDescent="0.2">
      <c r="A412" t="s">
        <v>474</v>
      </c>
      <c r="B412" t="s">
        <v>131</v>
      </c>
      <c r="C412" t="s">
        <v>474</v>
      </c>
      <c r="D412" t="s">
        <v>474</v>
      </c>
      <c r="E412" t="s">
        <v>51</v>
      </c>
      <c r="F412" t="s">
        <v>493</v>
      </c>
      <c r="G412" t="s">
        <v>91</v>
      </c>
      <c r="H412" t="s">
        <v>474</v>
      </c>
      <c r="I412" t="s">
        <v>92</v>
      </c>
      <c r="J412" t="s">
        <v>474</v>
      </c>
      <c r="K412" t="s">
        <v>474</v>
      </c>
      <c r="L412" t="s">
        <v>474</v>
      </c>
      <c r="M412" t="s">
        <v>474</v>
      </c>
      <c r="N412" t="s">
        <v>474</v>
      </c>
      <c r="O412" t="s">
        <v>474</v>
      </c>
      <c r="P412" t="s">
        <v>474</v>
      </c>
      <c r="Q412" t="s">
        <v>474</v>
      </c>
      <c r="R412" t="s">
        <v>474</v>
      </c>
      <c r="S412" t="s">
        <v>474</v>
      </c>
      <c r="T412" t="s">
        <v>474</v>
      </c>
      <c r="U412" t="s">
        <v>474</v>
      </c>
      <c r="V412" t="s">
        <v>521</v>
      </c>
      <c r="W412" t="s">
        <v>93</v>
      </c>
      <c r="X412" t="s">
        <v>59</v>
      </c>
      <c r="Y412" t="s">
        <v>479</v>
      </c>
    </row>
    <row r="413" spans="1:25" ht="16" x14ac:dyDescent="0.2">
      <c r="A413" t="s">
        <v>474</v>
      </c>
      <c r="B413" t="s">
        <v>131</v>
      </c>
      <c r="C413" t="s">
        <v>474</v>
      </c>
      <c r="D413" t="s">
        <v>474</v>
      </c>
      <c r="E413" t="s">
        <v>55</v>
      </c>
      <c r="F413" t="s">
        <v>493</v>
      </c>
      <c r="G413" t="s">
        <v>94</v>
      </c>
      <c r="H413" t="s">
        <v>474</v>
      </c>
      <c r="I413" t="s">
        <v>95</v>
      </c>
      <c r="J413" t="s">
        <v>474</v>
      </c>
      <c r="K413" t="s">
        <v>474</v>
      </c>
      <c r="L413" t="s">
        <v>474</v>
      </c>
      <c r="M413" t="s">
        <v>474</v>
      </c>
      <c r="N413" t="s">
        <v>474</v>
      </c>
      <c r="O413" t="s">
        <v>474</v>
      </c>
      <c r="P413" t="s">
        <v>474</v>
      </c>
      <c r="Q413" t="s">
        <v>474</v>
      </c>
      <c r="R413" t="s">
        <v>474</v>
      </c>
      <c r="S413" t="s">
        <v>474</v>
      </c>
      <c r="T413" t="s">
        <v>474</v>
      </c>
      <c r="U413" t="s">
        <v>474</v>
      </c>
      <c r="V413" t="s">
        <v>55</v>
      </c>
      <c r="W413" t="s">
        <v>96</v>
      </c>
      <c r="X413" t="s">
        <v>59</v>
      </c>
      <c r="Y413" t="s">
        <v>479</v>
      </c>
    </row>
    <row r="414" spans="1:25" ht="16" x14ac:dyDescent="0.2">
      <c r="A414" t="s">
        <v>474</v>
      </c>
      <c r="B414" t="s">
        <v>132</v>
      </c>
      <c r="C414" t="s">
        <v>474</v>
      </c>
      <c r="D414" t="s">
        <v>474</v>
      </c>
      <c r="E414" t="s">
        <v>36</v>
      </c>
      <c r="F414" t="s">
        <v>494</v>
      </c>
      <c r="G414" t="s">
        <v>99</v>
      </c>
      <c r="H414" t="s">
        <v>474</v>
      </c>
      <c r="I414" t="s">
        <v>100</v>
      </c>
      <c r="J414" t="s">
        <v>474</v>
      </c>
      <c r="K414" t="s">
        <v>474</v>
      </c>
      <c r="L414" t="s">
        <v>474</v>
      </c>
      <c r="M414" t="s">
        <v>474</v>
      </c>
      <c r="N414" t="s">
        <v>474</v>
      </c>
      <c r="O414" t="s">
        <v>474</v>
      </c>
      <c r="P414" t="s">
        <v>474</v>
      </c>
      <c r="Q414" t="s">
        <v>474</v>
      </c>
      <c r="R414" t="s">
        <v>474</v>
      </c>
      <c r="S414" t="s">
        <v>474</v>
      </c>
      <c r="T414" t="s">
        <v>474</v>
      </c>
      <c r="U414" t="s">
        <v>474</v>
      </c>
      <c r="V414" t="s">
        <v>520</v>
      </c>
      <c r="W414" t="s">
        <v>101</v>
      </c>
      <c r="X414" t="s">
        <v>59</v>
      </c>
      <c r="Y414" t="s">
        <v>479</v>
      </c>
    </row>
    <row r="415" spans="1:25" ht="16" x14ac:dyDescent="0.2">
      <c r="A415" t="s">
        <v>474</v>
      </c>
      <c r="B415" t="s">
        <v>132</v>
      </c>
      <c r="C415" t="s">
        <v>474</v>
      </c>
      <c r="D415" t="s">
        <v>474</v>
      </c>
      <c r="E415" t="s">
        <v>51</v>
      </c>
      <c r="F415" t="s">
        <v>494</v>
      </c>
      <c r="G415" t="s">
        <v>108</v>
      </c>
      <c r="H415" t="s">
        <v>474</v>
      </c>
      <c r="I415" t="s">
        <v>109</v>
      </c>
      <c r="J415" t="s">
        <v>474</v>
      </c>
      <c r="K415" t="s">
        <v>474</v>
      </c>
      <c r="L415" t="s">
        <v>474</v>
      </c>
      <c r="M415" t="s">
        <v>474</v>
      </c>
      <c r="N415" t="s">
        <v>474</v>
      </c>
      <c r="O415" t="s">
        <v>474</v>
      </c>
      <c r="P415" t="s">
        <v>474</v>
      </c>
      <c r="Q415" t="s">
        <v>474</v>
      </c>
      <c r="R415" t="s">
        <v>474</v>
      </c>
      <c r="S415" t="s">
        <v>474</v>
      </c>
      <c r="T415" t="s">
        <v>474</v>
      </c>
      <c r="U415" t="s">
        <v>474</v>
      </c>
      <c r="V415" t="s">
        <v>540</v>
      </c>
      <c r="W415" t="s">
        <v>110</v>
      </c>
      <c r="X415" t="s">
        <v>59</v>
      </c>
      <c r="Y415" t="s">
        <v>479</v>
      </c>
    </row>
    <row r="416" spans="1:25" ht="16" x14ac:dyDescent="0.2">
      <c r="A416" t="s">
        <v>474</v>
      </c>
      <c r="B416" t="s">
        <v>133</v>
      </c>
      <c r="C416" t="s">
        <v>474</v>
      </c>
      <c r="D416" t="s">
        <v>474</v>
      </c>
      <c r="E416" t="s">
        <v>36</v>
      </c>
      <c r="F416" t="s">
        <v>496</v>
      </c>
      <c r="G416" t="s">
        <v>134</v>
      </c>
      <c r="H416" t="s">
        <v>474</v>
      </c>
      <c r="I416" t="s">
        <v>135</v>
      </c>
      <c r="J416" t="s">
        <v>474</v>
      </c>
      <c r="K416" t="s">
        <v>474</v>
      </c>
      <c r="L416" t="s">
        <v>474</v>
      </c>
      <c r="M416" t="s">
        <v>474</v>
      </c>
      <c r="N416" t="s">
        <v>474</v>
      </c>
      <c r="O416" t="s">
        <v>474</v>
      </c>
      <c r="P416" t="s">
        <v>474</v>
      </c>
      <c r="Q416" t="s">
        <v>474</v>
      </c>
      <c r="R416" t="s">
        <v>474</v>
      </c>
      <c r="S416" t="s">
        <v>474</v>
      </c>
      <c r="T416" t="s">
        <v>474</v>
      </c>
      <c r="U416" t="s">
        <v>474</v>
      </c>
      <c r="V416" t="s">
        <v>520</v>
      </c>
      <c r="W416" t="s">
        <v>136</v>
      </c>
      <c r="X416" t="s">
        <v>30</v>
      </c>
      <c r="Y416" t="s">
        <v>476</v>
      </c>
    </row>
    <row r="417" spans="1:25" ht="16" x14ac:dyDescent="0.2">
      <c r="A417" t="s">
        <v>474</v>
      </c>
      <c r="B417" t="s">
        <v>133</v>
      </c>
      <c r="C417" t="s">
        <v>474</v>
      </c>
      <c r="D417" t="s">
        <v>474</v>
      </c>
      <c r="E417" t="s">
        <v>43</v>
      </c>
      <c r="F417" t="s">
        <v>496</v>
      </c>
      <c r="G417" t="s">
        <v>137</v>
      </c>
      <c r="H417" t="s">
        <v>474</v>
      </c>
      <c r="I417" t="s">
        <v>138</v>
      </c>
      <c r="J417" t="s">
        <v>474</v>
      </c>
      <c r="K417" t="s">
        <v>474</v>
      </c>
      <c r="L417" t="s">
        <v>474</v>
      </c>
      <c r="M417" t="s">
        <v>474</v>
      </c>
      <c r="N417" t="s">
        <v>474</v>
      </c>
      <c r="O417" t="s">
        <v>474</v>
      </c>
      <c r="P417" t="s">
        <v>474</v>
      </c>
      <c r="Q417" t="s">
        <v>474</v>
      </c>
      <c r="R417" t="s">
        <v>474</v>
      </c>
      <c r="S417" t="s">
        <v>474</v>
      </c>
      <c r="T417" t="s">
        <v>474</v>
      </c>
      <c r="U417" t="s">
        <v>474</v>
      </c>
      <c r="V417" t="s">
        <v>1143</v>
      </c>
      <c r="W417" t="s">
        <v>139</v>
      </c>
      <c r="X417" t="s">
        <v>30</v>
      </c>
      <c r="Y417" t="s">
        <v>476</v>
      </c>
    </row>
    <row r="418" spans="1:25" ht="16" x14ac:dyDescent="0.2">
      <c r="A418" t="s">
        <v>474</v>
      </c>
      <c r="B418" t="s">
        <v>133</v>
      </c>
      <c r="C418" t="s">
        <v>474</v>
      </c>
      <c r="D418" t="s">
        <v>474</v>
      </c>
      <c r="E418" t="s">
        <v>47</v>
      </c>
      <c r="F418" t="s">
        <v>496</v>
      </c>
      <c r="G418" t="s">
        <v>140</v>
      </c>
      <c r="H418" t="s">
        <v>474</v>
      </c>
      <c r="I418" t="s">
        <v>141</v>
      </c>
      <c r="J418" t="s">
        <v>474</v>
      </c>
      <c r="K418" t="s">
        <v>474</v>
      </c>
      <c r="L418" t="s">
        <v>474</v>
      </c>
      <c r="M418" t="s">
        <v>474</v>
      </c>
      <c r="N418" t="s">
        <v>474</v>
      </c>
      <c r="O418" t="s">
        <v>474</v>
      </c>
      <c r="P418" t="s">
        <v>474</v>
      </c>
      <c r="Q418" t="s">
        <v>474</v>
      </c>
      <c r="R418" t="s">
        <v>474</v>
      </c>
      <c r="S418" t="s">
        <v>474</v>
      </c>
      <c r="T418" t="s">
        <v>474</v>
      </c>
      <c r="U418" t="s">
        <v>474</v>
      </c>
      <c r="V418" t="s">
        <v>1035</v>
      </c>
      <c r="W418" t="s">
        <v>142</v>
      </c>
      <c r="X418" t="s">
        <v>30</v>
      </c>
      <c r="Y418" t="s">
        <v>476</v>
      </c>
    </row>
    <row r="419" spans="1:25" ht="16" x14ac:dyDescent="0.2">
      <c r="A419" t="s">
        <v>474</v>
      </c>
      <c r="B419" t="s">
        <v>133</v>
      </c>
      <c r="C419" t="s">
        <v>474</v>
      </c>
      <c r="D419" t="s">
        <v>474</v>
      </c>
      <c r="E419" t="s">
        <v>51</v>
      </c>
      <c r="F419" t="s">
        <v>496</v>
      </c>
      <c r="G419" t="s">
        <v>143</v>
      </c>
      <c r="H419" t="s">
        <v>474</v>
      </c>
      <c r="I419" t="s">
        <v>144</v>
      </c>
      <c r="J419" t="s">
        <v>474</v>
      </c>
      <c r="K419" t="s">
        <v>474</v>
      </c>
      <c r="L419" t="s">
        <v>474</v>
      </c>
      <c r="M419" t="s">
        <v>474</v>
      </c>
      <c r="N419" t="s">
        <v>474</v>
      </c>
      <c r="O419" t="s">
        <v>474</v>
      </c>
      <c r="P419" t="s">
        <v>474</v>
      </c>
      <c r="Q419" t="s">
        <v>474</v>
      </c>
      <c r="R419" t="s">
        <v>474</v>
      </c>
      <c r="S419" t="s">
        <v>474</v>
      </c>
      <c r="T419" t="s">
        <v>474</v>
      </c>
      <c r="U419" t="s">
        <v>474</v>
      </c>
      <c r="V419" t="s">
        <v>543</v>
      </c>
      <c r="W419" t="s">
        <v>145</v>
      </c>
      <c r="X419" t="s">
        <v>30</v>
      </c>
      <c r="Y419" t="s">
        <v>476</v>
      </c>
    </row>
    <row r="420" spans="1:25" ht="16" x14ac:dyDescent="0.2">
      <c r="A420" t="s">
        <v>474</v>
      </c>
      <c r="B420" t="s">
        <v>133</v>
      </c>
      <c r="C420" t="s">
        <v>474</v>
      </c>
      <c r="D420" t="s">
        <v>474</v>
      </c>
      <c r="E420" t="s">
        <v>55</v>
      </c>
      <c r="F420" t="s">
        <v>496</v>
      </c>
      <c r="G420" t="s">
        <v>146</v>
      </c>
      <c r="H420" t="s">
        <v>474</v>
      </c>
      <c r="I420" t="s">
        <v>147</v>
      </c>
      <c r="J420" t="s">
        <v>474</v>
      </c>
      <c r="K420" t="s">
        <v>474</v>
      </c>
      <c r="L420" t="s">
        <v>474</v>
      </c>
      <c r="M420" t="s">
        <v>474</v>
      </c>
      <c r="N420" t="s">
        <v>474</v>
      </c>
      <c r="O420" t="s">
        <v>474</v>
      </c>
      <c r="P420" t="s">
        <v>474</v>
      </c>
      <c r="Q420" t="s">
        <v>474</v>
      </c>
      <c r="R420" t="s">
        <v>474</v>
      </c>
      <c r="S420" t="s">
        <v>474</v>
      </c>
      <c r="T420" t="s">
        <v>474</v>
      </c>
      <c r="U420" t="s">
        <v>474</v>
      </c>
      <c r="V420" t="s">
        <v>1143</v>
      </c>
      <c r="W420" t="s">
        <v>148</v>
      </c>
      <c r="X420" t="s">
        <v>30</v>
      </c>
      <c r="Y420" t="s">
        <v>476</v>
      </c>
    </row>
    <row r="421" spans="1:25" ht="16" x14ac:dyDescent="0.2">
      <c r="A421" t="s">
        <v>474</v>
      </c>
      <c r="B421" t="s">
        <v>149</v>
      </c>
      <c r="C421" t="s">
        <v>474</v>
      </c>
      <c r="D421" t="s">
        <v>474</v>
      </c>
      <c r="E421" t="s">
        <v>36</v>
      </c>
      <c r="F421" t="s">
        <v>495</v>
      </c>
      <c r="G421" t="s">
        <v>116</v>
      </c>
      <c r="H421" t="s">
        <v>474</v>
      </c>
      <c r="I421" t="s">
        <v>117</v>
      </c>
      <c r="J421" t="s">
        <v>474</v>
      </c>
      <c r="K421" t="s">
        <v>474</v>
      </c>
      <c r="L421" t="s">
        <v>474</v>
      </c>
      <c r="M421" t="s">
        <v>474</v>
      </c>
      <c r="N421" t="s">
        <v>474</v>
      </c>
      <c r="O421" t="s">
        <v>474</v>
      </c>
      <c r="P421" t="s">
        <v>474</v>
      </c>
      <c r="Q421" t="s">
        <v>474</v>
      </c>
      <c r="R421" t="s">
        <v>474</v>
      </c>
      <c r="S421" t="s">
        <v>474</v>
      </c>
      <c r="T421" t="s">
        <v>474</v>
      </c>
      <c r="U421" t="s">
        <v>474</v>
      </c>
      <c r="V421" t="s">
        <v>485</v>
      </c>
      <c r="W421" t="s">
        <v>118</v>
      </c>
      <c r="X421" t="s">
        <v>59</v>
      </c>
      <c r="Y421" t="s">
        <v>479</v>
      </c>
    </row>
    <row r="422" spans="1:25" ht="16" x14ac:dyDescent="0.2">
      <c r="A422" t="s">
        <v>474</v>
      </c>
      <c r="B422" t="s">
        <v>149</v>
      </c>
      <c r="C422" t="s">
        <v>474</v>
      </c>
      <c r="D422" t="s">
        <v>474</v>
      </c>
      <c r="E422" t="s">
        <v>43</v>
      </c>
      <c r="F422" t="s">
        <v>495</v>
      </c>
      <c r="G422" t="s">
        <v>119</v>
      </c>
      <c r="H422" t="s">
        <v>474</v>
      </c>
      <c r="I422" t="s">
        <v>120</v>
      </c>
      <c r="J422" t="s">
        <v>474</v>
      </c>
      <c r="K422" t="s">
        <v>474</v>
      </c>
      <c r="L422" t="s">
        <v>474</v>
      </c>
      <c r="M422" t="s">
        <v>474</v>
      </c>
      <c r="N422" t="s">
        <v>474</v>
      </c>
      <c r="O422" t="s">
        <v>474</v>
      </c>
      <c r="P422" t="s">
        <v>474</v>
      </c>
      <c r="Q422" t="s">
        <v>474</v>
      </c>
      <c r="R422" t="s">
        <v>474</v>
      </c>
      <c r="S422" t="s">
        <v>474</v>
      </c>
      <c r="T422" t="s">
        <v>474</v>
      </c>
      <c r="U422" t="s">
        <v>474</v>
      </c>
      <c r="V422" t="s">
        <v>488</v>
      </c>
      <c r="W422" t="s">
        <v>121</v>
      </c>
      <c r="X422" t="s">
        <v>59</v>
      </c>
      <c r="Y422" t="s">
        <v>479</v>
      </c>
    </row>
    <row r="423" spans="1:25" ht="16" x14ac:dyDescent="0.2">
      <c r="A423" t="s">
        <v>474</v>
      </c>
      <c r="B423" t="s">
        <v>149</v>
      </c>
      <c r="C423" t="s">
        <v>474</v>
      </c>
      <c r="D423" t="s">
        <v>474</v>
      </c>
      <c r="E423" t="s">
        <v>47</v>
      </c>
      <c r="F423" t="s">
        <v>495</v>
      </c>
      <c r="G423" t="s">
        <v>122</v>
      </c>
      <c r="H423" t="s">
        <v>474</v>
      </c>
      <c r="I423" t="s">
        <v>123</v>
      </c>
      <c r="J423" t="s">
        <v>474</v>
      </c>
      <c r="K423" t="s">
        <v>474</v>
      </c>
      <c r="L423" t="s">
        <v>474</v>
      </c>
      <c r="M423" t="s">
        <v>474</v>
      </c>
      <c r="N423" t="s">
        <v>474</v>
      </c>
      <c r="O423" t="s">
        <v>474</v>
      </c>
      <c r="P423" t="s">
        <v>474</v>
      </c>
      <c r="Q423" t="s">
        <v>474</v>
      </c>
      <c r="R423" t="s">
        <v>474</v>
      </c>
      <c r="S423" t="s">
        <v>474</v>
      </c>
      <c r="T423" t="s">
        <v>474</v>
      </c>
      <c r="U423" t="s">
        <v>474</v>
      </c>
      <c r="V423" t="s">
        <v>488</v>
      </c>
      <c r="W423" t="s">
        <v>124</v>
      </c>
      <c r="X423" t="s">
        <v>59</v>
      </c>
      <c r="Y423" t="s">
        <v>479</v>
      </c>
    </row>
    <row r="424" spans="1:25" ht="16" x14ac:dyDescent="0.2">
      <c r="A424" t="s">
        <v>474</v>
      </c>
      <c r="B424" t="s">
        <v>149</v>
      </c>
      <c r="C424" t="s">
        <v>474</v>
      </c>
      <c r="D424" t="s">
        <v>474</v>
      </c>
      <c r="E424" t="s">
        <v>51</v>
      </c>
      <c r="F424" t="s">
        <v>495</v>
      </c>
      <c r="G424" t="s">
        <v>125</v>
      </c>
      <c r="H424" t="s">
        <v>474</v>
      </c>
      <c r="I424" t="s">
        <v>126</v>
      </c>
      <c r="J424" t="s">
        <v>474</v>
      </c>
      <c r="K424" t="s">
        <v>474</v>
      </c>
      <c r="L424" t="s">
        <v>474</v>
      </c>
      <c r="M424" t="s">
        <v>474</v>
      </c>
      <c r="N424" t="s">
        <v>474</v>
      </c>
      <c r="O424" t="s">
        <v>474</v>
      </c>
      <c r="P424" t="s">
        <v>474</v>
      </c>
      <c r="Q424" t="s">
        <v>474</v>
      </c>
      <c r="R424" t="s">
        <v>474</v>
      </c>
      <c r="S424" t="s">
        <v>474</v>
      </c>
      <c r="T424" t="s">
        <v>474</v>
      </c>
      <c r="U424" t="s">
        <v>474</v>
      </c>
      <c r="V424" t="s">
        <v>485</v>
      </c>
      <c r="W424" t="s">
        <v>127</v>
      </c>
      <c r="X424" t="s">
        <v>59</v>
      </c>
      <c r="Y424" t="s">
        <v>479</v>
      </c>
    </row>
    <row r="425" spans="1:25" ht="16" x14ac:dyDescent="0.2">
      <c r="A425" t="s">
        <v>474</v>
      </c>
      <c r="B425" t="s">
        <v>149</v>
      </c>
      <c r="C425" t="s">
        <v>474</v>
      </c>
      <c r="D425" t="s">
        <v>474</v>
      </c>
      <c r="E425" t="s">
        <v>55</v>
      </c>
      <c r="F425" t="s">
        <v>495</v>
      </c>
      <c r="G425" t="s">
        <v>128</v>
      </c>
      <c r="H425" t="s">
        <v>474</v>
      </c>
      <c r="I425" t="s">
        <v>129</v>
      </c>
      <c r="J425" t="s">
        <v>474</v>
      </c>
      <c r="K425" t="s">
        <v>474</v>
      </c>
      <c r="L425" t="s">
        <v>474</v>
      </c>
      <c r="M425" t="s">
        <v>474</v>
      </c>
      <c r="N425" t="s">
        <v>474</v>
      </c>
      <c r="O425" t="s">
        <v>474</v>
      </c>
      <c r="P425" t="s">
        <v>474</v>
      </c>
      <c r="Q425" t="s">
        <v>474</v>
      </c>
      <c r="R425" t="s">
        <v>474</v>
      </c>
      <c r="S425" t="s">
        <v>474</v>
      </c>
      <c r="T425" t="s">
        <v>474</v>
      </c>
      <c r="U425" t="s">
        <v>474</v>
      </c>
      <c r="V425" t="s">
        <v>489</v>
      </c>
      <c r="W425" t="s">
        <v>130</v>
      </c>
      <c r="X425" t="s">
        <v>59</v>
      </c>
      <c r="Y425" t="s">
        <v>479</v>
      </c>
    </row>
    <row r="426" spans="1:25" ht="16" x14ac:dyDescent="0.2">
      <c r="A426" t="s">
        <v>474</v>
      </c>
      <c r="B426" t="s">
        <v>150</v>
      </c>
      <c r="C426" t="s">
        <v>474</v>
      </c>
      <c r="D426" t="s">
        <v>474</v>
      </c>
      <c r="E426" t="s">
        <v>43</v>
      </c>
      <c r="F426" t="s">
        <v>493</v>
      </c>
      <c r="G426" t="s">
        <v>85</v>
      </c>
      <c r="H426" t="s">
        <v>474</v>
      </c>
      <c r="I426" t="s">
        <v>86</v>
      </c>
      <c r="J426" t="s">
        <v>474</v>
      </c>
      <c r="K426" t="s">
        <v>474</v>
      </c>
      <c r="L426" t="s">
        <v>474</v>
      </c>
      <c r="M426" t="s">
        <v>474</v>
      </c>
      <c r="N426" t="s">
        <v>474</v>
      </c>
      <c r="O426" t="s">
        <v>474</v>
      </c>
      <c r="P426" t="s">
        <v>474</v>
      </c>
      <c r="Q426" t="s">
        <v>474</v>
      </c>
      <c r="R426" t="s">
        <v>474</v>
      </c>
      <c r="S426" t="s">
        <v>474</v>
      </c>
      <c r="T426" t="s">
        <v>474</v>
      </c>
      <c r="U426" t="s">
        <v>474</v>
      </c>
      <c r="V426" t="s">
        <v>515</v>
      </c>
      <c r="W426" t="s">
        <v>87</v>
      </c>
      <c r="X426" t="s">
        <v>61</v>
      </c>
      <c r="Y426" t="s">
        <v>482</v>
      </c>
    </row>
    <row r="427" spans="1:25" ht="16" x14ac:dyDescent="0.2">
      <c r="A427" t="s">
        <v>474</v>
      </c>
      <c r="B427" t="s">
        <v>150</v>
      </c>
      <c r="C427" t="s">
        <v>474</v>
      </c>
      <c r="D427" t="s">
        <v>474</v>
      </c>
      <c r="E427" t="s">
        <v>47</v>
      </c>
      <c r="F427" t="s">
        <v>493</v>
      </c>
      <c r="G427" t="s">
        <v>88</v>
      </c>
      <c r="H427" t="s">
        <v>474</v>
      </c>
      <c r="I427" t="s">
        <v>89</v>
      </c>
      <c r="J427" t="s">
        <v>474</v>
      </c>
      <c r="K427" t="s">
        <v>474</v>
      </c>
      <c r="L427" t="s">
        <v>474</v>
      </c>
      <c r="M427" t="s">
        <v>474</v>
      </c>
      <c r="N427" t="s">
        <v>474</v>
      </c>
      <c r="O427" t="s">
        <v>474</v>
      </c>
      <c r="P427" t="s">
        <v>474</v>
      </c>
      <c r="Q427" t="s">
        <v>474</v>
      </c>
      <c r="R427" t="s">
        <v>474</v>
      </c>
      <c r="S427" t="s">
        <v>474</v>
      </c>
      <c r="T427" t="s">
        <v>474</v>
      </c>
      <c r="U427" t="s">
        <v>474</v>
      </c>
      <c r="V427" t="s">
        <v>485</v>
      </c>
      <c r="W427" t="s">
        <v>90</v>
      </c>
      <c r="X427" t="s">
        <v>61</v>
      </c>
      <c r="Y427" t="s">
        <v>482</v>
      </c>
    </row>
    <row r="428" spans="1:25" ht="16" x14ac:dyDescent="0.2">
      <c r="A428" t="s">
        <v>474</v>
      </c>
      <c r="B428" t="s">
        <v>150</v>
      </c>
      <c r="C428" t="s">
        <v>474</v>
      </c>
      <c r="D428" t="s">
        <v>474</v>
      </c>
      <c r="E428" t="s">
        <v>55</v>
      </c>
      <c r="F428" t="s">
        <v>493</v>
      </c>
      <c r="G428" t="s">
        <v>94</v>
      </c>
      <c r="H428" t="s">
        <v>474</v>
      </c>
      <c r="I428" t="s">
        <v>95</v>
      </c>
      <c r="J428" t="s">
        <v>474</v>
      </c>
      <c r="K428" t="s">
        <v>474</v>
      </c>
      <c r="L428" t="s">
        <v>474</v>
      </c>
      <c r="M428" t="s">
        <v>474</v>
      </c>
      <c r="N428" t="s">
        <v>474</v>
      </c>
      <c r="O428" t="s">
        <v>474</v>
      </c>
      <c r="P428" t="s">
        <v>474</v>
      </c>
      <c r="Q428" t="s">
        <v>474</v>
      </c>
      <c r="R428" t="s">
        <v>474</v>
      </c>
      <c r="S428" t="s">
        <v>474</v>
      </c>
      <c r="T428" t="s">
        <v>474</v>
      </c>
      <c r="U428" t="s">
        <v>474</v>
      </c>
      <c r="V428" t="s">
        <v>51</v>
      </c>
      <c r="W428" t="s">
        <v>96</v>
      </c>
      <c r="X428" t="s">
        <v>61</v>
      </c>
      <c r="Y428" t="s">
        <v>482</v>
      </c>
    </row>
    <row r="429" spans="1:25" ht="16" x14ac:dyDescent="0.2">
      <c r="A429" t="s">
        <v>474</v>
      </c>
      <c r="B429" t="s">
        <v>151</v>
      </c>
      <c r="C429" t="s">
        <v>474</v>
      </c>
      <c r="D429" t="s">
        <v>474</v>
      </c>
      <c r="E429" t="s">
        <v>47</v>
      </c>
      <c r="F429" t="s">
        <v>494</v>
      </c>
      <c r="G429" t="s">
        <v>105</v>
      </c>
      <c r="H429" t="s">
        <v>474</v>
      </c>
      <c r="I429" t="s">
        <v>106</v>
      </c>
      <c r="J429" t="s">
        <v>474</v>
      </c>
      <c r="K429" t="s">
        <v>474</v>
      </c>
      <c r="L429" t="s">
        <v>474</v>
      </c>
      <c r="M429" t="s">
        <v>474</v>
      </c>
      <c r="N429" t="s">
        <v>474</v>
      </c>
      <c r="O429" t="s">
        <v>474</v>
      </c>
      <c r="P429" t="s">
        <v>474</v>
      </c>
      <c r="Q429" t="s">
        <v>474</v>
      </c>
      <c r="R429" t="s">
        <v>474</v>
      </c>
      <c r="S429" t="s">
        <v>474</v>
      </c>
      <c r="T429" t="s">
        <v>474</v>
      </c>
      <c r="U429" t="s">
        <v>474</v>
      </c>
      <c r="V429" t="s">
        <v>521</v>
      </c>
      <c r="W429" t="s">
        <v>107</v>
      </c>
      <c r="X429" t="s">
        <v>61</v>
      </c>
      <c r="Y429" t="s">
        <v>482</v>
      </c>
    </row>
    <row r="430" spans="1:25" ht="16" x14ac:dyDescent="0.2">
      <c r="A430" t="s">
        <v>474</v>
      </c>
      <c r="B430" t="s">
        <v>151</v>
      </c>
      <c r="C430" t="s">
        <v>474</v>
      </c>
      <c r="D430" t="s">
        <v>474</v>
      </c>
      <c r="E430" t="s">
        <v>55</v>
      </c>
      <c r="F430" t="s">
        <v>494</v>
      </c>
      <c r="G430" t="s">
        <v>111</v>
      </c>
      <c r="H430" t="s">
        <v>474</v>
      </c>
      <c r="I430" t="s">
        <v>112</v>
      </c>
      <c r="J430" t="s">
        <v>474</v>
      </c>
      <c r="K430" t="s">
        <v>474</v>
      </c>
      <c r="L430" t="s">
        <v>474</v>
      </c>
      <c r="M430" t="s">
        <v>474</v>
      </c>
      <c r="N430" t="s">
        <v>474</v>
      </c>
      <c r="O430" t="s">
        <v>474</v>
      </c>
      <c r="P430" t="s">
        <v>474</v>
      </c>
      <c r="Q430" t="s">
        <v>474</v>
      </c>
      <c r="R430" t="s">
        <v>474</v>
      </c>
      <c r="S430" t="s">
        <v>474</v>
      </c>
      <c r="T430" t="s">
        <v>474</v>
      </c>
      <c r="U430" t="s">
        <v>474</v>
      </c>
      <c r="V430" t="s">
        <v>521</v>
      </c>
      <c r="W430" t="s">
        <v>113</v>
      </c>
      <c r="X430" t="s">
        <v>61</v>
      </c>
      <c r="Y430" t="s">
        <v>482</v>
      </c>
    </row>
    <row r="431" spans="1:25" ht="16" x14ac:dyDescent="0.2">
      <c r="A431" t="s">
        <v>474</v>
      </c>
      <c r="B431" t="s">
        <v>152</v>
      </c>
      <c r="C431" t="s">
        <v>474</v>
      </c>
      <c r="D431" t="s">
        <v>474</v>
      </c>
      <c r="E431" t="s">
        <v>36</v>
      </c>
      <c r="F431" t="s">
        <v>496</v>
      </c>
      <c r="G431" t="s">
        <v>134</v>
      </c>
      <c r="H431" t="s">
        <v>474</v>
      </c>
      <c r="I431" t="s">
        <v>135</v>
      </c>
      <c r="J431" t="s">
        <v>474</v>
      </c>
      <c r="K431" t="s">
        <v>474</v>
      </c>
      <c r="L431" t="s">
        <v>474</v>
      </c>
      <c r="M431" t="s">
        <v>474</v>
      </c>
      <c r="N431" t="s">
        <v>474</v>
      </c>
      <c r="O431" t="s">
        <v>474</v>
      </c>
      <c r="P431" t="s">
        <v>474</v>
      </c>
      <c r="Q431" t="s">
        <v>474</v>
      </c>
      <c r="R431" t="s">
        <v>474</v>
      </c>
      <c r="S431" t="s">
        <v>474</v>
      </c>
      <c r="T431" t="s">
        <v>474</v>
      </c>
      <c r="U431" t="s">
        <v>474</v>
      </c>
      <c r="V431" t="s">
        <v>520</v>
      </c>
      <c r="W431" t="s">
        <v>136</v>
      </c>
      <c r="X431" t="s">
        <v>59</v>
      </c>
      <c r="Y431" t="s">
        <v>479</v>
      </c>
    </row>
    <row r="432" spans="1:25" ht="16" x14ac:dyDescent="0.2">
      <c r="A432" t="s">
        <v>474</v>
      </c>
      <c r="B432" t="s">
        <v>152</v>
      </c>
      <c r="C432" t="s">
        <v>474</v>
      </c>
      <c r="D432" t="s">
        <v>474</v>
      </c>
      <c r="E432" t="s">
        <v>43</v>
      </c>
      <c r="F432" t="s">
        <v>496</v>
      </c>
      <c r="G432" t="s">
        <v>137</v>
      </c>
      <c r="H432" t="s">
        <v>474</v>
      </c>
      <c r="I432" t="s">
        <v>138</v>
      </c>
      <c r="J432" t="s">
        <v>474</v>
      </c>
      <c r="K432" t="s">
        <v>474</v>
      </c>
      <c r="L432" t="s">
        <v>474</v>
      </c>
      <c r="M432" t="s">
        <v>474</v>
      </c>
      <c r="N432" t="s">
        <v>474</v>
      </c>
      <c r="O432" t="s">
        <v>474</v>
      </c>
      <c r="P432" t="s">
        <v>474</v>
      </c>
      <c r="Q432" t="s">
        <v>474</v>
      </c>
      <c r="R432" t="s">
        <v>474</v>
      </c>
      <c r="S432" t="s">
        <v>474</v>
      </c>
      <c r="T432" t="s">
        <v>474</v>
      </c>
      <c r="U432" t="s">
        <v>474</v>
      </c>
      <c r="V432" t="s">
        <v>533</v>
      </c>
      <c r="W432" t="s">
        <v>139</v>
      </c>
      <c r="X432" t="s">
        <v>59</v>
      </c>
      <c r="Y432" t="s">
        <v>479</v>
      </c>
    </row>
    <row r="433" spans="1:25" ht="16" x14ac:dyDescent="0.2">
      <c r="A433" t="s">
        <v>474</v>
      </c>
      <c r="B433" t="s">
        <v>152</v>
      </c>
      <c r="C433" t="s">
        <v>474</v>
      </c>
      <c r="D433" t="s">
        <v>474</v>
      </c>
      <c r="E433" t="s">
        <v>47</v>
      </c>
      <c r="F433" t="s">
        <v>496</v>
      </c>
      <c r="G433" t="s">
        <v>140</v>
      </c>
      <c r="H433" t="s">
        <v>474</v>
      </c>
      <c r="I433" t="s">
        <v>141</v>
      </c>
      <c r="J433" t="s">
        <v>474</v>
      </c>
      <c r="K433" t="s">
        <v>474</v>
      </c>
      <c r="L433" t="s">
        <v>474</v>
      </c>
      <c r="M433" t="s">
        <v>474</v>
      </c>
      <c r="N433" t="s">
        <v>474</v>
      </c>
      <c r="O433" t="s">
        <v>474</v>
      </c>
      <c r="P433" t="s">
        <v>474</v>
      </c>
      <c r="Q433" t="s">
        <v>474</v>
      </c>
      <c r="R433" t="s">
        <v>474</v>
      </c>
      <c r="S433" t="s">
        <v>474</v>
      </c>
      <c r="T433" t="s">
        <v>474</v>
      </c>
      <c r="U433" t="s">
        <v>474</v>
      </c>
      <c r="V433" t="s">
        <v>1011</v>
      </c>
      <c r="W433" t="s">
        <v>142</v>
      </c>
      <c r="X433" t="s">
        <v>59</v>
      </c>
      <c r="Y433" t="s">
        <v>479</v>
      </c>
    </row>
    <row r="434" spans="1:25" ht="16" x14ac:dyDescent="0.2">
      <c r="A434" t="s">
        <v>474</v>
      </c>
      <c r="B434" t="s">
        <v>152</v>
      </c>
      <c r="C434" t="s">
        <v>474</v>
      </c>
      <c r="D434" t="s">
        <v>474</v>
      </c>
      <c r="E434" t="s">
        <v>51</v>
      </c>
      <c r="F434" t="s">
        <v>496</v>
      </c>
      <c r="G434" t="s">
        <v>143</v>
      </c>
      <c r="H434" t="s">
        <v>474</v>
      </c>
      <c r="I434" t="s">
        <v>144</v>
      </c>
      <c r="J434" t="s">
        <v>474</v>
      </c>
      <c r="K434" t="s">
        <v>474</v>
      </c>
      <c r="L434" t="s">
        <v>474</v>
      </c>
      <c r="M434" t="s">
        <v>474</v>
      </c>
      <c r="N434" t="s">
        <v>474</v>
      </c>
      <c r="O434" t="s">
        <v>474</v>
      </c>
      <c r="P434" t="s">
        <v>474</v>
      </c>
      <c r="Q434" t="s">
        <v>474</v>
      </c>
      <c r="R434" t="s">
        <v>474</v>
      </c>
      <c r="S434" t="s">
        <v>474</v>
      </c>
      <c r="T434" t="s">
        <v>474</v>
      </c>
      <c r="U434" t="s">
        <v>474</v>
      </c>
      <c r="V434" t="s">
        <v>543</v>
      </c>
      <c r="W434" t="s">
        <v>145</v>
      </c>
      <c r="X434" t="s">
        <v>59</v>
      </c>
      <c r="Y434" t="s">
        <v>479</v>
      </c>
    </row>
    <row r="435" spans="1:25" ht="16" x14ac:dyDescent="0.2">
      <c r="A435" t="s">
        <v>474</v>
      </c>
      <c r="B435" t="s">
        <v>152</v>
      </c>
      <c r="C435" t="s">
        <v>474</v>
      </c>
      <c r="D435" t="s">
        <v>474</v>
      </c>
      <c r="E435" t="s">
        <v>55</v>
      </c>
      <c r="F435" t="s">
        <v>496</v>
      </c>
      <c r="G435" t="s">
        <v>146</v>
      </c>
      <c r="H435" t="s">
        <v>474</v>
      </c>
      <c r="I435" t="s">
        <v>147</v>
      </c>
      <c r="J435" t="s">
        <v>474</v>
      </c>
      <c r="K435" t="s">
        <v>474</v>
      </c>
      <c r="L435" t="s">
        <v>474</v>
      </c>
      <c r="M435" t="s">
        <v>474</v>
      </c>
      <c r="N435" t="s">
        <v>474</v>
      </c>
      <c r="O435" t="s">
        <v>474</v>
      </c>
      <c r="P435" t="s">
        <v>474</v>
      </c>
      <c r="Q435" t="s">
        <v>474</v>
      </c>
      <c r="R435" t="s">
        <v>474</v>
      </c>
      <c r="S435" t="s">
        <v>474</v>
      </c>
      <c r="T435" t="s">
        <v>474</v>
      </c>
      <c r="U435" t="s">
        <v>474</v>
      </c>
      <c r="V435" t="s">
        <v>546</v>
      </c>
      <c r="W435" t="s">
        <v>148</v>
      </c>
      <c r="X435" t="s">
        <v>59</v>
      </c>
      <c r="Y435" t="s">
        <v>479</v>
      </c>
    </row>
    <row r="436" spans="1:25" ht="16" x14ac:dyDescent="0.2">
      <c r="A436" t="s">
        <v>474</v>
      </c>
      <c r="B436" t="s">
        <v>153</v>
      </c>
      <c r="C436" t="s">
        <v>474</v>
      </c>
      <c r="D436" t="s">
        <v>474</v>
      </c>
      <c r="E436" t="s">
        <v>36</v>
      </c>
      <c r="F436" t="s">
        <v>498</v>
      </c>
      <c r="G436" t="s">
        <v>154</v>
      </c>
      <c r="H436" t="s">
        <v>474</v>
      </c>
      <c r="I436" t="s">
        <v>155</v>
      </c>
      <c r="J436" t="s">
        <v>474</v>
      </c>
      <c r="K436" t="s">
        <v>474</v>
      </c>
      <c r="L436" t="s">
        <v>474</v>
      </c>
      <c r="M436" t="s">
        <v>474</v>
      </c>
      <c r="N436" t="s">
        <v>474</v>
      </c>
      <c r="O436" t="s">
        <v>474</v>
      </c>
      <c r="P436" t="s">
        <v>474</v>
      </c>
      <c r="Q436" t="s">
        <v>474</v>
      </c>
      <c r="R436" t="s">
        <v>474</v>
      </c>
      <c r="S436" t="s">
        <v>474</v>
      </c>
      <c r="T436" t="s">
        <v>474</v>
      </c>
      <c r="U436" t="s">
        <v>474</v>
      </c>
      <c r="V436" t="s">
        <v>552</v>
      </c>
      <c r="W436" t="s">
        <v>39</v>
      </c>
      <c r="X436" t="s">
        <v>59</v>
      </c>
      <c r="Y436" t="s">
        <v>479</v>
      </c>
    </row>
    <row r="437" spans="1:25" ht="16" x14ac:dyDescent="0.2">
      <c r="A437" t="s">
        <v>474</v>
      </c>
      <c r="B437" t="s">
        <v>153</v>
      </c>
      <c r="C437" t="s">
        <v>474</v>
      </c>
      <c r="D437" t="s">
        <v>474</v>
      </c>
      <c r="E437" t="s">
        <v>51</v>
      </c>
      <c r="F437" t="s">
        <v>498</v>
      </c>
      <c r="G437" t="s">
        <v>162</v>
      </c>
      <c r="H437" t="s">
        <v>474</v>
      </c>
      <c r="I437" t="s">
        <v>163</v>
      </c>
      <c r="J437" t="s">
        <v>474</v>
      </c>
      <c r="K437" t="s">
        <v>474</v>
      </c>
      <c r="L437" t="s">
        <v>474</v>
      </c>
      <c r="M437" t="s">
        <v>474</v>
      </c>
      <c r="N437" t="s">
        <v>474</v>
      </c>
      <c r="O437" t="s">
        <v>474</v>
      </c>
      <c r="P437" t="s">
        <v>474</v>
      </c>
      <c r="Q437" t="s">
        <v>474</v>
      </c>
      <c r="R437" t="s">
        <v>474</v>
      </c>
      <c r="S437" t="s">
        <v>474</v>
      </c>
      <c r="T437" t="s">
        <v>474</v>
      </c>
      <c r="U437" t="s">
        <v>474</v>
      </c>
      <c r="V437" t="s">
        <v>536</v>
      </c>
      <c r="W437" t="s">
        <v>164</v>
      </c>
      <c r="X437" t="s">
        <v>59</v>
      </c>
      <c r="Y437" t="s">
        <v>479</v>
      </c>
    </row>
    <row r="438" spans="1:25" ht="16" x14ac:dyDescent="0.2">
      <c r="A438" t="s">
        <v>474</v>
      </c>
      <c r="B438" t="s">
        <v>167</v>
      </c>
      <c r="C438" t="s">
        <v>474</v>
      </c>
      <c r="D438" t="s">
        <v>474</v>
      </c>
      <c r="E438" t="s">
        <v>36</v>
      </c>
      <c r="F438" t="s">
        <v>495</v>
      </c>
      <c r="G438" t="s">
        <v>116</v>
      </c>
      <c r="H438" t="s">
        <v>474</v>
      </c>
      <c r="I438" t="s">
        <v>117</v>
      </c>
      <c r="J438" t="s">
        <v>474</v>
      </c>
      <c r="K438" t="s">
        <v>474</v>
      </c>
      <c r="L438" t="s">
        <v>474</v>
      </c>
      <c r="M438" t="s">
        <v>474</v>
      </c>
      <c r="N438" t="s">
        <v>474</v>
      </c>
      <c r="O438" t="s">
        <v>474</v>
      </c>
      <c r="P438" t="s">
        <v>474</v>
      </c>
      <c r="Q438" t="s">
        <v>474</v>
      </c>
      <c r="R438" t="s">
        <v>474</v>
      </c>
      <c r="S438" t="s">
        <v>474</v>
      </c>
      <c r="T438" t="s">
        <v>474</v>
      </c>
      <c r="U438" t="s">
        <v>474</v>
      </c>
      <c r="V438" t="s">
        <v>485</v>
      </c>
      <c r="W438" t="s">
        <v>118</v>
      </c>
      <c r="X438" t="s">
        <v>61</v>
      </c>
      <c r="Y438" t="s">
        <v>482</v>
      </c>
    </row>
    <row r="439" spans="1:25" ht="16" x14ac:dyDescent="0.2">
      <c r="A439" t="s">
        <v>474</v>
      </c>
      <c r="B439" t="s">
        <v>167</v>
      </c>
      <c r="C439" t="s">
        <v>474</v>
      </c>
      <c r="D439" t="s">
        <v>474</v>
      </c>
      <c r="E439" t="s">
        <v>43</v>
      </c>
      <c r="F439" t="s">
        <v>495</v>
      </c>
      <c r="G439" t="s">
        <v>119</v>
      </c>
      <c r="H439" t="s">
        <v>474</v>
      </c>
      <c r="I439" t="s">
        <v>120</v>
      </c>
      <c r="J439" t="s">
        <v>474</v>
      </c>
      <c r="K439" t="s">
        <v>474</v>
      </c>
      <c r="L439" t="s">
        <v>474</v>
      </c>
      <c r="M439" t="s">
        <v>474</v>
      </c>
      <c r="N439" t="s">
        <v>474</v>
      </c>
      <c r="O439" t="s">
        <v>474</v>
      </c>
      <c r="P439" t="s">
        <v>474</v>
      </c>
      <c r="Q439" t="s">
        <v>474</v>
      </c>
      <c r="R439" t="s">
        <v>474</v>
      </c>
      <c r="S439" t="s">
        <v>474</v>
      </c>
      <c r="T439" t="s">
        <v>474</v>
      </c>
      <c r="U439" t="s">
        <v>474</v>
      </c>
      <c r="V439" t="s">
        <v>490</v>
      </c>
      <c r="W439" t="s">
        <v>121</v>
      </c>
      <c r="X439" t="s">
        <v>61</v>
      </c>
      <c r="Y439" t="s">
        <v>482</v>
      </c>
    </row>
    <row r="440" spans="1:25" ht="16" x14ac:dyDescent="0.2">
      <c r="A440" t="s">
        <v>474</v>
      </c>
      <c r="B440" t="s">
        <v>167</v>
      </c>
      <c r="C440" t="s">
        <v>474</v>
      </c>
      <c r="D440" t="s">
        <v>474</v>
      </c>
      <c r="E440" t="s">
        <v>47</v>
      </c>
      <c r="F440" t="s">
        <v>495</v>
      </c>
      <c r="G440" t="s">
        <v>122</v>
      </c>
      <c r="H440" t="s">
        <v>474</v>
      </c>
      <c r="I440" t="s">
        <v>123</v>
      </c>
      <c r="J440" t="s">
        <v>474</v>
      </c>
      <c r="K440" t="s">
        <v>474</v>
      </c>
      <c r="L440" t="s">
        <v>474</v>
      </c>
      <c r="M440" t="s">
        <v>474</v>
      </c>
      <c r="N440" t="s">
        <v>474</v>
      </c>
      <c r="O440" t="s">
        <v>474</v>
      </c>
      <c r="P440" t="s">
        <v>474</v>
      </c>
      <c r="Q440" t="s">
        <v>474</v>
      </c>
      <c r="R440" t="s">
        <v>474</v>
      </c>
      <c r="S440" t="s">
        <v>474</v>
      </c>
      <c r="T440" t="s">
        <v>474</v>
      </c>
      <c r="U440" t="s">
        <v>474</v>
      </c>
      <c r="V440" t="s">
        <v>490</v>
      </c>
      <c r="W440" t="s">
        <v>124</v>
      </c>
      <c r="X440" t="s">
        <v>61</v>
      </c>
      <c r="Y440" t="s">
        <v>482</v>
      </c>
    </row>
    <row r="441" spans="1:25" ht="16" x14ac:dyDescent="0.2">
      <c r="A441" t="s">
        <v>474</v>
      </c>
      <c r="B441" t="s">
        <v>167</v>
      </c>
      <c r="C441" t="s">
        <v>474</v>
      </c>
      <c r="D441" t="s">
        <v>474</v>
      </c>
      <c r="E441" t="s">
        <v>51</v>
      </c>
      <c r="F441" t="s">
        <v>495</v>
      </c>
      <c r="G441" t="s">
        <v>125</v>
      </c>
      <c r="H441" t="s">
        <v>474</v>
      </c>
      <c r="I441" t="s">
        <v>126</v>
      </c>
      <c r="J441" t="s">
        <v>474</v>
      </c>
      <c r="K441" t="s">
        <v>474</v>
      </c>
      <c r="L441" t="s">
        <v>474</v>
      </c>
      <c r="M441" t="s">
        <v>474</v>
      </c>
      <c r="N441" t="s">
        <v>474</v>
      </c>
      <c r="O441" t="s">
        <v>474</v>
      </c>
      <c r="P441" t="s">
        <v>474</v>
      </c>
      <c r="Q441" t="s">
        <v>474</v>
      </c>
      <c r="R441" t="s">
        <v>474</v>
      </c>
      <c r="S441" t="s">
        <v>474</v>
      </c>
      <c r="T441" t="s">
        <v>474</v>
      </c>
      <c r="U441" t="s">
        <v>474</v>
      </c>
      <c r="V441" t="s">
        <v>485</v>
      </c>
      <c r="W441" t="s">
        <v>127</v>
      </c>
      <c r="X441" t="s">
        <v>61</v>
      </c>
      <c r="Y441" t="s">
        <v>482</v>
      </c>
    </row>
    <row r="442" spans="1:25" ht="16" x14ac:dyDescent="0.2">
      <c r="A442" t="s">
        <v>474</v>
      </c>
      <c r="B442" t="s">
        <v>167</v>
      </c>
      <c r="C442" t="s">
        <v>474</v>
      </c>
      <c r="D442" t="s">
        <v>474</v>
      </c>
      <c r="E442" t="s">
        <v>55</v>
      </c>
      <c r="F442" t="s">
        <v>495</v>
      </c>
      <c r="G442" t="s">
        <v>128</v>
      </c>
      <c r="H442" t="s">
        <v>474</v>
      </c>
      <c r="I442" t="s">
        <v>129</v>
      </c>
      <c r="J442" t="s">
        <v>474</v>
      </c>
      <c r="K442" t="s">
        <v>474</v>
      </c>
      <c r="L442" t="s">
        <v>474</v>
      </c>
      <c r="M442" t="s">
        <v>474</v>
      </c>
      <c r="N442" t="s">
        <v>474</v>
      </c>
      <c r="O442" t="s">
        <v>474</v>
      </c>
      <c r="P442" t="s">
        <v>474</v>
      </c>
      <c r="Q442" t="s">
        <v>474</v>
      </c>
      <c r="R442" t="s">
        <v>474</v>
      </c>
      <c r="S442" t="s">
        <v>474</v>
      </c>
      <c r="T442" t="s">
        <v>474</v>
      </c>
      <c r="U442" t="s">
        <v>474</v>
      </c>
      <c r="V442" t="s">
        <v>491</v>
      </c>
      <c r="W442" t="s">
        <v>130</v>
      </c>
      <c r="X442" t="s">
        <v>61</v>
      </c>
      <c r="Y442" t="s">
        <v>482</v>
      </c>
    </row>
    <row r="443" spans="1:25" ht="16" x14ac:dyDescent="0.2">
      <c r="A443" t="s">
        <v>474</v>
      </c>
      <c r="B443" t="s">
        <v>168</v>
      </c>
      <c r="C443" t="s">
        <v>474</v>
      </c>
      <c r="D443" t="s">
        <v>474</v>
      </c>
      <c r="E443" t="s">
        <v>36</v>
      </c>
      <c r="F443" t="s">
        <v>496</v>
      </c>
      <c r="G443" t="s">
        <v>134</v>
      </c>
      <c r="H443" t="s">
        <v>474</v>
      </c>
      <c r="I443" t="s">
        <v>135</v>
      </c>
      <c r="J443" t="s">
        <v>474</v>
      </c>
      <c r="K443" t="s">
        <v>474</v>
      </c>
      <c r="L443" t="s">
        <v>474</v>
      </c>
      <c r="M443" t="s">
        <v>474</v>
      </c>
      <c r="N443" t="s">
        <v>474</v>
      </c>
      <c r="O443" t="s">
        <v>474</v>
      </c>
      <c r="P443" t="s">
        <v>474</v>
      </c>
      <c r="Q443" t="s">
        <v>474</v>
      </c>
      <c r="R443" t="s">
        <v>474</v>
      </c>
      <c r="S443" t="s">
        <v>474</v>
      </c>
      <c r="T443" t="s">
        <v>474</v>
      </c>
      <c r="U443" t="s">
        <v>474</v>
      </c>
      <c r="V443" t="s">
        <v>520</v>
      </c>
      <c r="W443" t="s">
        <v>136</v>
      </c>
      <c r="X443" t="s">
        <v>61</v>
      </c>
      <c r="Y443" t="s">
        <v>482</v>
      </c>
    </row>
    <row r="444" spans="1:25" ht="16" x14ac:dyDescent="0.2">
      <c r="A444" t="s">
        <v>474</v>
      </c>
      <c r="B444" t="s">
        <v>168</v>
      </c>
      <c r="C444" t="s">
        <v>474</v>
      </c>
      <c r="D444" t="s">
        <v>474</v>
      </c>
      <c r="E444" t="s">
        <v>43</v>
      </c>
      <c r="F444" t="s">
        <v>496</v>
      </c>
      <c r="G444" t="s">
        <v>137</v>
      </c>
      <c r="H444" t="s">
        <v>474</v>
      </c>
      <c r="I444" t="s">
        <v>138</v>
      </c>
      <c r="J444" t="s">
        <v>474</v>
      </c>
      <c r="K444" t="s">
        <v>474</v>
      </c>
      <c r="L444" t="s">
        <v>474</v>
      </c>
      <c r="M444" t="s">
        <v>474</v>
      </c>
      <c r="N444" t="s">
        <v>474</v>
      </c>
      <c r="O444" t="s">
        <v>474</v>
      </c>
      <c r="P444" t="s">
        <v>474</v>
      </c>
      <c r="Q444" t="s">
        <v>474</v>
      </c>
      <c r="R444" t="s">
        <v>474</v>
      </c>
      <c r="S444" t="s">
        <v>474</v>
      </c>
      <c r="T444" t="s">
        <v>474</v>
      </c>
      <c r="U444" t="s">
        <v>474</v>
      </c>
      <c r="V444" t="s">
        <v>1142</v>
      </c>
      <c r="W444" t="s">
        <v>139</v>
      </c>
      <c r="X444" t="s">
        <v>61</v>
      </c>
      <c r="Y444" t="s">
        <v>482</v>
      </c>
    </row>
    <row r="445" spans="1:25" ht="16" x14ac:dyDescent="0.2">
      <c r="A445" t="s">
        <v>474</v>
      </c>
      <c r="B445" t="s">
        <v>168</v>
      </c>
      <c r="C445" t="s">
        <v>474</v>
      </c>
      <c r="D445" t="s">
        <v>474</v>
      </c>
      <c r="E445" t="s">
        <v>47</v>
      </c>
      <c r="F445" t="s">
        <v>496</v>
      </c>
      <c r="G445" t="s">
        <v>140</v>
      </c>
      <c r="H445" t="s">
        <v>474</v>
      </c>
      <c r="I445" t="s">
        <v>141</v>
      </c>
      <c r="J445" t="s">
        <v>474</v>
      </c>
      <c r="K445" t="s">
        <v>474</v>
      </c>
      <c r="L445" t="s">
        <v>474</v>
      </c>
      <c r="M445" t="s">
        <v>474</v>
      </c>
      <c r="N445" t="s">
        <v>474</v>
      </c>
      <c r="O445" t="s">
        <v>474</v>
      </c>
      <c r="P445" t="s">
        <v>474</v>
      </c>
      <c r="Q445" t="s">
        <v>474</v>
      </c>
      <c r="R445" t="s">
        <v>474</v>
      </c>
      <c r="S445" t="s">
        <v>474</v>
      </c>
      <c r="T445" t="s">
        <v>474</v>
      </c>
      <c r="U445" t="s">
        <v>474</v>
      </c>
      <c r="V445" t="s">
        <v>683</v>
      </c>
      <c r="W445" t="s">
        <v>142</v>
      </c>
      <c r="X445" t="s">
        <v>61</v>
      </c>
      <c r="Y445" t="s">
        <v>482</v>
      </c>
    </row>
    <row r="446" spans="1:25" ht="16" x14ac:dyDescent="0.2">
      <c r="A446" t="s">
        <v>474</v>
      </c>
      <c r="B446" t="s">
        <v>168</v>
      </c>
      <c r="C446" t="s">
        <v>474</v>
      </c>
      <c r="D446" t="s">
        <v>474</v>
      </c>
      <c r="E446" t="s">
        <v>51</v>
      </c>
      <c r="F446" t="s">
        <v>496</v>
      </c>
      <c r="G446" t="s">
        <v>143</v>
      </c>
      <c r="H446" t="s">
        <v>474</v>
      </c>
      <c r="I446" t="s">
        <v>144</v>
      </c>
      <c r="J446" t="s">
        <v>474</v>
      </c>
      <c r="K446" t="s">
        <v>474</v>
      </c>
      <c r="L446" t="s">
        <v>474</v>
      </c>
      <c r="M446" t="s">
        <v>474</v>
      </c>
      <c r="N446" t="s">
        <v>474</v>
      </c>
      <c r="O446" t="s">
        <v>474</v>
      </c>
      <c r="P446" t="s">
        <v>474</v>
      </c>
      <c r="Q446" t="s">
        <v>474</v>
      </c>
      <c r="R446" t="s">
        <v>474</v>
      </c>
      <c r="S446" t="s">
        <v>474</v>
      </c>
      <c r="T446" t="s">
        <v>474</v>
      </c>
      <c r="U446" t="s">
        <v>474</v>
      </c>
      <c r="V446" t="s">
        <v>543</v>
      </c>
      <c r="W446" t="s">
        <v>145</v>
      </c>
      <c r="X446" t="s">
        <v>61</v>
      </c>
      <c r="Y446" t="s">
        <v>482</v>
      </c>
    </row>
    <row r="447" spans="1:25" ht="16" x14ac:dyDescent="0.2">
      <c r="A447" t="s">
        <v>474</v>
      </c>
      <c r="B447" t="s">
        <v>168</v>
      </c>
      <c r="C447" t="s">
        <v>474</v>
      </c>
      <c r="D447" t="s">
        <v>474</v>
      </c>
      <c r="E447" t="s">
        <v>55</v>
      </c>
      <c r="F447" t="s">
        <v>496</v>
      </c>
      <c r="G447" t="s">
        <v>146</v>
      </c>
      <c r="H447" t="s">
        <v>474</v>
      </c>
      <c r="I447" t="s">
        <v>147</v>
      </c>
      <c r="J447" t="s">
        <v>474</v>
      </c>
      <c r="K447" t="s">
        <v>474</v>
      </c>
      <c r="L447" t="s">
        <v>474</v>
      </c>
      <c r="M447" t="s">
        <v>474</v>
      </c>
      <c r="N447" t="s">
        <v>474</v>
      </c>
      <c r="O447" t="s">
        <v>474</v>
      </c>
      <c r="P447" t="s">
        <v>474</v>
      </c>
      <c r="Q447" t="s">
        <v>474</v>
      </c>
      <c r="R447" t="s">
        <v>474</v>
      </c>
      <c r="S447" t="s">
        <v>474</v>
      </c>
      <c r="T447" t="s">
        <v>474</v>
      </c>
      <c r="U447" t="s">
        <v>474</v>
      </c>
      <c r="V447" t="s">
        <v>1144</v>
      </c>
      <c r="W447" t="s">
        <v>148</v>
      </c>
      <c r="X447" t="s">
        <v>61</v>
      </c>
      <c r="Y447" t="s">
        <v>482</v>
      </c>
    </row>
    <row r="448" spans="1:25" ht="16" x14ac:dyDescent="0.2">
      <c r="A448" t="s">
        <v>474</v>
      </c>
      <c r="B448" t="s">
        <v>169</v>
      </c>
      <c r="C448" t="s">
        <v>474</v>
      </c>
      <c r="D448" t="s">
        <v>474</v>
      </c>
      <c r="E448" t="s">
        <v>36</v>
      </c>
      <c r="F448" t="s">
        <v>498</v>
      </c>
      <c r="G448" t="s">
        <v>154</v>
      </c>
      <c r="H448" t="s">
        <v>474</v>
      </c>
      <c r="I448" t="s">
        <v>155</v>
      </c>
      <c r="J448" t="s">
        <v>474</v>
      </c>
      <c r="K448" t="s">
        <v>474</v>
      </c>
      <c r="L448" t="s">
        <v>474</v>
      </c>
      <c r="M448" t="s">
        <v>474</v>
      </c>
      <c r="N448" t="s">
        <v>474</v>
      </c>
      <c r="O448" t="s">
        <v>474</v>
      </c>
      <c r="P448" t="s">
        <v>474</v>
      </c>
      <c r="Q448" t="s">
        <v>474</v>
      </c>
      <c r="R448" t="s">
        <v>474</v>
      </c>
      <c r="S448" t="s">
        <v>474</v>
      </c>
      <c r="T448" t="s">
        <v>474</v>
      </c>
      <c r="U448" t="s">
        <v>474</v>
      </c>
      <c r="V448" t="s">
        <v>552</v>
      </c>
      <c r="W448" t="s">
        <v>39</v>
      </c>
      <c r="X448" t="s">
        <v>61</v>
      </c>
      <c r="Y448" t="s">
        <v>482</v>
      </c>
    </row>
    <row r="449" spans="1:25" ht="16" x14ac:dyDescent="0.2">
      <c r="A449" t="s">
        <v>474</v>
      </c>
      <c r="B449" t="s">
        <v>169</v>
      </c>
      <c r="C449" t="s">
        <v>474</v>
      </c>
      <c r="D449" t="s">
        <v>474</v>
      </c>
      <c r="E449" t="s">
        <v>43</v>
      </c>
      <c r="F449" t="s">
        <v>498</v>
      </c>
      <c r="G449" t="s">
        <v>156</v>
      </c>
      <c r="H449" t="s">
        <v>474</v>
      </c>
      <c r="I449" t="s">
        <v>157</v>
      </c>
      <c r="J449" t="s">
        <v>474</v>
      </c>
      <c r="K449" t="s">
        <v>474</v>
      </c>
      <c r="L449" t="s">
        <v>474</v>
      </c>
      <c r="M449" t="s">
        <v>474</v>
      </c>
      <c r="N449" t="s">
        <v>474</v>
      </c>
      <c r="O449" t="s">
        <v>474</v>
      </c>
      <c r="P449" t="s">
        <v>474</v>
      </c>
      <c r="Q449" t="s">
        <v>474</v>
      </c>
      <c r="R449" t="s">
        <v>474</v>
      </c>
      <c r="S449" t="s">
        <v>474</v>
      </c>
      <c r="T449" t="s">
        <v>474</v>
      </c>
      <c r="U449" t="s">
        <v>474</v>
      </c>
      <c r="V449" t="s">
        <v>55</v>
      </c>
      <c r="W449" t="s">
        <v>158</v>
      </c>
      <c r="X449" t="s">
        <v>61</v>
      </c>
      <c r="Y449" t="s">
        <v>482</v>
      </c>
    </row>
    <row r="450" spans="1:25" ht="16" x14ac:dyDescent="0.2">
      <c r="A450" t="s">
        <v>474</v>
      </c>
      <c r="B450" t="s">
        <v>169</v>
      </c>
      <c r="C450" t="s">
        <v>474</v>
      </c>
      <c r="D450" t="s">
        <v>474</v>
      </c>
      <c r="E450" t="s">
        <v>47</v>
      </c>
      <c r="F450" t="s">
        <v>498</v>
      </c>
      <c r="G450" t="s">
        <v>159</v>
      </c>
      <c r="H450" t="s">
        <v>474</v>
      </c>
      <c r="I450" t="s">
        <v>160</v>
      </c>
      <c r="J450" t="s">
        <v>474</v>
      </c>
      <c r="K450" t="s">
        <v>474</v>
      </c>
      <c r="L450" t="s">
        <v>474</v>
      </c>
      <c r="M450" t="s">
        <v>474</v>
      </c>
      <c r="N450" t="s">
        <v>474</v>
      </c>
      <c r="O450" t="s">
        <v>474</v>
      </c>
      <c r="P450" t="s">
        <v>474</v>
      </c>
      <c r="Q450" t="s">
        <v>474</v>
      </c>
      <c r="R450" t="s">
        <v>474</v>
      </c>
      <c r="S450" t="s">
        <v>474</v>
      </c>
      <c r="T450" t="s">
        <v>474</v>
      </c>
      <c r="U450" t="s">
        <v>474</v>
      </c>
      <c r="V450" t="s">
        <v>434</v>
      </c>
      <c r="W450" t="s">
        <v>161</v>
      </c>
      <c r="X450" t="s">
        <v>61</v>
      </c>
      <c r="Y450" t="s">
        <v>482</v>
      </c>
    </row>
    <row r="451" spans="1:25" ht="16" x14ac:dyDescent="0.2">
      <c r="A451" t="s">
        <v>474</v>
      </c>
      <c r="B451" t="s">
        <v>169</v>
      </c>
      <c r="C451" t="s">
        <v>474</v>
      </c>
      <c r="D451" t="s">
        <v>474</v>
      </c>
      <c r="E451" t="s">
        <v>51</v>
      </c>
      <c r="F451" t="s">
        <v>498</v>
      </c>
      <c r="G451" t="s">
        <v>162</v>
      </c>
      <c r="H451" t="s">
        <v>474</v>
      </c>
      <c r="I451" t="s">
        <v>163</v>
      </c>
      <c r="J451" t="s">
        <v>474</v>
      </c>
      <c r="K451" t="s">
        <v>474</v>
      </c>
      <c r="L451" t="s">
        <v>474</v>
      </c>
      <c r="M451" t="s">
        <v>474</v>
      </c>
      <c r="N451" t="s">
        <v>474</v>
      </c>
      <c r="O451" t="s">
        <v>474</v>
      </c>
      <c r="P451" t="s">
        <v>474</v>
      </c>
      <c r="Q451" t="s">
        <v>474</v>
      </c>
      <c r="R451" t="s">
        <v>474</v>
      </c>
      <c r="S451" t="s">
        <v>474</v>
      </c>
      <c r="T451" t="s">
        <v>474</v>
      </c>
      <c r="U451" t="s">
        <v>474</v>
      </c>
      <c r="V451" t="s">
        <v>536</v>
      </c>
      <c r="W451" t="s">
        <v>164</v>
      </c>
      <c r="X451" t="s">
        <v>61</v>
      </c>
      <c r="Y451" t="s">
        <v>482</v>
      </c>
    </row>
    <row r="452" spans="1:25" ht="16" x14ac:dyDescent="0.2">
      <c r="A452" t="s">
        <v>474</v>
      </c>
      <c r="B452" t="s">
        <v>169</v>
      </c>
      <c r="C452" t="s">
        <v>474</v>
      </c>
      <c r="D452" t="s">
        <v>474</v>
      </c>
      <c r="E452" t="s">
        <v>55</v>
      </c>
      <c r="F452" t="s">
        <v>498</v>
      </c>
      <c r="G452" t="s">
        <v>165</v>
      </c>
      <c r="H452" t="s">
        <v>474</v>
      </c>
      <c r="I452" t="s">
        <v>166</v>
      </c>
      <c r="J452" t="s">
        <v>474</v>
      </c>
      <c r="K452" t="s">
        <v>474</v>
      </c>
      <c r="L452" t="s">
        <v>474</v>
      </c>
      <c r="M452" t="s">
        <v>474</v>
      </c>
      <c r="N452" t="s">
        <v>474</v>
      </c>
      <c r="O452" t="s">
        <v>474</v>
      </c>
      <c r="P452" t="s">
        <v>474</v>
      </c>
      <c r="Q452" t="s">
        <v>474</v>
      </c>
      <c r="R452" t="s">
        <v>474</v>
      </c>
      <c r="S452" t="s">
        <v>474</v>
      </c>
      <c r="T452" t="s">
        <v>474</v>
      </c>
      <c r="U452" t="s">
        <v>474</v>
      </c>
      <c r="V452" t="s">
        <v>520</v>
      </c>
      <c r="W452" t="s">
        <v>58</v>
      </c>
      <c r="X452" t="s">
        <v>61</v>
      </c>
      <c r="Y452" t="s">
        <v>482</v>
      </c>
    </row>
    <row r="453" spans="1:25" ht="16" x14ac:dyDescent="0.2">
      <c r="A453" t="s">
        <v>474</v>
      </c>
      <c r="B453" t="s">
        <v>173</v>
      </c>
      <c r="C453" t="s">
        <v>474</v>
      </c>
      <c r="D453" t="s">
        <v>474</v>
      </c>
      <c r="E453" t="s">
        <v>36</v>
      </c>
      <c r="F453" t="s">
        <v>500</v>
      </c>
      <c r="G453" t="s">
        <v>174</v>
      </c>
      <c r="H453" t="s">
        <v>474</v>
      </c>
      <c r="I453" t="s">
        <v>175</v>
      </c>
      <c r="J453" t="s">
        <v>474</v>
      </c>
      <c r="K453" t="s">
        <v>474</v>
      </c>
      <c r="L453" t="s">
        <v>474</v>
      </c>
      <c r="M453" t="s">
        <v>474</v>
      </c>
      <c r="N453" t="s">
        <v>474</v>
      </c>
      <c r="O453" t="s">
        <v>474</v>
      </c>
      <c r="P453" t="s">
        <v>474</v>
      </c>
      <c r="Q453" t="s">
        <v>474</v>
      </c>
      <c r="R453" t="s">
        <v>474</v>
      </c>
      <c r="S453" t="s">
        <v>474</v>
      </c>
      <c r="T453" t="s">
        <v>474</v>
      </c>
      <c r="U453" t="s">
        <v>474</v>
      </c>
      <c r="V453" t="s">
        <v>526</v>
      </c>
      <c r="W453" t="s">
        <v>176</v>
      </c>
      <c r="X453" t="s">
        <v>30</v>
      </c>
      <c r="Y453" t="s">
        <v>476</v>
      </c>
    </row>
    <row r="454" spans="1:25" ht="16" x14ac:dyDescent="0.2">
      <c r="A454" t="s">
        <v>474</v>
      </c>
      <c r="B454" t="s">
        <v>173</v>
      </c>
      <c r="C454" t="s">
        <v>474</v>
      </c>
      <c r="D454" t="s">
        <v>474</v>
      </c>
      <c r="E454" t="s">
        <v>43</v>
      </c>
      <c r="F454" t="s">
        <v>500</v>
      </c>
      <c r="G454" t="s">
        <v>177</v>
      </c>
      <c r="H454" t="s">
        <v>474</v>
      </c>
      <c r="I454" t="s">
        <v>178</v>
      </c>
      <c r="J454" t="s">
        <v>474</v>
      </c>
      <c r="K454" t="s">
        <v>474</v>
      </c>
      <c r="L454" t="s">
        <v>474</v>
      </c>
      <c r="M454" t="s">
        <v>474</v>
      </c>
      <c r="N454" t="s">
        <v>474</v>
      </c>
      <c r="O454" t="s">
        <v>474</v>
      </c>
      <c r="P454" t="s">
        <v>474</v>
      </c>
      <c r="Q454" t="s">
        <v>474</v>
      </c>
      <c r="R454" t="s">
        <v>474</v>
      </c>
      <c r="S454" t="s">
        <v>474</v>
      </c>
      <c r="T454" t="s">
        <v>474</v>
      </c>
      <c r="U454" t="s">
        <v>474</v>
      </c>
      <c r="V454" t="s">
        <v>51</v>
      </c>
      <c r="W454" t="s">
        <v>179</v>
      </c>
      <c r="X454" t="s">
        <v>30</v>
      </c>
      <c r="Y454" t="s">
        <v>476</v>
      </c>
    </row>
    <row r="455" spans="1:25" ht="16" x14ac:dyDescent="0.2">
      <c r="A455" t="s">
        <v>474</v>
      </c>
      <c r="B455" t="s">
        <v>173</v>
      </c>
      <c r="C455" t="s">
        <v>474</v>
      </c>
      <c r="D455" t="s">
        <v>474</v>
      </c>
      <c r="E455" t="s">
        <v>47</v>
      </c>
      <c r="F455" t="s">
        <v>500</v>
      </c>
      <c r="G455" t="s">
        <v>180</v>
      </c>
      <c r="H455" t="s">
        <v>474</v>
      </c>
      <c r="I455" t="s">
        <v>181</v>
      </c>
      <c r="J455" t="s">
        <v>474</v>
      </c>
      <c r="K455" t="s">
        <v>474</v>
      </c>
      <c r="L455" t="s">
        <v>474</v>
      </c>
      <c r="M455" t="s">
        <v>474</v>
      </c>
      <c r="N455" t="s">
        <v>474</v>
      </c>
      <c r="O455" t="s">
        <v>474</v>
      </c>
      <c r="P455" t="s">
        <v>474</v>
      </c>
      <c r="Q455" t="s">
        <v>474</v>
      </c>
      <c r="R455" t="s">
        <v>474</v>
      </c>
      <c r="S455" t="s">
        <v>474</v>
      </c>
      <c r="T455" t="s">
        <v>474</v>
      </c>
      <c r="U455" t="s">
        <v>474</v>
      </c>
      <c r="V455" t="s">
        <v>552</v>
      </c>
      <c r="W455" t="s">
        <v>182</v>
      </c>
      <c r="X455" t="s">
        <v>30</v>
      </c>
      <c r="Y455" t="s">
        <v>476</v>
      </c>
    </row>
    <row r="456" spans="1:25" ht="16" x14ac:dyDescent="0.2">
      <c r="A456" t="s">
        <v>474</v>
      </c>
      <c r="B456" t="s">
        <v>173</v>
      </c>
      <c r="C456" t="s">
        <v>474</v>
      </c>
      <c r="D456" t="s">
        <v>474</v>
      </c>
      <c r="E456" t="s">
        <v>51</v>
      </c>
      <c r="F456" t="s">
        <v>500</v>
      </c>
      <c r="G456" t="s">
        <v>183</v>
      </c>
      <c r="H456" t="s">
        <v>474</v>
      </c>
      <c r="I456" t="s">
        <v>184</v>
      </c>
      <c r="J456" t="s">
        <v>474</v>
      </c>
      <c r="K456" t="s">
        <v>474</v>
      </c>
      <c r="L456" t="s">
        <v>474</v>
      </c>
      <c r="M456" t="s">
        <v>474</v>
      </c>
      <c r="N456" t="s">
        <v>474</v>
      </c>
      <c r="O456" t="s">
        <v>474</v>
      </c>
      <c r="P456" t="s">
        <v>474</v>
      </c>
      <c r="Q456" t="s">
        <v>474</v>
      </c>
      <c r="R456" t="s">
        <v>474</v>
      </c>
      <c r="S456" t="s">
        <v>474</v>
      </c>
      <c r="T456" t="s">
        <v>474</v>
      </c>
      <c r="U456" t="s">
        <v>474</v>
      </c>
      <c r="V456" t="s">
        <v>550</v>
      </c>
      <c r="W456" t="s">
        <v>185</v>
      </c>
      <c r="X456" t="s">
        <v>30</v>
      </c>
      <c r="Y456" t="s">
        <v>476</v>
      </c>
    </row>
    <row r="457" spans="1:25" ht="16" x14ac:dyDescent="0.2">
      <c r="A457" t="s">
        <v>474</v>
      </c>
      <c r="B457" t="s">
        <v>173</v>
      </c>
      <c r="C457" t="s">
        <v>474</v>
      </c>
      <c r="D457" t="s">
        <v>474</v>
      </c>
      <c r="E457" t="s">
        <v>55</v>
      </c>
      <c r="F457" t="s">
        <v>500</v>
      </c>
      <c r="G457" t="s">
        <v>186</v>
      </c>
      <c r="H457" t="s">
        <v>474</v>
      </c>
      <c r="I457" t="s">
        <v>187</v>
      </c>
      <c r="J457" t="s">
        <v>474</v>
      </c>
      <c r="K457" t="s">
        <v>474</v>
      </c>
      <c r="L457" t="s">
        <v>474</v>
      </c>
      <c r="M457" t="s">
        <v>474</v>
      </c>
      <c r="N457" t="s">
        <v>474</v>
      </c>
      <c r="O457" t="s">
        <v>474</v>
      </c>
      <c r="P457" t="s">
        <v>474</v>
      </c>
      <c r="Q457" t="s">
        <v>474</v>
      </c>
      <c r="R457" t="s">
        <v>474</v>
      </c>
      <c r="S457" t="s">
        <v>474</v>
      </c>
      <c r="T457" t="s">
        <v>474</v>
      </c>
      <c r="U457" t="s">
        <v>474</v>
      </c>
      <c r="V457" t="s">
        <v>538</v>
      </c>
      <c r="W457" t="s">
        <v>188</v>
      </c>
      <c r="X457" t="s">
        <v>30</v>
      </c>
      <c r="Y457" t="s">
        <v>476</v>
      </c>
    </row>
    <row r="458" spans="1:25" ht="16" x14ac:dyDescent="0.2">
      <c r="A458" t="s">
        <v>474</v>
      </c>
      <c r="B458" t="s">
        <v>190</v>
      </c>
      <c r="C458" t="s">
        <v>474</v>
      </c>
      <c r="D458" t="s">
        <v>474</v>
      </c>
      <c r="E458" t="s">
        <v>55</v>
      </c>
      <c r="F458" t="s">
        <v>499</v>
      </c>
      <c r="G458" t="s">
        <v>170</v>
      </c>
      <c r="H458" t="s">
        <v>474</v>
      </c>
      <c r="I458" t="s">
        <v>171</v>
      </c>
      <c r="J458" t="s">
        <v>474</v>
      </c>
      <c r="K458" t="s">
        <v>474</v>
      </c>
      <c r="L458" t="s">
        <v>474</v>
      </c>
      <c r="M458" t="s">
        <v>474</v>
      </c>
      <c r="N458" t="s">
        <v>474</v>
      </c>
      <c r="O458" t="s">
        <v>474</v>
      </c>
      <c r="P458" t="s">
        <v>474</v>
      </c>
      <c r="Q458" t="s">
        <v>474</v>
      </c>
      <c r="R458" t="s">
        <v>474</v>
      </c>
      <c r="S458" t="s">
        <v>474</v>
      </c>
      <c r="T458" t="s">
        <v>474</v>
      </c>
      <c r="U458" t="s">
        <v>474</v>
      </c>
      <c r="V458" t="s">
        <v>521</v>
      </c>
      <c r="W458" t="s">
        <v>172</v>
      </c>
      <c r="X458" t="s">
        <v>59</v>
      </c>
      <c r="Y458" t="s">
        <v>479</v>
      </c>
    </row>
    <row r="459" spans="1:25" ht="16" x14ac:dyDescent="0.2">
      <c r="A459" t="s">
        <v>474</v>
      </c>
      <c r="B459" t="s">
        <v>191</v>
      </c>
      <c r="C459" t="s">
        <v>474</v>
      </c>
      <c r="D459" t="s">
        <v>474</v>
      </c>
      <c r="E459" t="s">
        <v>36</v>
      </c>
      <c r="F459" t="s">
        <v>502</v>
      </c>
      <c r="G459" t="s">
        <v>193</v>
      </c>
      <c r="H459" t="s">
        <v>474</v>
      </c>
      <c r="I459" t="s">
        <v>194</v>
      </c>
      <c r="J459" t="s">
        <v>474</v>
      </c>
      <c r="K459" t="s">
        <v>474</v>
      </c>
      <c r="L459" t="s">
        <v>474</v>
      </c>
      <c r="M459" t="s">
        <v>474</v>
      </c>
      <c r="N459" t="s">
        <v>474</v>
      </c>
      <c r="O459" t="s">
        <v>474</v>
      </c>
      <c r="P459" t="s">
        <v>474</v>
      </c>
      <c r="Q459" t="s">
        <v>474</v>
      </c>
      <c r="R459" t="s">
        <v>474</v>
      </c>
      <c r="S459" t="s">
        <v>474</v>
      </c>
      <c r="T459" t="s">
        <v>474</v>
      </c>
      <c r="U459" t="s">
        <v>474</v>
      </c>
      <c r="V459" t="s">
        <v>520</v>
      </c>
      <c r="W459" t="s">
        <v>195</v>
      </c>
      <c r="X459" t="s">
        <v>30</v>
      </c>
      <c r="Y459" t="s">
        <v>476</v>
      </c>
    </row>
    <row r="460" spans="1:25" ht="16" x14ac:dyDescent="0.2">
      <c r="A460" t="s">
        <v>474</v>
      </c>
      <c r="B460" t="s">
        <v>191</v>
      </c>
      <c r="C460" t="s">
        <v>474</v>
      </c>
      <c r="D460" t="s">
        <v>474</v>
      </c>
      <c r="E460" t="s">
        <v>43</v>
      </c>
      <c r="F460" t="s">
        <v>502</v>
      </c>
      <c r="G460" t="s">
        <v>196</v>
      </c>
      <c r="H460" t="s">
        <v>474</v>
      </c>
      <c r="I460" t="s">
        <v>197</v>
      </c>
      <c r="J460" t="s">
        <v>474</v>
      </c>
      <c r="K460" t="s">
        <v>474</v>
      </c>
      <c r="L460" t="s">
        <v>474</v>
      </c>
      <c r="M460" t="s">
        <v>474</v>
      </c>
      <c r="N460" t="s">
        <v>474</v>
      </c>
      <c r="O460" t="s">
        <v>474</v>
      </c>
      <c r="P460" t="s">
        <v>474</v>
      </c>
      <c r="Q460" t="s">
        <v>474</v>
      </c>
      <c r="R460" t="s">
        <v>474</v>
      </c>
      <c r="S460" t="s">
        <v>474</v>
      </c>
      <c r="T460" t="s">
        <v>474</v>
      </c>
      <c r="U460" t="s">
        <v>474</v>
      </c>
      <c r="V460" t="s">
        <v>541</v>
      </c>
      <c r="W460" t="s">
        <v>198</v>
      </c>
      <c r="X460" t="s">
        <v>30</v>
      </c>
      <c r="Y460" t="s">
        <v>476</v>
      </c>
    </row>
    <row r="461" spans="1:25" ht="16" x14ac:dyDescent="0.2">
      <c r="A461" t="s">
        <v>474</v>
      </c>
      <c r="B461" t="s">
        <v>191</v>
      </c>
      <c r="C461" t="s">
        <v>474</v>
      </c>
      <c r="D461" t="s">
        <v>474</v>
      </c>
      <c r="E461" t="s">
        <v>47</v>
      </c>
      <c r="F461" t="s">
        <v>502</v>
      </c>
      <c r="G461" t="s">
        <v>199</v>
      </c>
      <c r="H461" t="s">
        <v>474</v>
      </c>
      <c r="I461" t="s">
        <v>200</v>
      </c>
      <c r="J461" t="s">
        <v>474</v>
      </c>
      <c r="K461" t="s">
        <v>474</v>
      </c>
      <c r="L461" t="s">
        <v>474</v>
      </c>
      <c r="M461" t="s">
        <v>474</v>
      </c>
      <c r="N461" t="s">
        <v>474</v>
      </c>
      <c r="O461" t="s">
        <v>474</v>
      </c>
      <c r="P461" t="s">
        <v>474</v>
      </c>
      <c r="Q461" t="s">
        <v>474</v>
      </c>
      <c r="R461" t="s">
        <v>474</v>
      </c>
      <c r="S461" t="s">
        <v>474</v>
      </c>
      <c r="T461" t="s">
        <v>474</v>
      </c>
      <c r="U461" t="s">
        <v>474</v>
      </c>
      <c r="V461" t="s">
        <v>1145</v>
      </c>
      <c r="W461" t="s">
        <v>201</v>
      </c>
      <c r="X461" t="s">
        <v>30</v>
      </c>
      <c r="Y461" t="s">
        <v>476</v>
      </c>
    </row>
    <row r="462" spans="1:25" ht="16" x14ac:dyDescent="0.2">
      <c r="A462" t="s">
        <v>474</v>
      </c>
      <c r="B462" t="s">
        <v>191</v>
      </c>
      <c r="C462" t="s">
        <v>474</v>
      </c>
      <c r="D462" t="s">
        <v>474</v>
      </c>
      <c r="E462" t="s">
        <v>51</v>
      </c>
      <c r="F462" t="s">
        <v>502</v>
      </c>
      <c r="G462" t="s">
        <v>202</v>
      </c>
      <c r="H462" t="s">
        <v>474</v>
      </c>
      <c r="I462" t="s">
        <v>203</v>
      </c>
      <c r="J462" t="s">
        <v>474</v>
      </c>
      <c r="K462" t="s">
        <v>474</v>
      </c>
      <c r="L462" t="s">
        <v>474</v>
      </c>
      <c r="M462" t="s">
        <v>474</v>
      </c>
      <c r="N462" t="s">
        <v>474</v>
      </c>
      <c r="O462" t="s">
        <v>474</v>
      </c>
      <c r="P462" t="s">
        <v>474</v>
      </c>
      <c r="Q462" t="s">
        <v>474</v>
      </c>
      <c r="R462" t="s">
        <v>474</v>
      </c>
      <c r="S462" t="s">
        <v>474</v>
      </c>
      <c r="T462" t="s">
        <v>474</v>
      </c>
      <c r="U462" t="s">
        <v>474</v>
      </c>
      <c r="V462" t="s">
        <v>520</v>
      </c>
      <c r="W462" t="s">
        <v>204</v>
      </c>
      <c r="X462" t="s">
        <v>30</v>
      </c>
      <c r="Y462" t="s">
        <v>476</v>
      </c>
    </row>
    <row r="463" spans="1:25" ht="16" x14ac:dyDescent="0.2">
      <c r="A463" t="s">
        <v>474</v>
      </c>
      <c r="B463" t="s">
        <v>191</v>
      </c>
      <c r="C463" t="s">
        <v>474</v>
      </c>
      <c r="D463" t="s">
        <v>474</v>
      </c>
      <c r="E463" t="s">
        <v>55</v>
      </c>
      <c r="F463" t="s">
        <v>502</v>
      </c>
      <c r="G463" t="s">
        <v>205</v>
      </c>
      <c r="H463" t="s">
        <v>474</v>
      </c>
      <c r="I463" t="s">
        <v>206</v>
      </c>
      <c r="J463" t="s">
        <v>474</v>
      </c>
      <c r="K463" t="s">
        <v>474</v>
      </c>
      <c r="L463" t="s">
        <v>474</v>
      </c>
      <c r="M463" t="s">
        <v>474</v>
      </c>
      <c r="N463" t="s">
        <v>474</v>
      </c>
      <c r="O463" t="s">
        <v>474</v>
      </c>
      <c r="P463" t="s">
        <v>474</v>
      </c>
      <c r="Q463" t="s">
        <v>474</v>
      </c>
      <c r="R463" t="s">
        <v>474</v>
      </c>
      <c r="S463" t="s">
        <v>474</v>
      </c>
      <c r="T463" t="s">
        <v>474</v>
      </c>
      <c r="U463" t="s">
        <v>474</v>
      </c>
      <c r="V463" t="s">
        <v>1146</v>
      </c>
      <c r="W463" t="s">
        <v>207</v>
      </c>
      <c r="X463" t="s">
        <v>30</v>
      </c>
      <c r="Y463" t="s">
        <v>476</v>
      </c>
    </row>
    <row r="464" spans="1:25" ht="16" x14ac:dyDescent="0.2">
      <c r="A464" t="s">
        <v>474</v>
      </c>
      <c r="B464" t="s">
        <v>208</v>
      </c>
      <c r="C464" t="s">
        <v>474</v>
      </c>
      <c r="D464" t="s">
        <v>474</v>
      </c>
      <c r="E464" t="s">
        <v>55</v>
      </c>
      <c r="F464" t="s">
        <v>500</v>
      </c>
      <c r="G464" t="s">
        <v>186</v>
      </c>
      <c r="H464" t="s">
        <v>474</v>
      </c>
      <c r="I464" t="s">
        <v>187</v>
      </c>
      <c r="J464" t="s">
        <v>474</v>
      </c>
      <c r="K464" t="s">
        <v>474</v>
      </c>
      <c r="L464" t="s">
        <v>474</v>
      </c>
      <c r="M464" t="s">
        <v>474</v>
      </c>
      <c r="N464" t="s">
        <v>474</v>
      </c>
      <c r="O464" t="s">
        <v>474</v>
      </c>
      <c r="P464" t="s">
        <v>474</v>
      </c>
      <c r="Q464" t="s">
        <v>474</v>
      </c>
      <c r="R464" t="s">
        <v>474</v>
      </c>
      <c r="S464" t="s">
        <v>474</v>
      </c>
      <c r="T464" t="s">
        <v>474</v>
      </c>
      <c r="U464" t="s">
        <v>474</v>
      </c>
      <c r="V464" t="s">
        <v>521</v>
      </c>
      <c r="W464" t="s">
        <v>188</v>
      </c>
      <c r="X464" t="s">
        <v>59</v>
      </c>
      <c r="Y464" t="s">
        <v>479</v>
      </c>
    </row>
    <row r="465" spans="1:25" ht="16" x14ac:dyDescent="0.2">
      <c r="A465" t="s">
        <v>474</v>
      </c>
      <c r="B465" t="s">
        <v>209</v>
      </c>
      <c r="C465" t="s">
        <v>474</v>
      </c>
      <c r="D465" t="s">
        <v>474</v>
      </c>
      <c r="E465" t="s">
        <v>43</v>
      </c>
      <c r="F465" t="s">
        <v>503</v>
      </c>
      <c r="G465" t="s">
        <v>210</v>
      </c>
      <c r="H465" t="s">
        <v>474</v>
      </c>
      <c r="I465" t="s">
        <v>211</v>
      </c>
      <c r="J465" t="s">
        <v>474</v>
      </c>
      <c r="K465" t="s">
        <v>474</v>
      </c>
      <c r="L465" t="s">
        <v>474</v>
      </c>
      <c r="M465" t="s">
        <v>474</v>
      </c>
      <c r="N465" t="s">
        <v>474</v>
      </c>
      <c r="O465" t="s">
        <v>474</v>
      </c>
      <c r="P465" t="s">
        <v>474</v>
      </c>
      <c r="Q465" t="s">
        <v>474</v>
      </c>
      <c r="R465" t="s">
        <v>474</v>
      </c>
      <c r="S465" t="s">
        <v>474</v>
      </c>
      <c r="T465" t="s">
        <v>474</v>
      </c>
      <c r="U465" t="s">
        <v>474</v>
      </c>
      <c r="V465" t="s">
        <v>535</v>
      </c>
      <c r="W465" t="s">
        <v>212</v>
      </c>
      <c r="X465" t="s">
        <v>30</v>
      </c>
      <c r="Y465" t="s">
        <v>476</v>
      </c>
    </row>
    <row r="466" spans="1:25" ht="16" x14ac:dyDescent="0.2">
      <c r="A466" t="s">
        <v>474</v>
      </c>
      <c r="B466" t="s">
        <v>209</v>
      </c>
      <c r="C466" t="s">
        <v>474</v>
      </c>
      <c r="D466" t="s">
        <v>474</v>
      </c>
      <c r="E466" t="s">
        <v>47</v>
      </c>
      <c r="F466" t="s">
        <v>503</v>
      </c>
      <c r="G466" t="s">
        <v>213</v>
      </c>
      <c r="H466" t="s">
        <v>474</v>
      </c>
      <c r="I466" t="s">
        <v>214</v>
      </c>
      <c r="J466" t="s">
        <v>474</v>
      </c>
      <c r="K466" t="s">
        <v>474</v>
      </c>
      <c r="L466" t="s">
        <v>474</v>
      </c>
      <c r="M466" t="s">
        <v>474</v>
      </c>
      <c r="N466" t="s">
        <v>474</v>
      </c>
      <c r="O466" t="s">
        <v>474</v>
      </c>
      <c r="P466" t="s">
        <v>474</v>
      </c>
      <c r="Q466" t="s">
        <v>474</v>
      </c>
      <c r="R466" t="s">
        <v>474</v>
      </c>
      <c r="S466" t="s">
        <v>474</v>
      </c>
      <c r="T466" t="s">
        <v>474</v>
      </c>
      <c r="U466" t="s">
        <v>474</v>
      </c>
      <c r="V466" t="s">
        <v>537</v>
      </c>
      <c r="W466" t="s">
        <v>215</v>
      </c>
      <c r="X466" t="s">
        <v>30</v>
      </c>
      <c r="Y466" t="s">
        <v>476</v>
      </c>
    </row>
    <row r="467" spans="1:25" ht="16" x14ac:dyDescent="0.2">
      <c r="A467" t="s">
        <v>474</v>
      </c>
      <c r="B467" t="s">
        <v>209</v>
      </c>
      <c r="C467" t="s">
        <v>474</v>
      </c>
      <c r="D467" t="s">
        <v>474</v>
      </c>
      <c r="E467" t="s">
        <v>51</v>
      </c>
      <c r="F467" t="s">
        <v>503</v>
      </c>
      <c r="G467" t="s">
        <v>216</v>
      </c>
      <c r="H467" t="s">
        <v>474</v>
      </c>
      <c r="I467" t="s">
        <v>217</v>
      </c>
      <c r="J467" t="s">
        <v>474</v>
      </c>
      <c r="K467" t="s">
        <v>474</v>
      </c>
      <c r="L467" t="s">
        <v>474</v>
      </c>
      <c r="M467" t="s">
        <v>474</v>
      </c>
      <c r="N467" t="s">
        <v>474</v>
      </c>
      <c r="O467" t="s">
        <v>474</v>
      </c>
      <c r="P467" t="s">
        <v>474</v>
      </c>
      <c r="Q467" t="s">
        <v>474</v>
      </c>
      <c r="R467" t="s">
        <v>474</v>
      </c>
      <c r="S467" t="s">
        <v>474</v>
      </c>
      <c r="T467" t="s">
        <v>474</v>
      </c>
      <c r="U467" t="s">
        <v>474</v>
      </c>
      <c r="V467" t="s">
        <v>548</v>
      </c>
      <c r="W467" t="s">
        <v>218</v>
      </c>
      <c r="X467" t="s">
        <v>30</v>
      </c>
      <c r="Y467" t="s">
        <v>476</v>
      </c>
    </row>
    <row r="468" spans="1:25" ht="16" x14ac:dyDescent="0.2">
      <c r="A468" t="s">
        <v>474</v>
      </c>
      <c r="B468" t="s">
        <v>209</v>
      </c>
      <c r="C468" t="s">
        <v>474</v>
      </c>
      <c r="D468" t="s">
        <v>474</v>
      </c>
      <c r="E468" t="s">
        <v>55</v>
      </c>
      <c r="F468" t="s">
        <v>503</v>
      </c>
      <c r="G468" t="s">
        <v>219</v>
      </c>
      <c r="H468" t="s">
        <v>474</v>
      </c>
      <c r="I468" t="s">
        <v>220</v>
      </c>
      <c r="J468" t="s">
        <v>474</v>
      </c>
      <c r="K468" t="s">
        <v>474</v>
      </c>
      <c r="L468" t="s">
        <v>474</v>
      </c>
      <c r="M468" t="s">
        <v>474</v>
      </c>
      <c r="N468" t="s">
        <v>474</v>
      </c>
      <c r="O468" t="s">
        <v>474</v>
      </c>
      <c r="P468" t="s">
        <v>474</v>
      </c>
      <c r="Q468" t="s">
        <v>474</v>
      </c>
      <c r="R468" t="s">
        <v>474</v>
      </c>
      <c r="S468" t="s">
        <v>474</v>
      </c>
      <c r="T468" t="s">
        <v>474</v>
      </c>
      <c r="U468" t="s">
        <v>474</v>
      </c>
      <c r="V468" t="s">
        <v>527</v>
      </c>
      <c r="W468" t="s">
        <v>221</v>
      </c>
      <c r="X468" t="s">
        <v>30</v>
      </c>
      <c r="Y468" t="s">
        <v>476</v>
      </c>
    </row>
    <row r="469" spans="1:25" ht="16" x14ac:dyDescent="0.2">
      <c r="A469" t="s">
        <v>474</v>
      </c>
      <c r="B469" t="s">
        <v>222</v>
      </c>
      <c r="C469" t="s">
        <v>474</v>
      </c>
      <c r="D469" t="s">
        <v>474</v>
      </c>
      <c r="E469" t="s">
        <v>43</v>
      </c>
      <c r="F469" t="s">
        <v>503</v>
      </c>
      <c r="G469" t="s">
        <v>226</v>
      </c>
      <c r="H469" t="s">
        <v>474</v>
      </c>
      <c r="I469" t="s">
        <v>227</v>
      </c>
      <c r="J469" t="s">
        <v>474</v>
      </c>
      <c r="K469" t="s">
        <v>474</v>
      </c>
      <c r="L469" t="s">
        <v>474</v>
      </c>
      <c r="M469" t="s">
        <v>474</v>
      </c>
      <c r="N469" t="s">
        <v>474</v>
      </c>
      <c r="O469" t="s">
        <v>474</v>
      </c>
      <c r="P469" t="s">
        <v>474</v>
      </c>
      <c r="Q469" t="s">
        <v>474</v>
      </c>
      <c r="R469" t="s">
        <v>474</v>
      </c>
      <c r="S469" t="s">
        <v>474</v>
      </c>
      <c r="T469" t="s">
        <v>474</v>
      </c>
      <c r="U469" t="s">
        <v>474</v>
      </c>
      <c r="V469" t="s">
        <v>532</v>
      </c>
      <c r="W469" t="s">
        <v>228</v>
      </c>
      <c r="X469" t="s">
        <v>30</v>
      </c>
      <c r="Y469" t="s">
        <v>476</v>
      </c>
    </row>
    <row r="470" spans="1:25" ht="16" x14ac:dyDescent="0.2">
      <c r="A470" t="s">
        <v>474</v>
      </c>
      <c r="B470" t="s">
        <v>222</v>
      </c>
      <c r="C470" t="s">
        <v>474</v>
      </c>
      <c r="D470" t="s">
        <v>474</v>
      </c>
      <c r="E470" t="s">
        <v>47</v>
      </c>
      <c r="F470" t="s">
        <v>503</v>
      </c>
      <c r="G470" t="s">
        <v>229</v>
      </c>
      <c r="H470" t="s">
        <v>474</v>
      </c>
      <c r="I470" t="s">
        <v>230</v>
      </c>
      <c r="J470" t="s">
        <v>474</v>
      </c>
      <c r="K470" t="s">
        <v>474</v>
      </c>
      <c r="L470" t="s">
        <v>474</v>
      </c>
      <c r="M470" t="s">
        <v>474</v>
      </c>
      <c r="N470" t="s">
        <v>474</v>
      </c>
      <c r="O470" t="s">
        <v>474</v>
      </c>
      <c r="P470" t="s">
        <v>474</v>
      </c>
      <c r="Q470" t="s">
        <v>474</v>
      </c>
      <c r="R470" t="s">
        <v>474</v>
      </c>
      <c r="S470" t="s">
        <v>474</v>
      </c>
      <c r="T470" t="s">
        <v>474</v>
      </c>
      <c r="U470" t="s">
        <v>474</v>
      </c>
      <c r="V470" t="s">
        <v>527</v>
      </c>
      <c r="W470" t="s">
        <v>231</v>
      </c>
      <c r="X470" t="s">
        <v>30</v>
      </c>
      <c r="Y470" t="s">
        <v>476</v>
      </c>
    </row>
    <row r="471" spans="1:25" ht="16" x14ac:dyDescent="0.2">
      <c r="A471" t="s">
        <v>474</v>
      </c>
      <c r="B471" t="s">
        <v>222</v>
      </c>
      <c r="C471" t="s">
        <v>474</v>
      </c>
      <c r="D471" t="s">
        <v>474</v>
      </c>
      <c r="E471" t="s">
        <v>51</v>
      </c>
      <c r="F471" t="s">
        <v>503</v>
      </c>
      <c r="G471" t="s">
        <v>232</v>
      </c>
      <c r="H471" t="s">
        <v>474</v>
      </c>
      <c r="I471" t="s">
        <v>233</v>
      </c>
      <c r="J471" t="s">
        <v>474</v>
      </c>
      <c r="K471" t="s">
        <v>474</v>
      </c>
      <c r="L471" t="s">
        <v>474</v>
      </c>
      <c r="M471" t="s">
        <v>474</v>
      </c>
      <c r="N471" t="s">
        <v>474</v>
      </c>
      <c r="O471" t="s">
        <v>474</v>
      </c>
      <c r="P471" t="s">
        <v>474</v>
      </c>
      <c r="Q471" t="s">
        <v>474</v>
      </c>
      <c r="R471" t="s">
        <v>474</v>
      </c>
      <c r="S471" t="s">
        <v>474</v>
      </c>
      <c r="T471" t="s">
        <v>474</v>
      </c>
      <c r="U471" t="s">
        <v>474</v>
      </c>
      <c r="V471" t="s">
        <v>542</v>
      </c>
      <c r="W471" t="s">
        <v>234</v>
      </c>
      <c r="X471" t="s">
        <v>30</v>
      </c>
      <c r="Y471" t="s">
        <v>476</v>
      </c>
    </row>
    <row r="472" spans="1:25" ht="16" x14ac:dyDescent="0.2">
      <c r="A472" t="s">
        <v>474</v>
      </c>
      <c r="B472" t="s">
        <v>238</v>
      </c>
      <c r="C472" t="s">
        <v>474</v>
      </c>
      <c r="D472" t="s">
        <v>474</v>
      </c>
      <c r="E472" t="s">
        <v>36</v>
      </c>
      <c r="F472" t="s">
        <v>502</v>
      </c>
      <c r="G472" t="s">
        <v>193</v>
      </c>
      <c r="H472" t="s">
        <v>474</v>
      </c>
      <c r="I472" t="s">
        <v>194</v>
      </c>
      <c r="J472" t="s">
        <v>474</v>
      </c>
      <c r="K472" t="s">
        <v>474</v>
      </c>
      <c r="L472" t="s">
        <v>474</v>
      </c>
      <c r="M472" t="s">
        <v>474</v>
      </c>
      <c r="N472" t="s">
        <v>474</v>
      </c>
      <c r="O472" t="s">
        <v>474</v>
      </c>
      <c r="P472" t="s">
        <v>474</v>
      </c>
      <c r="Q472" t="s">
        <v>474</v>
      </c>
      <c r="R472" t="s">
        <v>474</v>
      </c>
      <c r="S472" t="s">
        <v>474</v>
      </c>
      <c r="T472" t="s">
        <v>474</v>
      </c>
      <c r="U472" t="s">
        <v>474</v>
      </c>
      <c r="V472" t="s">
        <v>536</v>
      </c>
      <c r="W472" t="s">
        <v>195</v>
      </c>
      <c r="X472" t="s">
        <v>59</v>
      </c>
      <c r="Y472" t="s">
        <v>479</v>
      </c>
    </row>
    <row r="473" spans="1:25" ht="16" x14ac:dyDescent="0.2">
      <c r="A473" t="s">
        <v>474</v>
      </c>
      <c r="B473" t="s">
        <v>238</v>
      </c>
      <c r="C473" t="s">
        <v>474</v>
      </c>
      <c r="D473" t="s">
        <v>474</v>
      </c>
      <c r="E473" t="s">
        <v>51</v>
      </c>
      <c r="F473" t="s">
        <v>502</v>
      </c>
      <c r="G473" t="s">
        <v>202</v>
      </c>
      <c r="H473" t="s">
        <v>474</v>
      </c>
      <c r="I473" t="s">
        <v>203</v>
      </c>
      <c r="J473" t="s">
        <v>474</v>
      </c>
      <c r="K473" t="s">
        <v>474</v>
      </c>
      <c r="L473" t="s">
        <v>474</v>
      </c>
      <c r="M473" t="s">
        <v>474</v>
      </c>
      <c r="N473" t="s">
        <v>474</v>
      </c>
      <c r="O473" t="s">
        <v>474</v>
      </c>
      <c r="P473" t="s">
        <v>474</v>
      </c>
      <c r="Q473" t="s">
        <v>474</v>
      </c>
      <c r="R473" t="s">
        <v>474</v>
      </c>
      <c r="S473" t="s">
        <v>474</v>
      </c>
      <c r="T473" t="s">
        <v>474</v>
      </c>
      <c r="U473" t="s">
        <v>474</v>
      </c>
      <c r="V473" t="s">
        <v>538</v>
      </c>
      <c r="W473" t="s">
        <v>204</v>
      </c>
      <c r="X473" t="s">
        <v>59</v>
      </c>
      <c r="Y473" t="s">
        <v>479</v>
      </c>
    </row>
    <row r="474" spans="1:25" ht="16" x14ac:dyDescent="0.2">
      <c r="A474" t="s">
        <v>474</v>
      </c>
      <c r="B474" t="s">
        <v>239</v>
      </c>
      <c r="C474" t="s">
        <v>474</v>
      </c>
      <c r="D474" t="s">
        <v>474</v>
      </c>
      <c r="E474" t="s">
        <v>36</v>
      </c>
      <c r="F474" t="s">
        <v>500</v>
      </c>
      <c r="G474" t="s">
        <v>174</v>
      </c>
      <c r="H474" t="s">
        <v>474</v>
      </c>
      <c r="I474" t="s">
        <v>175</v>
      </c>
      <c r="J474" t="s">
        <v>474</v>
      </c>
      <c r="K474" t="s">
        <v>474</v>
      </c>
      <c r="L474" t="s">
        <v>474</v>
      </c>
      <c r="M474" t="s">
        <v>474</v>
      </c>
      <c r="N474" t="s">
        <v>474</v>
      </c>
      <c r="O474" t="s">
        <v>474</v>
      </c>
      <c r="P474" t="s">
        <v>474</v>
      </c>
      <c r="Q474" t="s">
        <v>474</v>
      </c>
      <c r="R474" t="s">
        <v>474</v>
      </c>
      <c r="S474" t="s">
        <v>474</v>
      </c>
      <c r="T474" t="s">
        <v>474</v>
      </c>
      <c r="U474" t="s">
        <v>474</v>
      </c>
      <c r="V474" t="s">
        <v>521</v>
      </c>
      <c r="W474" t="s">
        <v>176</v>
      </c>
      <c r="X474" t="s">
        <v>61</v>
      </c>
      <c r="Y474" t="s">
        <v>482</v>
      </c>
    </row>
    <row r="475" spans="1:25" ht="16" x14ac:dyDescent="0.2">
      <c r="A475" t="s">
        <v>474</v>
      </c>
      <c r="B475" t="s">
        <v>239</v>
      </c>
      <c r="C475" t="s">
        <v>474</v>
      </c>
      <c r="D475" t="s">
        <v>474</v>
      </c>
      <c r="E475" t="s">
        <v>43</v>
      </c>
      <c r="F475" t="s">
        <v>500</v>
      </c>
      <c r="G475" t="s">
        <v>177</v>
      </c>
      <c r="H475" t="s">
        <v>474</v>
      </c>
      <c r="I475" t="s">
        <v>178</v>
      </c>
      <c r="J475" t="s">
        <v>474</v>
      </c>
      <c r="K475" t="s">
        <v>474</v>
      </c>
      <c r="L475" t="s">
        <v>474</v>
      </c>
      <c r="M475" t="s">
        <v>474</v>
      </c>
      <c r="N475" t="s">
        <v>474</v>
      </c>
      <c r="O475" t="s">
        <v>474</v>
      </c>
      <c r="P475" t="s">
        <v>474</v>
      </c>
      <c r="Q475" t="s">
        <v>474</v>
      </c>
      <c r="R475" t="s">
        <v>474</v>
      </c>
      <c r="S475" t="s">
        <v>474</v>
      </c>
      <c r="T475" t="s">
        <v>474</v>
      </c>
      <c r="U475" t="s">
        <v>474</v>
      </c>
      <c r="V475" t="s">
        <v>521</v>
      </c>
      <c r="W475" t="s">
        <v>179</v>
      </c>
      <c r="X475" t="s">
        <v>61</v>
      </c>
      <c r="Y475" t="s">
        <v>482</v>
      </c>
    </row>
    <row r="476" spans="1:25" ht="16" x14ac:dyDescent="0.2">
      <c r="A476" t="s">
        <v>474</v>
      </c>
      <c r="B476" t="s">
        <v>240</v>
      </c>
      <c r="C476" t="s">
        <v>474</v>
      </c>
      <c r="D476" t="s">
        <v>474</v>
      </c>
      <c r="E476" t="s">
        <v>51</v>
      </c>
      <c r="F476" t="s">
        <v>503</v>
      </c>
      <c r="G476" t="s">
        <v>216</v>
      </c>
      <c r="H476" t="s">
        <v>474</v>
      </c>
      <c r="I476" t="s">
        <v>217</v>
      </c>
      <c r="J476" t="s">
        <v>474</v>
      </c>
      <c r="K476" t="s">
        <v>474</v>
      </c>
      <c r="L476" t="s">
        <v>474</v>
      </c>
      <c r="M476" t="s">
        <v>474</v>
      </c>
      <c r="N476" t="s">
        <v>474</v>
      </c>
      <c r="O476" t="s">
        <v>474</v>
      </c>
      <c r="P476" t="s">
        <v>474</v>
      </c>
      <c r="Q476" t="s">
        <v>474</v>
      </c>
      <c r="R476" t="s">
        <v>474</v>
      </c>
      <c r="S476" t="s">
        <v>474</v>
      </c>
      <c r="T476" t="s">
        <v>474</v>
      </c>
      <c r="U476" t="s">
        <v>474</v>
      </c>
      <c r="V476" t="s">
        <v>534</v>
      </c>
      <c r="W476" t="s">
        <v>218</v>
      </c>
      <c r="X476" t="s">
        <v>59</v>
      </c>
      <c r="Y476" t="s">
        <v>479</v>
      </c>
    </row>
    <row r="477" spans="1:25" ht="16" x14ac:dyDescent="0.2">
      <c r="A477" t="s">
        <v>474</v>
      </c>
      <c r="B477" t="s">
        <v>241</v>
      </c>
      <c r="C477" t="s">
        <v>474</v>
      </c>
      <c r="D477" t="s">
        <v>474</v>
      </c>
      <c r="E477" t="s">
        <v>36</v>
      </c>
      <c r="F477" t="s">
        <v>503</v>
      </c>
      <c r="G477" t="s">
        <v>223</v>
      </c>
      <c r="H477" t="s">
        <v>474</v>
      </c>
      <c r="I477" t="s">
        <v>224</v>
      </c>
      <c r="J477" t="s">
        <v>474</v>
      </c>
      <c r="K477" t="s">
        <v>474</v>
      </c>
      <c r="L477" t="s">
        <v>474</v>
      </c>
      <c r="M477" t="s">
        <v>474</v>
      </c>
      <c r="N477" t="s">
        <v>474</v>
      </c>
      <c r="O477" t="s">
        <v>474</v>
      </c>
      <c r="P477" t="s">
        <v>474</v>
      </c>
      <c r="Q477" t="s">
        <v>474</v>
      </c>
      <c r="R477" t="s">
        <v>474</v>
      </c>
      <c r="S477" t="s">
        <v>474</v>
      </c>
      <c r="T477" t="s">
        <v>474</v>
      </c>
      <c r="U477" t="s">
        <v>474</v>
      </c>
      <c r="V477" t="s">
        <v>43</v>
      </c>
      <c r="W477" t="s">
        <v>225</v>
      </c>
      <c r="X477" t="s">
        <v>59</v>
      </c>
      <c r="Y477" t="s">
        <v>479</v>
      </c>
    </row>
    <row r="478" spans="1:25" ht="16" x14ac:dyDescent="0.2">
      <c r="A478" t="s">
        <v>474</v>
      </c>
      <c r="B478" t="s">
        <v>241</v>
      </c>
      <c r="C478" t="s">
        <v>474</v>
      </c>
      <c r="D478" t="s">
        <v>474</v>
      </c>
      <c r="E478" t="s">
        <v>51</v>
      </c>
      <c r="F478" t="s">
        <v>503</v>
      </c>
      <c r="G478" t="s">
        <v>232</v>
      </c>
      <c r="H478" t="s">
        <v>474</v>
      </c>
      <c r="I478" t="s">
        <v>233</v>
      </c>
      <c r="J478" t="s">
        <v>474</v>
      </c>
      <c r="K478" t="s">
        <v>474</v>
      </c>
      <c r="L478" t="s">
        <v>474</v>
      </c>
      <c r="M478" t="s">
        <v>474</v>
      </c>
      <c r="N478" t="s">
        <v>474</v>
      </c>
      <c r="O478" t="s">
        <v>474</v>
      </c>
      <c r="P478" t="s">
        <v>474</v>
      </c>
      <c r="Q478" t="s">
        <v>474</v>
      </c>
      <c r="R478" t="s">
        <v>474</v>
      </c>
      <c r="S478" t="s">
        <v>474</v>
      </c>
      <c r="T478" t="s">
        <v>474</v>
      </c>
      <c r="U478" t="s">
        <v>474</v>
      </c>
      <c r="V478" t="s">
        <v>552</v>
      </c>
      <c r="W478" t="s">
        <v>234</v>
      </c>
      <c r="X478" t="s">
        <v>59</v>
      </c>
      <c r="Y478" t="s">
        <v>479</v>
      </c>
    </row>
    <row r="479" spans="1:25" ht="16" x14ac:dyDescent="0.2">
      <c r="A479" t="s">
        <v>474</v>
      </c>
      <c r="B479" t="s">
        <v>242</v>
      </c>
      <c r="C479" t="s">
        <v>474</v>
      </c>
      <c r="D479" t="s">
        <v>474</v>
      </c>
      <c r="E479" t="s">
        <v>36</v>
      </c>
      <c r="F479" t="s">
        <v>502</v>
      </c>
      <c r="G479" t="s">
        <v>193</v>
      </c>
      <c r="H479" t="s">
        <v>474</v>
      </c>
      <c r="I479" t="s">
        <v>194</v>
      </c>
      <c r="J479" t="s">
        <v>474</v>
      </c>
      <c r="K479" t="s">
        <v>474</v>
      </c>
      <c r="L479" t="s">
        <v>474</v>
      </c>
      <c r="M479" t="s">
        <v>474</v>
      </c>
      <c r="N479" t="s">
        <v>474</v>
      </c>
      <c r="O479" t="s">
        <v>474</v>
      </c>
      <c r="P479" t="s">
        <v>474</v>
      </c>
      <c r="Q479" t="s">
        <v>474</v>
      </c>
      <c r="R479" t="s">
        <v>474</v>
      </c>
      <c r="S479" t="s">
        <v>474</v>
      </c>
      <c r="T479" t="s">
        <v>474</v>
      </c>
      <c r="U479" t="s">
        <v>474</v>
      </c>
      <c r="V479" t="s">
        <v>536</v>
      </c>
      <c r="W479" t="s">
        <v>195</v>
      </c>
      <c r="X479" t="s">
        <v>61</v>
      </c>
      <c r="Y479" t="s">
        <v>482</v>
      </c>
    </row>
    <row r="480" spans="1:25" ht="16" x14ac:dyDescent="0.2">
      <c r="A480" t="s">
        <v>474</v>
      </c>
      <c r="B480" t="s">
        <v>242</v>
      </c>
      <c r="C480" t="s">
        <v>474</v>
      </c>
      <c r="D480" t="s">
        <v>474</v>
      </c>
      <c r="E480" t="s">
        <v>43</v>
      </c>
      <c r="F480" t="s">
        <v>502</v>
      </c>
      <c r="G480" t="s">
        <v>196</v>
      </c>
      <c r="H480" t="s">
        <v>474</v>
      </c>
      <c r="I480" t="s">
        <v>197</v>
      </c>
      <c r="J480" t="s">
        <v>474</v>
      </c>
      <c r="K480" t="s">
        <v>474</v>
      </c>
      <c r="L480" t="s">
        <v>474</v>
      </c>
      <c r="M480" t="s">
        <v>474</v>
      </c>
      <c r="N480" t="s">
        <v>474</v>
      </c>
      <c r="O480" t="s">
        <v>474</v>
      </c>
      <c r="P480" t="s">
        <v>474</v>
      </c>
      <c r="Q480" t="s">
        <v>474</v>
      </c>
      <c r="R480" t="s">
        <v>474</v>
      </c>
      <c r="S480" t="s">
        <v>474</v>
      </c>
      <c r="T480" t="s">
        <v>474</v>
      </c>
      <c r="U480" t="s">
        <v>474</v>
      </c>
      <c r="V480" t="s">
        <v>521</v>
      </c>
      <c r="W480" t="s">
        <v>198</v>
      </c>
      <c r="X480" t="s">
        <v>61</v>
      </c>
      <c r="Y480" t="s">
        <v>482</v>
      </c>
    </row>
    <row r="481" spans="1:25" ht="16" x14ac:dyDescent="0.2">
      <c r="A481" t="s">
        <v>474</v>
      </c>
      <c r="B481" t="s">
        <v>242</v>
      </c>
      <c r="C481" t="s">
        <v>474</v>
      </c>
      <c r="D481" t="s">
        <v>474</v>
      </c>
      <c r="E481" t="s">
        <v>47</v>
      </c>
      <c r="F481" t="s">
        <v>502</v>
      </c>
      <c r="G481" t="s">
        <v>199</v>
      </c>
      <c r="H481" t="s">
        <v>474</v>
      </c>
      <c r="I481" t="s">
        <v>200</v>
      </c>
      <c r="J481" t="s">
        <v>474</v>
      </c>
      <c r="K481" t="s">
        <v>474</v>
      </c>
      <c r="L481" t="s">
        <v>474</v>
      </c>
      <c r="M481" t="s">
        <v>474</v>
      </c>
      <c r="N481" t="s">
        <v>474</v>
      </c>
      <c r="O481" t="s">
        <v>474</v>
      </c>
      <c r="P481" t="s">
        <v>474</v>
      </c>
      <c r="Q481" t="s">
        <v>474</v>
      </c>
      <c r="R481" t="s">
        <v>474</v>
      </c>
      <c r="S481" t="s">
        <v>474</v>
      </c>
      <c r="T481" t="s">
        <v>474</v>
      </c>
      <c r="U481" t="s">
        <v>474</v>
      </c>
      <c r="V481" t="s">
        <v>521</v>
      </c>
      <c r="W481" t="s">
        <v>201</v>
      </c>
      <c r="X481" t="s">
        <v>61</v>
      </c>
      <c r="Y481" t="s">
        <v>482</v>
      </c>
    </row>
    <row r="482" spans="1:25" ht="16" x14ac:dyDescent="0.2">
      <c r="A482" t="s">
        <v>474</v>
      </c>
      <c r="B482" t="s">
        <v>242</v>
      </c>
      <c r="C482" t="s">
        <v>474</v>
      </c>
      <c r="D482" t="s">
        <v>474</v>
      </c>
      <c r="E482" t="s">
        <v>51</v>
      </c>
      <c r="F482" t="s">
        <v>502</v>
      </c>
      <c r="G482" t="s">
        <v>202</v>
      </c>
      <c r="H482" t="s">
        <v>474</v>
      </c>
      <c r="I482" t="s">
        <v>203</v>
      </c>
      <c r="J482" t="s">
        <v>474</v>
      </c>
      <c r="K482" t="s">
        <v>474</v>
      </c>
      <c r="L482" t="s">
        <v>474</v>
      </c>
      <c r="M482" t="s">
        <v>474</v>
      </c>
      <c r="N482" t="s">
        <v>474</v>
      </c>
      <c r="O482" t="s">
        <v>474</v>
      </c>
      <c r="P482" t="s">
        <v>474</v>
      </c>
      <c r="Q482" t="s">
        <v>474</v>
      </c>
      <c r="R482" t="s">
        <v>474</v>
      </c>
      <c r="S482" t="s">
        <v>474</v>
      </c>
      <c r="T482" t="s">
        <v>474</v>
      </c>
      <c r="U482" t="s">
        <v>474</v>
      </c>
      <c r="V482" t="s">
        <v>538</v>
      </c>
      <c r="W482" t="s">
        <v>204</v>
      </c>
      <c r="X482" t="s">
        <v>61</v>
      </c>
      <c r="Y482" t="s">
        <v>482</v>
      </c>
    </row>
    <row r="483" spans="1:25" ht="16" x14ac:dyDescent="0.2">
      <c r="A483" t="s">
        <v>474</v>
      </c>
      <c r="B483" t="s">
        <v>242</v>
      </c>
      <c r="C483" t="s">
        <v>474</v>
      </c>
      <c r="D483" t="s">
        <v>474</v>
      </c>
      <c r="E483" t="s">
        <v>55</v>
      </c>
      <c r="F483" t="s">
        <v>502</v>
      </c>
      <c r="G483" t="s">
        <v>205</v>
      </c>
      <c r="H483" t="s">
        <v>474</v>
      </c>
      <c r="I483" t="s">
        <v>206</v>
      </c>
      <c r="J483" t="s">
        <v>474</v>
      </c>
      <c r="K483" t="s">
        <v>474</v>
      </c>
      <c r="L483" t="s">
        <v>474</v>
      </c>
      <c r="M483" t="s">
        <v>474</v>
      </c>
      <c r="N483" t="s">
        <v>474</v>
      </c>
      <c r="O483" t="s">
        <v>474</v>
      </c>
      <c r="P483" t="s">
        <v>474</v>
      </c>
      <c r="Q483" t="s">
        <v>474</v>
      </c>
      <c r="R483" t="s">
        <v>474</v>
      </c>
      <c r="S483" t="s">
        <v>474</v>
      </c>
      <c r="T483" t="s">
        <v>474</v>
      </c>
      <c r="U483" t="s">
        <v>474</v>
      </c>
      <c r="V483" t="s">
        <v>521</v>
      </c>
      <c r="W483" t="s">
        <v>207</v>
      </c>
      <c r="X483" t="s">
        <v>61</v>
      </c>
      <c r="Y483" t="s">
        <v>482</v>
      </c>
    </row>
    <row r="484" spans="1:25" ht="16" x14ac:dyDescent="0.2">
      <c r="A484" t="s">
        <v>474</v>
      </c>
      <c r="B484" t="s">
        <v>243</v>
      </c>
      <c r="C484" t="s">
        <v>474</v>
      </c>
      <c r="D484" t="s">
        <v>474</v>
      </c>
      <c r="E484" t="s">
        <v>43</v>
      </c>
      <c r="F484" t="s">
        <v>503</v>
      </c>
      <c r="G484" t="s">
        <v>210</v>
      </c>
      <c r="H484" t="s">
        <v>474</v>
      </c>
      <c r="I484" t="s">
        <v>211</v>
      </c>
      <c r="J484" t="s">
        <v>474</v>
      </c>
      <c r="K484" t="s">
        <v>474</v>
      </c>
      <c r="L484" t="s">
        <v>474</v>
      </c>
      <c r="M484" t="s">
        <v>474</v>
      </c>
      <c r="N484" t="s">
        <v>474</v>
      </c>
      <c r="O484" t="s">
        <v>474</v>
      </c>
      <c r="P484" t="s">
        <v>474</v>
      </c>
      <c r="Q484" t="s">
        <v>474</v>
      </c>
      <c r="R484" t="s">
        <v>474</v>
      </c>
      <c r="S484" t="s">
        <v>474</v>
      </c>
      <c r="T484" t="s">
        <v>474</v>
      </c>
      <c r="U484" t="s">
        <v>474</v>
      </c>
      <c r="V484" t="s">
        <v>521</v>
      </c>
      <c r="W484" t="s">
        <v>212</v>
      </c>
      <c r="X484" t="s">
        <v>61</v>
      </c>
      <c r="Y484" t="s">
        <v>482</v>
      </c>
    </row>
    <row r="485" spans="1:25" ht="16" x14ac:dyDescent="0.2">
      <c r="A485" t="s">
        <v>474</v>
      </c>
      <c r="B485" t="s">
        <v>243</v>
      </c>
      <c r="C485" t="s">
        <v>474</v>
      </c>
      <c r="D485" t="s">
        <v>474</v>
      </c>
      <c r="E485" t="s">
        <v>51</v>
      </c>
      <c r="F485" t="s">
        <v>503</v>
      </c>
      <c r="G485" t="s">
        <v>216</v>
      </c>
      <c r="H485" t="s">
        <v>474</v>
      </c>
      <c r="I485" t="s">
        <v>217</v>
      </c>
      <c r="J485" t="s">
        <v>474</v>
      </c>
      <c r="K485" t="s">
        <v>474</v>
      </c>
      <c r="L485" t="s">
        <v>474</v>
      </c>
      <c r="M485" t="s">
        <v>474</v>
      </c>
      <c r="N485" t="s">
        <v>474</v>
      </c>
      <c r="O485" t="s">
        <v>474</v>
      </c>
      <c r="P485" t="s">
        <v>474</v>
      </c>
      <c r="Q485" t="s">
        <v>474</v>
      </c>
      <c r="R485" t="s">
        <v>474</v>
      </c>
      <c r="S485" t="s">
        <v>474</v>
      </c>
      <c r="T485" t="s">
        <v>474</v>
      </c>
      <c r="U485" t="s">
        <v>474</v>
      </c>
      <c r="V485" t="s">
        <v>534</v>
      </c>
      <c r="W485" t="s">
        <v>218</v>
      </c>
      <c r="X485" t="s">
        <v>61</v>
      </c>
      <c r="Y485" t="s">
        <v>482</v>
      </c>
    </row>
    <row r="486" spans="1:25" ht="16" x14ac:dyDescent="0.2">
      <c r="A486" t="s">
        <v>474</v>
      </c>
      <c r="B486" t="s">
        <v>244</v>
      </c>
      <c r="C486" t="s">
        <v>474</v>
      </c>
      <c r="D486" t="s">
        <v>474</v>
      </c>
      <c r="E486" t="s">
        <v>36</v>
      </c>
      <c r="F486" t="s">
        <v>503</v>
      </c>
      <c r="G486" t="s">
        <v>223</v>
      </c>
      <c r="H486" t="s">
        <v>474</v>
      </c>
      <c r="I486" t="s">
        <v>224</v>
      </c>
      <c r="J486" t="s">
        <v>474</v>
      </c>
      <c r="K486" t="s">
        <v>474</v>
      </c>
      <c r="L486" t="s">
        <v>474</v>
      </c>
      <c r="M486" t="s">
        <v>474</v>
      </c>
      <c r="N486" t="s">
        <v>474</v>
      </c>
      <c r="O486" t="s">
        <v>474</v>
      </c>
      <c r="P486" t="s">
        <v>474</v>
      </c>
      <c r="Q486" t="s">
        <v>474</v>
      </c>
      <c r="R486" t="s">
        <v>474</v>
      </c>
      <c r="S486" t="s">
        <v>474</v>
      </c>
      <c r="T486" t="s">
        <v>474</v>
      </c>
      <c r="U486" t="s">
        <v>474</v>
      </c>
      <c r="V486" t="s">
        <v>43</v>
      </c>
      <c r="W486" t="s">
        <v>225</v>
      </c>
      <c r="X486" t="s">
        <v>61</v>
      </c>
      <c r="Y486" t="s">
        <v>482</v>
      </c>
    </row>
    <row r="487" spans="1:25" ht="16" x14ac:dyDescent="0.2">
      <c r="A487" t="s">
        <v>474</v>
      </c>
      <c r="B487" t="s">
        <v>244</v>
      </c>
      <c r="C487" t="s">
        <v>474</v>
      </c>
      <c r="D487" t="s">
        <v>474</v>
      </c>
      <c r="E487" t="s">
        <v>43</v>
      </c>
      <c r="F487" t="s">
        <v>503</v>
      </c>
      <c r="G487" t="s">
        <v>226</v>
      </c>
      <c r="H487" t="s">
        <v>474</v>
      </c>
      <c r="I487" t="s">
        <v>227</v>
      </c>
      <c r="J487" t="s">
        <v>474</v>
      </c>
      <c r="K487" t="s">
        <v>474</v>
      </c>
      <c r="L487" t="s">
        <v>474</v>
      </c>
      <c r="M487" t="s">
        <v>474</v>
      </c>
      <c r="N487" t="s">
        <v>474</v>
      </c>
      <c r="O487" t="s">
        <v>474</v>
      </c>
      <c r="P487" t="s">
        <v>474</v>
      </c>
      <c r="Q487" t="s">
        <v>474</v>
      </c>
      <c r="R487" t="s">
        <v>474</v>
      </c>
      <c r="S487" t="s">
        <v>474</v>
      </c>
      <c r="T487" t="s">
        <v>474</v>
      </c>
      <c r="U487" t="s">
        <v>474</v>
      </c>
      <c r="V487" t="s">
        <v>537</v>
      </c>
      <c r="W487" t="s">
        <v>228</v>
      </c>
      <c r="X487" t="s">
        <v>61</v>
      </c>
      <c r="Y487" t="s">
        <v>482</v>
      </c>
    </row>
    <row r="488" spans="1:25" ht="16" x14ac:dyDescent="0.2">
      <c r="A488" t="s">
        <v>474</v>
      </c>
      <c r="B488" t="s">
        <v>244</v>
      </c>
      <c r="C488" t="s">
        <v>474</v>
      </c>
      <c r="D488" t="s">
        <v>474</v>
      </c>
      <c r="E488" t="s">
        <v>51</v>
      </c>
      <c r="F488" t="s">
        <v>503</v>
      </c>
      <c r="G488" t="s">
        <v>232</v>
      </c>
      <c r="H488" t="s">
        <v>474</v>
      </c>
      <c r="I488" t="s">
        <v>233</v>
      </c>
      <c r="J488" t="s">
        <v>474</v>
      </c>
      <c r="K488" t="s">
        <v>474</v>
      </c>
      <c r="L488" t="s">
        <v>474</v>
      </c>
      <c r="M488" t="s">
        <v>474</v>
      </c>
      <c r="N488" t="s">
        <v>474</v>
      </c>
      <c r="O488" t="s">
        <v>474</v>
      </c>
      <c r="P488" t="s">
        <v>474</v>
      </c>
      <c r="Q488" t="s">
        <v>474</v>
      </c>
      <c r="R488" t="s">
        <v>474</v>
      </c>
      <c r="S488" t="s">
        <v>474</v>
      </c>
      <c r="T488" t="s">
        <v>474</v>
      </c>
      <c r="U488" t="s">
        <v>474</v>
      </c>
      <c r="V488" t="s">
        <v>552</v>
      </c>
      <c r="W488" t="s">
        <v>234</v>
      </c>
      <c r="X488" t="s">
        <v>61</v>
      </c>
      <c r="Y488" t="s">
        <v>482</v>
      </c>
    </row>
    <row r="489" spans="1:25" ht="16" x14ac:dyDescent="0.2">
      <c r="A489" t="s">
        <v>474</v>
      </c>
      <c r="B489" t="s">
        <v>244</v>
      </c>
      <c r="C489" t="s">
        <v>474</v>
      </c>
      <c r="D489" t="s">
        <v>474</v>
      </c>
      <c r="E489" t="s">
        <v>55</v>
      </c>
      <c r="F489" t="s">
        <v>503</v>
      </c>
      <c r="G489" t="s">
        <v>235</v>
      </c>
      <c r="H489" t="s">
        <v>474</v>
      </c>
      <c r="I489" t="s">
        <v>236</v>
      </c>
      <c r="J489" t="s">
        <v>474</v>
      </c>
      <c r="K489" t="s">
        <v>474</v>
      </c>
      <c r="L489" t="s">
        <v>474</v>
      </c>
      <c r="M489" t="s">
        <v>474</v>
      </c>
      <c r="N489" t="s">
        <v>474</v>
      </c>
      <c r="O489" t="s">
        <v>474</v>
      </c>
      <c r="P489" t="s">
        <v>474</v>
      </c>
      <c r="Q489" t="s">
        <v>474</v>
      </c>
      <c r="R489" t="s">
        <v>474</v>
      </c>
      <c r="S489" t="s">
        <v>474</v>
      </c>
      <c r="T489" t="s">
        <v>474</v>
      </c>
      <c r="U489" t="s">
        <v>474</v>
      </c>
      <c r="V489" t="s">
        <v>538</v>
      </c>
      <c r="W489" t="s">
        <v>237</v>
      </c>
      <c r="X489" t="s">
        <v>61</v>
      </c>
      <c r="Y489" t="s">
        <v>482</v>
      </c>
    </row>
    <row r="490" spans="1:25" ht="16" x14ac:dyDescent="0.2">
      <c r="A490" t="s">
        <v>474</v>
      </c>
      <c r="B490" t="s">
        <v>245</v>
      </c>
      <c r="C490" t="s">
        <v>474</v>
      </c>
      <c r="D490" t="s">
        <v>474</v>
      </c>
      <c r="E490" t="s">
        <v>36</v>
      </c>
      <c r="F490" t="s">
        <v>506</v>
      </c>
      <c r="G490" t="s">
        <v>246</v>
      </c>
      <c r="H490" t="s">
        <v>474</v>
      </c>
      <c r="I490" t="s">
        <v>247</v>
      </c>
      <c r="J490" t="s">
        <v>474</v>
      </c>
      <c r="K490" t="s">
        <v>474</v>
      </c>
      <c r="L490" t="s">
        <v>474</v>
      </c>
      <c r="M490" t="s">
        <v>474</v>
      </c>
      <c r="N490" t="s">
        <v>474</v>
      </c>
      <c r="O490" t="s">
        <v>474</v>
      </c>
      <c r="P490" t="s">
        <v>474</v>
      </c>
      <c r="Q490" t="s">
        <v>474</v>
      </c>
      <c r="R490" t="s">
        <v>474</v>
      </c>
      <c r="S490" t="s">
        <v>474</v>
      </c>
      <c r="T490" t="s">
        <v>474</v>
      </c>
      <c r="U490" t="s">
        <v>474</v>
      </c>
      <c r="V490" t="s">
        <v>43</v>
      </c>
      <c r="W490" t="s">
        <v>248</v>
      </c>
      <c r="X490" t="s">
        <v>30</v>
      </c>
      <c r="Y490" t="s">
        <v>476</v>
      </c>
    </row>
    <row r="491" spans="1:25" ht="16" x14ac:dyDescent="0.2">
      <c r="A491" t="s">
        <v>474</v>
      </c>
      <c r="B491" t="s">
        <v>245</v>
      </c>
      <c r="C491" t="s">
        <v>474</v>
      </c>
      <c r="D491" t="s">
        <v>474</v>
      </c>
      <c r="E491" t="s">
        <v>43</v>
      </c>
      <c r="F491" t="s">
        <v>506</v>
      </c>
      <c r="G491" t="s">
        <v>249</v>
      </c>
      <c r="H491" t="s">
        <v>474</v>
      </c>
      <c r="I491" t="s">
        <v>250</v>
      </c>
      <c r="J491" t="s">
        <v>474</v>
      </c>
      <c r="K491" t="s">
        <v>474</v>
      </c>
      <c r="L491" t="s">
        <v>474</v>
      </c>
      <c r="M491" t="s">
        <v>474</v>
      </c>
      <c r="N491" t="s">
        <v>474</v>
      </c>
      <c r="O491" t="s">
        <v>474</v>
      </c>
      <c r="P491" t="s">
        <v>474</v>
      </c>
      <c r="Q491" t="s">
        <v>474</v>
      </c>
      <c r="R491" t="s">
        <v>474</v>
      </c>
      <c r="S491" t="s">
        <v>474</v>
      </c>
      <c r="T491" t="s">
        <v>474</v>
      </c>
      <c r="U491" t="s">
        <v>474</v>
      </c>
      <c r="V491" t="s">
        <v>552</v>
      </c>
      <c r="W491" t="s">
        <v>251</v>
      </c>
      <c r="X491" t="s">
        <v>30</v>
      </c>
      <c r="Y491" t="s">
        <v>476</v>
      </c>
    </row>
    <row r="492" spans="1:25" ht="16" x14ac:dyDescent="0.2">
      <c r="A492" t="s">
        <v>474</v>
      </c>
      <c r="B492" t="s">
        <v>245</v>
      </c>
      <c r="C492" t="s">
        <v>474</v>
      </c>
      <c r="D492" t="s">
        <v>474</v>
      </c>
      <c r="E492" t="s">
        <v>47</v>
      </c>
      <c r="F492" t="s">
        <v>506</v>
      </c>
      <c r="G492" t="s">
        <v>252</v>
      </c>
      <c r="H492" t="s">
        <v>474</v>
      </c>
      <c r="I492" t="s">
        <v>253</v>
      </c>
      <c r="J492" t="s">
        <v>474</v>
      </c>
      <c r="K492" t="s">
        <v>474</v>
      </c>
      <c r="L492" t="s">
        <v>474</v>
      </c>
      <c r="M492" t="s">
        <v>474</v>
      </c>
      <c r="N492" t="s">
        <v>474</v>
      </c>
      <c r="O492" t="s">
        <v>474</v>
      </c>
      <c r="P492" t="s">
        <v>474</v>
      </c>
      <c r="Q492" t="s">
        <v>474</v>
      </c>
      <c r="R492" t="s">
        <v>474</v>
      </c>
      <c r="S492" t="s">
        <v>474</v>
      </c>
      <c r="T492" t="s">
        <v>474</v>
      </c>
      <c r="U492" t="s">
        <v>474</v>
      </c>
      <c r="V492" t="s">
        <v>520</v>
      </c>
      <c r="W492" t="s">
        <v>254</v>
      </c>
      <c r="X492" t="s">
        <v>30</v>
      </c>
      <c r="Y492" t="s">
        <v>476</v>
      </c>
    </row>
    <row r="493" spans="1:25" ht="16" x14ac:dyDescent="0.2">
      <c r="A493" t="s">
        <v>474</v>
      </c>
      <c r="B493" t="s">
        <v>245</v>
      </c>
      <c r="C493" t="s">
        <v>474</v>
      </c>
      <c r="D493" t="s">
        <v>474</v>
      </c>
      <c r="E493" t="s">
        <v>51</v>
      </c>
      <c r="F493" t="s">
        <v>506</v>
      </c>
      <c r="G493" t="s">
        <v>255</v>
      </c>
      <c r="H493" t="s">
        <v>474</v>
      </c>
      <c r="I493" t="s">
        <v>256</v>
      </c>
      <c r="J493" t="s">
        <v>474</v>
      </c>
      <c r="K493" t="s">
        <v>474</v>
      </c>
      <c r="L493" t="s">
        <v>474</v>
      </c>
      <c r="M493" t="s">
        <v>474</v>
      </c>
      <c r="N493" t="s">
        <v>474</v>
      </c>
      <c r="O493" t="s">
        <v>474</v>
      </c>
      <c r="P493" t="s">
        <v>474</v>
      </c>
      <c r="Q493" t="s">
        <v>474</v>
      </c>
      <c r="R493" t="s">
        <v>474</v>
      </c>
      <c r="S493" t="s">
        <v>474</v>
      </c>
      <c r="T493" t="s">
        <v>474</v>
      </c>
      <c r="U493" t="s">
        <v>474</v>
      </c>
      <c r="V493" t="s">
        <v>550</v>
      </c>
      <c r="W493" t="s">
        <v>257</v>
      </c>
      <c r="X493" t="s">
        <v>30</v>
      </c>
      <c r="Y493" t="s">
        <v>476</v>
      </c>
    </row>
    <row r="494" spans="1:25" ht="16" x14ac:dyDescent="0.2">
      <c r="A494" t="s">
        <v>474</v>
      </c>
      <c r="B494" t="s">
        <v>245</v>
      </c>
      <c r="C494" t="s">
        <v>474</v>
      </c>
      <c r="D494" t="s">
        <v>474</v>
      </c>
      <c r="E494" t="s">
        <v>55</v>
      </c>
      <c r="F494" t="s">
        <v>506</v>
      </c>
      <c r="G494" t="s">
        <v>258</v>
      </c>
      <c r="H494" t="s">
        <v>474</v>
      </c>
      <c r="I494" t="s">
        <v>259</v>
      </c>
      <c r="J494" t="s">
        <v>474</v>
      </c>
      <c r="K494" t="s">
        <v>474</v>
      </c>
      <c r="L494" t="s">
        <v>474</v>
      </c>
      <c r="M494" t="s">
        <v>474</v>
      </c>
      <c r="N494" t="s">
        <v>474</v>
      </c>
      <c r="O494" t="s">
        <v>474</v>
      </c>
      <c r="P494" t="s">
        <v>474</v>
      </c>
      <c r="Q494" t="s">
        <v>474</v>
      </c>
      <c r="R494" t="s">
        <v>474</v>
      </c>
      <c r="S494" t="s">
        <v>474</v>
      </c>
      <c r="T494" t="s">
        <v>474</v>
      </c>
      <c r="U494" t="s">
        <v>474</v>
      </c>
      <c r="V494" t="s">
        <v>434</v>
      </c>
      <c r="W494" t="s">
        <v>260</v>
      </c>
      <c r="X494" t="s">
        <v>30</v>
      </c>
      <c r="Y494" t="s">
        <v>476</v>
      </c>
    </row>
    <row r="495" spans="1:25" ht="16" x14ac:dyDescent="0.2">
      <c r="A495" t="s">
        <v>474</v>
      </c>
      <c r="B495" t="s">
        <v>261</v>
      </c>
      <c r="C495" t="s">
        <v>474</v>
      </c>
      <c r="D495" t="s">
        <v>474</v>
      </c>
      <c r="E495" t="s">
        <v>36</v>
      </c>
      <c r="F495" t="s">
        <v>507</v>
      </c>
      <c r="G495" t="s">
        <v>262</v>
      </c>
      <c r="H495" t="s">
        <v>474</v>
      </c>
      <c r="I495" t="s">
        <v>263</v>
      </c>
      <c r="J495" t="s">
        <v>474</v>
      </c>
      <c r="K495" t="s">
        <v>474</v>
      </c>
      <c r="L495" t="s">
        <v>474</v>
      </c>
      <c r="M495" t="s">
        <v>474</v>
      </c>
      <c r="N495" t="s">
        <v>474</v>
      </c>
      <c r="O495" t="s">
        <v>474</v>
      </c>
      <c r="P495" t="s">
        <v>474</v>
      </c>
      <c r="Q495" t="s">
        <v>474</v>
      </c>
      <c r="R495" t="s">
        <v>474</v>
      </c>
      <c r="S495" t="s">
        <v>474</v>
      </c>
      <c r="T495" t="s">
        <v>474</v>
      </c>
      <c r="U495" t="s">
        <v>474</v>
      </c>
      <c r="V495" t="s">
        <v>550</v>
      </c>
      <c r="W495" t="s">
        <v>264</v>
      </c>
      <c r="X495" t="s">
        <v>30</v>
      </c>
      <c r="Y495" t="s">
        <v>476</v>
      </c>
    </row>
    <row r="496" spans="1:25" ht="16" x14ac:dyDescent="0.2">
      <c r="A496" t="s">
        <v>474</v>
      </c>
      <c r="B496" t="s">
        <v>261</v>
      </c>
      <c r="C496" t="s">
        <v>474</v>
      </c>
      <c r="D496" t="s">
        <v>474</v>
      </c>
      <c r="E496" t="s">
        <v>43</v>
      </c>
      <c r="F496" t="s">
        <v>507</v>
      </c>
      <c r="G496" t="s">
        <v>265</v>
      </c>
      <c r="H496" t="s">
        <v>474</v>
      </c>
      <c r="I496" t="s">
        <v>266</v>
      </c>
      <c r="J496" t="s">
        <v>474</v>
      </c>
      <c r="K496" t="s">
        <v>474</v>
      </c>
      <c r="L496" t="s">
        <v>474</v>
      </c>
      <c r="M496" t="s">
        <v>474</v>
      </c>
      <c r="N496" t="s">
        <v>474</v>
      </c>
      <c r="O496" t="s">
        <v>474</v>
      </c>
      <c r="P496" t="s">
        <v>474</v>
      </c>
      <c r="Q496" t="s">
        <v>474</v>
      </c>
      <c r="R496" t="s">
        <v>474</v>
      </c>
      <c r="S496" t="s">
        <v>474</v>
      </c>
      <c r="T496" t="s">
        <v>474</v>
      </c>
      <c r="U496" t="s">
        <v>474</v>
      </c>
      <c r="V496" t="s">
        <v>1147</v>
      </c>
      <c r="W496" t="s">
        <v>267</v>
      </c>
      <c r="X496" t="s">
        <v>30</v>
      </c>
      <c r="Y496" t="s">
        <v>476</v>
      </c>
    </row>
    <row r="497" spans="1:25" ht="16" x14ac:dyDescent="0.2">
      <c r="A497" t="s">
        <v>474</v>
      </c>
      <c r="B497" t="s">
        <v>261</v>
      </c>
      <c r="C497" t="s">
        <v>474</v>
      </c>
      <c r="D497" t="s">
        <v>474</v>
      </c>
      <c r="E497" t="s">
        <v>47</v>
      </c>
      <c r="F497" t="s">
        <v>507</v>
      </c>
      <c r="G497" t="s">
        <v>268</v>
      </c>
      <c r="H497" t="s">
        <v>474</v>
      </c>
      <c r="I497" t="s">
        <v>269</v>
      </c>
      <c r="J497" t="s">
        <v>474</v>
      </c>
      <c r="K497" t="s">
        <v>474</v>
      </c>
      <c r="L497" t="s">
        <v>474</v>
      </c>
      <c r="M497" t="s">
        <v>474</v>
      </c>
      <c r="N497" t="s">
        <v>474</v>
      </c>
      <c r="O497" t="s">
        <v>474</v>
      </c>
      <c r="P497" t="s">
        <v>474</v>
      </c>
      <c r="Q497" t="s">
        <v>474</v>
      </c>
      <c r="R497" t="s">
        <v>474</v>
      </c>
      <c r="S497" t="s">
        <v>474</v>
      </c>
      <c r="T497" t="s">
        <v>474</v>
      </c>
      <c r="U497" t="s">
        <v>474</v>
      </c>
      <c r="V497" t="s">
        <v>1008</v>
      </c>
      <c r="W497" t="s">
        <v>270</v>
      </c>
      <c r="X497" t="s">
        <v>30</v>
      </c>
      <c r="Y497" t="s">
        <v>476</v>
      </c>
    </row>
    <row r="498" spans="1:25" ht="16" x14ac:dyDescent="0.2">
      <c r="A498" t="s">
        <v>474</v>
      </c>
      <c r="B498" t="s">
        <v>261</v>
      </c>
      <c r="C498" t="s">
        <v>474</v>
      </c>
      <c r="D498" t="s">
        <v>474</v>
      </c>
      <c r="E498" t="s">
        <v>51</v>
      </c>
      <c r="F498" t="s">
        <v>507</v>
      </c>
      <c r="G498" t="s">
        <v>271</v>
      </c>
      <c r="H498" t="s">
        <v>474</v>
      </c>
      <c r="I498" t="s">
        <v>272</v>
      </c>
      <c r="J498" t="s">
        <v>474</v>
      </c>
      <c r="K498" t="s">
        <v>474</v>
      </c>
      <c r="L498" t="s">
        <v>474</v>
      </c>
      <c r="M498" t="s">
        <v>474</v>
      </c>
      <c r="N498" t="s">
        <v>474</v>
      </c>
      <c r="O498" t="s">
        <v>474</v>
      </c>
      <c r="P498" t="s">
        <v>474</v>
      </c>
      <c r="Q498" t="s">
        <v>474</v>
      </c>
      <c r="R498" t="s">
        <v>474</v>
      </c>
      <c r="S498" t="s">
        <v>474</v>
      </c>
      <c r="T498" t="s">
        <v>474</v>
      </c>
      <c r="U498" t="s">
        <v>474</v>
      </c>
      <c r="V498" t="s">
        <v>543</v>
      </c>
      <c r="W498" t="s">
        <v>273</v>
      </c>
      <c r="X498" t="s">
        <v>30</v>
      </c>
      <c r="Y498" t="s">
        <v>476</v>
      </c>
    </row>
    <row r="499" spans="1:25" ht="16" x14ac:dyDescent="0.2">
      <c r="A499" t="s">
        <v>474</v>
      </c>
      <c r="B499" t="s">
        <v>261</v>
      </c>
      <c r="C499" t="s">
        <v>474</v>
      </c>
      <c r="D499" t="s">
        <v>474</v>
      </c>
      <c r="E499" t="s">
        <v>55</v>
      </c>
      <c r="F499" t="s">
        <v>507</v>
      </c>
      <c r="G499" t="s">
        <v>274</v>
      </c>
      <c r="H499" t="s">
        <v>474</v>
      </c>
      <c r="I499" t="s">
        <v>275</v>
      </c>
      <c r="J499" t="s">
        <v>474</v>
      </c>
      <c r="K499" t="s">
        <v>474</v>
      </c>
      <c r="L499" t="s">
        <v>474</v>
      </c>
      <c r="M499" t="s">
        <v>474</v>
      </c>
      <c r="N499" t="s">
        <v>474</v>
      </c>
      <c r="O499" t="s">
        <v>474</v>
      </c>
      <c r="P499" t="s">
        <v>474</v>
      </c>
      <c r="Q499" t="s">
        <v>474</v>
      </c>
      <c r="R499" t="s">
        <v>474</v>
      </c>
      <c r="S499" t="s">
        <v>474</v>
      </c>
      <c r="T499" t="s">
        <v>474</v>
      </c>
      <c r="U499" t="s">
        <v>474</v>
      </c>
      <c r="V499" t="s">
        <v>945</v>
      </c>
      <c r="W499" t="s">
        <v>276</v>
      </c>
      <c r="X499" t="s">
        <v>30</v>
      </c>
      <c r="Y499" t="s">
        <v>476</v>
      </c>
    </row>
    <row r="500" spans="1:25" ht="16" x14ac:dyDescent="0.2">
      <c r="A500" t="s">
        <v>474</v>
      </c>
      <c r="B500" t="s">
        <v>277</v>
      </c>
      <c r="C500" t="s">
        <v>474</v>
      </c>
      <c r="D500" t="s">
        <v>474</v>
      </c>
      <c r="E500" t="s">
        <v>43</v>
      </c>
      <c r="F500" t="s">
        <v>508</v>
      </c>
      <c r="G500" t="s">
        <v>278</v>
      </c>
      <c r="H500" t="s">
        <v>474</v>
      </c>
      <c r="I500" t="s">
        <v>279</v>
      </c>
      <c r="J500" t="s">
        <v>474</v>
      </c>
      <c r="K500" t="s">
        <v>474</v>
      </c>
      <c r="L500" t="s">
        <v>474</v>
      </c>
      <c r="M500" t="s">
        <v>474</v>
      </c>
      <c r="N500" t="s">
        <v>474</v>
      </c>
      <c r="O500" t="s">
        <v>474</v>
      </c>
      <c r="P500" t="s">
        <v>474</v>
      </c>
      <c r="Q500" t="s">
        <v>474</v>
      </c>
      <c r="R500" t="s">
        <v>474</v>
      </c>
      <c r="S500" t="s">
        <v>474</v>
      </c>
      <c r="T500" t="s">
        <v>474</v>
      </c>
      <c r="U500" t="s">
        <v>474</v>
      </c>
      <c r="V500" t="s">
        <v>521</v>
      </c>
      <c r="W500" t="s">
        <v>280</v>
      </c>
      <c r="X500" t="s">
        <v>30</v>
      </c>
      <c r="Y500" t="s">
        <v>476</v>
      </c>
    </row>
    <row r="501" spans="1:25" ht="16" x14ac:dyDescent="0.2">
      <c r="A501" t="s">
        <v>474</v>
      </c>
      <c r="B501" t="s">
        <v>277</v>
      </c>
      <c r="C501" t="s">
        <v>474</v>
      </c>
      <c r="D501" t="s">
        <v>474</v>
      </c>
      <c r="E501" t="s">
        <v>47</v>
      </c>
      <c r="F501" t="s">
        <v>508</v>
      </c>
      <c r="G501" t="s">
        <v>281</v>
      </c>
      <c r="H501" t="s">
        <v>474</v>
      </c>
      <c r="I501" t="s">
        <v>282</v>
      </c>
      <c r="J501" t="s">
        <v>474</v>
      </c>
      <c r="K501" t="s">
        <v>474</v>
      </c>
      <c r="L501" t="s">
        <v>474</v>
      </c>
      <c r="M501" t="s">
        <v>474</v>
      </c>
      <c r="N501" t="s">
        <v>474</v>
      </c>
      <c r="O501" t="s">
        <v>474</v>
      </c>
      <c r="P501" t="s">
        <v>474</v>
      </c>
      <c r="Q501" t="s">
        <v>474</v>
      </c>
      <c r="R501" t="s">
        <v>474</v>
      </c>
      <c r="S501" t="s">
        <v>474</v>
      </c>
      <c r="T501" t="s">
        <v>474</v>
      </c>
      <c r="U501" t="s">
        <v>474</v>
      </c>
      <c r="V501" t="s">
        <v>551</v>
      </c>
      <c r="W501" t="s">
        <v>283</v>
      </c>
      <c r="X501" t="s">
        <v>30</v>
      </c>
      <c r="Y501" t="s">
        <v>476</v>
      </c>
    </row>
    <row r="502" spans="1:25" ht="16" x14ac:dyDescent="0.2">
      <c r="A502" t="s">
        <v>474</v>
      </c>
      <c r="B502" t="s">
        <v>277</v>
      </c>
      <c r="C502" t="s">
        <v>474</v>
      </c>
      <c r="D502" t="s">
        <v>474</v>
      </c>
      <c r="E502" t="s">
        <v>51</v>
      </c>
      <c r="F502" t="s">
        <v>508</v>
      </c>
      <c r="G502" t="s">
        <v>284</v>
      </c>
      <c r="H502" t="s">
        <v>474</v>
      </c>
      <c r="I502" t="s">
        <v>285</v>
      </c>
      <c r="J502" t="s">
        <v>474</v>
      </c>
      <c r="K502" t="s">
        <v>474</v>
      </c>
      <c r="L502" t="s">
        <v>474</v>
      </c>
      <c r="M502" t="s">
        <v>474</v>
      </c>
      <c r="N502" t="s">
        <v>474</v>
      </c>
      <c r="O502" t="s">
        <v>474</v>
      </c>
      <c r="P502" t="s">
        <v>474</v>
      </c>
      <c r="Q502" t="s">
        <v>474</v>
      </c>
      <c r="R502" t="s">
        <v>474</v>
      </c>
      <c r="S502" t="s">
        <v>474</v>
      </c>
      <c r="T502" t="s">
        <v>474</v>
      </c>
      <c r="U502" t="s">
        <v>474</v>
      </c>
      <c r="V502" t="s">
        <v>542</v>
      </c>
      <c r="W502" t="s">
        <v>286</v>
      </c>
      <c r="X502" t="s">
        <v>30</v>
      </c>
      <c r="Y502" t="s">
        <v>476</v>
      </c>
    </row>
    <row r="503" spans="1:25" ht="16" x14ac:dyDescent="0.2">
      <c r="A503" t="s">
        <v>474</v>
      </c>
      <c r="B503" t="s">
        <v>290</v>
      </c>
      <c r="C503" t="s">
        <v>474</v>
      </c>
      <c r="D503" t="s">
        <v>474</v>
      </c>
      <c r="E503" t="s">
        <v>51</v>
      </c>
      <c r="F503" t="s">
        <v>506</v>
      </c>
      <c r="G503" t="s">
        <v>255</v>
      </c>
      <c r="H503" t="s">
        <v>474</v>
      </c>
      <c r="I503" t="s">
        <v>256</v>
      </c>
      <c r="J503" t="s">
        <v>474</v>
      </c>
      <c r="K503" t="s">
        <v>474</v>
      </c>
      <c r="L503" t="s">
        <v>474</v>
      </c>
      <c r="M503" t="s">
        <v>474</v>
      </c>
      <c r="N503" t="s">
        <v>474</v>
      </c>
      <c r="O503" t="s">
        <v>474</v>
      </c>
      <c r="P503" t="s">
        <v>474</v>
      </c>
      <c r="Q503" t="s">
        <v>474</v>
      </c>
      <c r="R503" t="s">
        <v>474</v>
      </c>
      <c r="S503" t="s">
        <v>474</v>
      </c>
      <c r="T503" t="s">
        <v>474</v>
      </c>
      <c r="U503" t="s">
        <v>474</v>
      </c>
      <c r="V503" t="s">
        <v>543</v>
      </c>
      <c r="W503" t="s">
        <v>257</v>
      </c>
      <c r="X503" t="s">
        <v>59</v>
      </c>
      <c r="Y503" t="s">
        <v>479</v>
      </c>
    </row>
    <row r="504" spans="1:25" ht="16" x14ac:dyDescent="0.2">
      <c r="A504" t="s">
        <v>474</v>
      </c>
      <c r="B504" t="s">
        <v>291</v>
      </c>
      <c r="C504" t="s">
        <v>474</v>
      </c>
      <c r="D504" t="s">
        <v>474</v>
      </c>
      <c r="E504" t="s">
        <v>36</v>
      </c>
      <c r="F504" t="s">
        <v>509</v>
      </c>
      <c r="G504" t="s">
        <v>293</v>
      </c>
      <c r="H504" t="s">
        <v>474</v>
      </c>
      <c r="I504" t="s">
        <v>294</v>
      </c>
      <c r="J504" t="s">
        <v>474</v>
      </c>
      <c r="K504" t="s">
        <v>474</v>
      </c>
      <c r="L504" t="s">
        <v>474</v>
      </c>
      <c r="M504" t="s">
        <v>474</v>
      </c>
      <c r="N504" t="s">
        <v>474</v>
      </c>
      <c r="O504" t="s">
        <v>474</v>
      </c>
      <c r="P504" t="s">
        <v>474</v>
      </c>
      <c r="Q504" t="s">
        <v>474</v>
      </c>
      <c r="R504" t="s">
        <v>474</v>
      </c>
      <c r="S504" t="s">
        <v>474</v>
      </c>
      <c r="T504" t="s">
        <v>474</v>
      </c>
      <c r="U504" t="s">
        <v>474</v>
      </c>
      <c r="V504" t="s">
        <v>543</v>
      </c>
      <c r="W504" t="s">
        <v>295</v>
      </c>
      <c r="X504" t="s">
        <v>30</v>
      </c>
      <c r="Y504" t="s">
        <v>476</v>
      </c>
    </row>
    <row r="505" spans="1:25" ht="16" x14ac:dyDescent="0.2">
      <c r="A505" t="s">
        <v>474</v>
      </c>
      <c r="B505" t="s">
        <v>291</v>
      </c>
      <c r="C505" t="s">
        <v>474</v>
      </c>
      <c r="D505" t="s">
        <v>474</v>
      </c>
      <c r="E505" t="s">
        <v>43</v>
      </c>
      <c r="F505" t="s">
        <v>509</v>
      </c>
      <c r="G505" t="s">
        <v>296</v>
      </c>
      <c r="H505" t="s">
        <v>474</v>
      </c>
      <c r="I505" t="s">
        <v>297</v>
      </c>
      <c r="J505" t="s">
        <v>474</v>
      </c>
      <c r="K505" t="s">
        <v>474</v>
      </c>
      <c r="L505" t="s">
        <v>474</v>
      </c>
      <c r="M505" t="s">
        <v>474</v>
      </c>
      <c r="N505" t="s">
        <v>474</v>
      </c>
      <c r="O505" t="s">
        <v>474</v>
      </c>
      <c r="P505" t="s">
        <v>474</v>
      </c>
      <c r="Q505" t="s">
        <v>474</v>
      </c>
      <c r="R505" t="s">
        <v>474</v>
      </c>
      <c r="S505" t="s">
        <v>474</v>
      </c>
      <c r="T505" t="s">
        <v>474</v>
      </c>
      <c r="U505" t="s">
        <v>474</v>
      </c>
      <c r="V505" t="s">
        <v>1148</v>
      </c>
      <c r="W505" t="s">
        <v>298</v>
      </c>
      <c r="X505" t="s">
        <v>30</v>
      </c>
      <c r="Y505" t="s">
        <v>476</v>
      </c>
    </row>
    <row r="506" spans="1:25" ht="16" x14ac:dyDescent="0.2">
      <c r="A506" t="s">
        <v>474</v>
      </c>
      <c r="B506" t="s">
        <v>291</v>
      </c>
      <c r="C506" t="s">
        <v>474</v>
      </c>
      <c r="D506" t="s">
        <v>474</v>
      </c>
      <c r="E506" t="s">
        <v>47</v>
      </c>
      <c r="F506" t="s">
        <v>509</v>
      </c>
      <c r="G506" t="s">
        <v>299</v>
      </c>
      <c r="H506" t="s">
        <v>474</v>
      </c>
      <c r="I506" t="s">
        <v>300</v>
      </c>
      <c r="J506" t="s">
        <v>474</v>
      </c>
      <c r="K506" t="s">
        <v>474</v>
      </c>
      <c r="L506" t="s">
        <v>474</v>
      </c>
      <c r="M506" t="s">
        <v>474</v>
      </c>
      <c r="N506" t="s">
        <v>474</v>
      </c>
      <c r="O506" t="s">
        <v>474</v>
      </c>
      <c r="P506" t="s">
        <v>474</v>
      </c>
      <c r="Q506" t="s">
        <v>474</v>
      </c>
      <c r="R506" t="s">
        <v>474</v>
      </c>
      <c r="S506" t="s">
        <v>474</v>
      </c>
      <c r="T506" t="s">
        <v>474</v>
      </c>
      <c r="U506" t="s">
        <v>474</v>
      </c>
      <c r="V506" t="s">
        <v>1149</v>
      </c>
      <c r="W506" t="s">
        <v>301</v>
      </c>
      <c r="X506" t="s">
        <v>30</v>
      </c>
      <c r="Y506" t="s">
        <v>476</v>
      </c>
    </row>
    <row r="507" spans="1:25" ht="16" x14ac:dyDescent="0.2">
      <c r="A507" t="s">
        <v>474</v>
      </c>
      <c r="B507" t="s">
        <v>291</v>
      </c>
      <c r="C507" t="s">
        <v>474</v>
      </c>
      <c r="D507" t="s">
        <v>474</v>
      </c>
      <c r="E507" t="s">
        <v>51</v>
      </c>
      <c r="F507" t="s">
        <v>509</v>
      </c>
      <c r="G507" t="s">
        <v>302</v>
      </c>
      <c r="H507" t="s">
        <v>474</v>
      </c>
      <c r="I507" t="s">
        <v>303</v>
      </c>
      <c r="J507" t="s">
        <v>474</v>
      </c>
      <c r="K507" t="s">
        <v>474</v>
      </c>
      <c r="L507" t="s">
        <v>474</v>
      </c>
      <c r="M507" t="s">
        <v>474</v>
      </c>
      <c r="N507" t="s">
        <v>474</v>
      </c>
      <c r="O507" t="s">
        <v>474</v>
      </c>
      <c r="P507" t="s">
        <v>474</v>
      </c>
      <c r="Q507" t="s">
        <v>474</v>
      </c>
      <c r="R507" t="s">
        <v>474</v>
      </c>
      <c r="S507" t="s">
        <v>474</v>
      </c>
      <c r="T507" t="s">
        <v>474</v>
      </c>
      <c r="U507" t="s">
        <v>474</v>
      </c>
      <c r="V507" t="s">
        <v>578</v>
      </c>
      <c r="W507" t="s">
        <v>304</v>
      </c>
      <c r="X507" t="s">
        <v>30</v>
      </c>
      <c r="Y507" t="s">
        <v>476</v>
      </c>
    </row>
    <row r="508" spans="1:25" ht="16" x14ac:dyDescent="0.2">
      <c r="A508" t="s">
        <v>474</v>
      </c>
      <c r="B508" t="s">
        <v>291</v>
      </c>
      <c r="C508" t="s">
        <v>474</v>
      </c>
      <c r="D508" t="s">
        <v>474</v>
      </c>
      <c r="E508" t="s">
        <v>55</v>
      </c>
      <c r="F508" t="s">
        <v>509</v>
      </c>
      <c r="G508" t="s">
        <v>305</v>
      </c>
      <c r="H508" t="s">
        <v>474</v>
      </c>
      <c r="I508" t="s">
        <v>306</v>
      </c>
      <c r="J508" t="s">
        <v>474</v>
      </c>
      <c r="K508" t="s">
        <v>474</v>
      </c>
      <c r="L508" t="s">
        <v>474</v>
      </c>
      <c r="M508" t="s">
        <v>474</v>
      </c>
      <c r="N508" t="s">
        <v>474</v>
      </c>
      <c r="O508" t="s">
        <v>474</v>
      </c>
      <c r="P508" t="s">
        <v>474</v>
      </c>
      <c r="Q508" t="s">
        <v>474</v>
      </c>
      <c r="R508" t="s">
        <v>474</v>
      </c>
      <c r="S508" t="s">
        <v>474</v>
      </c>
      <c r="T508" t="s">
        <v>474</v>
      </c>
      <c r="U508" t="s">
        <v>474</v>
      </c>
      <c r="V508" t="s">
        <v>1004</v>
      </c>
      <c r="W508" t="s">
        <v>307</v>
      </c>
      <c r="X508" t="s">
        <v>30</v>
      </c>
      <c r="Y508" t="s">
        <v>476</v>
      </c>
    </row>
    <row r="509" spans="1:25" ht="16" x14ac:dyDescent="0.2">
      <c r="A509" t="s">
        <v>474</v>
      </c>
      <c r="B509" t="s">
        <v>308</v>
      </c>
      <c r="C509" t="s">
        <v>474</v>
      </c>
      <c r="D509" t="s">
        <v>474</v>
      </c>
      <c r="E509" t="s">
        <v>36</v>
      </c>
      <c r="F509" t="s">
        <v>509</v>
      </c>
      <c r="G509" t="s">
        <v>309</v>
      </c>
      <c r="H509" t="s">
        <v>474</v>
      </c>
      <c r="I509" t="s">
        <v>310</v>
      </c>
      <c r="J509" t="s">
        <v>474</v>
      </c>
      <c r="K509" t="s">
        <v>474</v>
      </c>
      <c r="L509" t="s">
        <v>474</v>
      </c>
      <c r="M509" t="s">
        <v>474</v>
      </c>
      <c r="N509" t="s">
        <v>474</v>
      </c>
      <c r="O509" t="s">
        <v>474</v>
      </c>
      <c r="P509" t="s">
        <v>474</v>
      </c>
      <c r="Q509" t="s">
        <v>474</v>
      </c>
      <c r="R509" t="s">
        <v>474</v>
      </c>
      <c r="S509" t="s">
        <v>474</v>
      </c>
      <c r="T509" t="s">
        <v>474</v>
      </c>
      <c r="U509" t="s">
        <v>474</v>
      </c>
      <c r="V509" t="s">
        <v>543</v>
      </c>
      <c r="W509" t="s">
        <v>311</v>
      </c>
      <c r="X509" t="s">
        <v>30</v>
      </c>
      <c r="Y509" t="s">
        <v>476</v>
      </c>
    </row>
    <row r="510" spans="1:25" ht="16" x14ac:dyDescent="0.2">
      <c r="A510" t="s">
        <v>474</v>
      </c>
      <c r="B510" t="s">
        <v>308</v>
      </c>
      <c r="C510" t="s">
        <v>474</v>
      </c>
      <c r="D510" t="s">
        <v>474</v>
      </c>
      <c r="E510" t="s">
        <v>43</v>
      </c>
      <c r="F510" t="s">
        <v>509</v>
      </c>
      <c r="G510" t="s">
        <v>312</v>
      </c>
      <c r="H510" t="s">
        <v>474</v>
      </c>
      <c r="I510" t="s">
        <v>313</v>
      </c>
      <c r="J510" t="s">
        <v>474</v>
      </c>
      <c r="K510" t="s">
        <v>474</v>
      </c>
      <c r="L510" t="s">
        <v>474</v>
      </c>
      <c r="M510" t="s">
        <v>474</v>
      </c>
      <c r="N510" t="s">
        <v>474</v>
      </c>
      <c r="O510" t="s">
        <v>474</v>
      </c>
      <c r="P510" t="s">
        <v>474</v>
      </c>
      <c r="Q510" t="s">
        <v>474</v>
      </c>
      <c r="R510" t="s">
        <v>474</v>
      </c>
      <c r="S510" t="s">
        <v>474</v>
      </c>
      <c r="T510" t="s">
        <v>474</v>
      </c>
      <c r="U510" t="s">
        <v>474</v>
      </c>
      <c r="V510" t="s">
        <v>1150</v>
      </c>
      <c r="W510" t="s">
        <v>314</v>
      </c>
      <c r="X510" t="s">
        <v>30</v>
      </c>
      <c r="Y510" t="s">
        <v>476</v>
      </c>
    </row>
    <row r="511" spans="1:25" ht="16" x14ac:dyDescent="0.2">
      <c r="A511" t="s">
        <v>474</v>
      </c>
      <c r="B511" t="s">
        <v>308</v>
      </c>
      <c r="C511" t="s">
        <v>474</v>
      </c>
      <c r="D511" t="s">
        <v>474</v>
      </c>
      <c r="E511" t="s">
        <v>47</v>
      </c>
      <c r="F511" t="s">
        <v>509</v>
      </c>
      <c r="G511" t="s">
        <v>315</v>
      </c>
      <c r="H511" t="s">
        <v>474</v>
      </c>
      <c r="I511" t="s">
        <v>316</v>
      </c>
      <c r="J511" t="s">
        <v>474</v>
      </c>
      <c r="K511" t="s">
        <v>474</v>
      </c>
      <c r="L511" t="s">
        <v>474</v>
      </c>
      <c r="M511" t="s">
        <v>474</v>
      </c>
      <c r="N511" t="s">
        <v>474</v>
      </c>
      <c r="O511" t="s">
        <v>474</v>
      </c>
      <c r="P511" t="s">
        <v>474</v>
      </c>
      <c r="Q511" t="s">
        <v>474</v>
      </c>
      <c r="R511" t="s">
        <v>474</v>
      </c>
      <c r="S511" t="s">
        <v>474</v>
      </c>
      <c r="T511" t="s">
        <v>474</v>
      </c>
      <c r="U511" t="s">
        <v>474</v>
      </c>
      <c r="V511" t="s">
        <v>525</v>
      </c>
      <c r="W511" t="s">
        <v>317</v>
      </c>
      <c r="X511" t="s">
        <v>30</v>
      </c>
      <c r="Y511" t="s">
        <v>476</v>
      </c>
    </row>
    <row r="512" spans="1:25" ht="16" x14ac:dyDescent="0.2">
      <c r="A512" t="s">
        <v>474</v>
      </c>
      <c r="B512" t="s">
        <v>308</v>
      </c>
      <c r="C512" t="s">
        <v>474</v>
      </c>
      <c r="D512" t="s">
        <v>474</v>
      </c>
      <c r="E512" t="s">
        <v>51</v>
      </c>
      <c r="F512" t="s">
        <v>509</v>
      </c>
      <c r="G512" t="s">
        <v>318</v>
      </c>
      <c r="H512" t="s">
        <v>474</v>
      </c>
      <c r="I512" t="s">
        <v>319</v>
      </c>
      <c r="J512" t="s">
        <v>474</v>
      </c>
      <c r="K512" t="s">
        <v>474</v>
      </c>
      <c r="L512" t="s">
        <v>474</v>
      </c>
      <c r="M512" t="s">
        <v>474</v>
      </c>
      <c r="N512" t="s">
        <v>474</v>
      </c>
      <c r="O512" t="s">
        <v>474</v>
      </c>
      <c r="P512" t="s">
        <v>474</v>
      </c>
      <c r="Q512" t="s">
        <v>474</v>
      </c>
      <c r="R512" t="s">
        <v>474</v>
      </c>
      <c r="S512" t="s">
        <v>474</v>
      </c>
      <c r="T512" t="s">
        <v>474</v>
      </c>
      <c r="U512" t="s">
        <v>474</v>
      </c>
      <c r="V512" t="s">
        <v>550</v>
      </c>
      <c r="W512" t="s">
        <v>320</v>
      </c>
      <c r="X512" t="s">
        <v>30</v>
      </c>
      <c r="Y512" t="s">
        <v>476</v>
      </c>
    </row>
    <row r="513" spans="1:25" ht="16" x14ac:dyDescent="0.2">
      <c r="A513" t="s">
        <v>474</v>
      </c>
      <c r="B513" t="s">
        <v>308</v>
      </c>
      <c r="C513" t="s">
        <v>474</v>
      </c>
      <c r="D513" t="s">
        <v>474</v>
      </c>
      <c r="E513" t="s">
        <v>55</v>
      </c>
      <c r="F513" t="s">
        <v>509</v>
      </c>
      <c r="G513" t="s">
        <v>321</v>
      </c>
      <c r="H513" t="s">
        <v>474</v>
      </c>
      <c r="I513" t="s">
        <v>322</v>
      </c>
      <c r="J513" t="s">
        <v>474</v>
      </c>
      <c r="K513" t="s">
        <v>474</v>
      </c>
      <c r="L513" t="s">
        <v>474</v>
      </c>
      <c r="M513" t="s">
        <v>474</v>
      </c>
      <c r="N513" t="s">
        <v>474</v>
      </c>
      <c r="O513" t="s">
        <v>474</v>
      </c>
      <c r="P513" t="s">
        <v>474</v>
      </c>
      <c r="Q513" t="s">
        <v>474</v>
      </c>
      <c r="R513" t="s">
        <v>474</v>
      </c>
      <c r="S513" t="s">
        <v>474</v>
      </c>
      <c r="T513" t="s">
        <v>474</v>
      </c>
      <c r="U513" t="s">
        <v>474</v>
      </c>
      <c r="V513" t="s">
        <v>1145</v>
      </c>
      <c r="W513" t="s">
        <v>323</v>
      </c>
      <c r="X513" t="s">
        <v>30</v>
      </c>
      <c r="Y513" t="s">
        <v>476</v>
      </c>
    </row>
    <row r="514" spans="1:25" ht="16" x14ac:dyDescent="0.2">
      <c r="A514" t="s">
        <v>474</v>
      </c>
      <c r="B514" t="s">
        <v>324</v>
      </c>
      <c r="C514" t="s">
        <v>474</v>
      </c>
      <c r="D514" t="s">
        <v>474</v>
      </c>
      <c r="E514" t="s">
        <v>36</v>
      </c>
      <c r="F514" t="s">
        <v>507</v>
      </c>
      <c r="G514" t="s">
        <v>262</v>
      </c>
      <c r="H514" t="s">
        <v>474</v>
      </c>
      <c r="I514" t="s">
        <v>263</v>
      </c>
      <c r="J514" t="s">
        <v>474</v>
      </c>
      <c r="K514" t="s">
        <v>474</v>
      </c>
      <c r="L514" t="s">
        <v>474</v>
      </c>
      <c r="M514" t="s">
        <v>474</v>
      </c>
      <c r="N514" t="s">
        <v>474</v>
      </c>
      <c r="O514" t="s">
        <v>474</v>
      </c>
      <c r="P514" t="s">
        <v>474</v>
      </c>
      <c r="Q514" t="s">
        <v>474</v>
      </c>
      <c r="R514" t="s">
        <v>474</v>
      </c>
      <c r="S514" t="s">
        <v>474</v>
      </c>
      <c r="T514" t="s">
        <v>474</v>
      </c>
      <c r="U514" t="s">
        <v>474</v>
      </c>
      <c r="V514" t="s">
        <v>548</v>
      </c>
      <c r="W514" t="s">
        <v>264</v>
      </c>
      <c r="X514" t="s">
        <v>59</v>
      </c>
      <c r="Y514" t="s">
        <v>479</v>
      </c>
    </row>
    <row r="515" spans="1:25" ht="16" x14ac:dyDescent="0.2">
      <c r="A515" t="s">
        <v>474</v>
      </c>
      <c r="B515" t="s">
        <v>324</v>
      </c>
      <c r="C515" t="s">
        <v>474</v>
      </c>
      <c r="D515" t="s">
        <v>474</v>
      </c>
      <c r="E515" t="s">
        <v>43</v>
      </c>
      <c r="F515" t="s">
        <v>507</v>
      </c>
      <c r="G515" t="s">
        <v>265</v>
      </c>
      <c r="H515" t="s">
        <v>474</v>
      </c>
      <c r="I515" t="s">
        <v>266</v>
      </c>
      <c r="J515" t="s">
        <v>474</v>
      </c>
      <c r="K515" t="s">
        <v>474</v>
      </c>
      <c r="L515" t="s">
        <v>474</v>
      </c>
      <c r="M515" t="s">
        <v>474</v>
      </c>
      <c r="N515" t="s">
        <v>474</v>
      </c>
      <c r="O515" t="s">
        <v>474</v>
      </c>
      <c r="P515" t="s">
        <v>474</v>
      </c>
      <c r="Q515" t="s">
        <v>474</v>
      </c>
      <c r="R515" t="s">
        <v>474</v>
      </c>
      <c r="S515" t="s">
        <v>474</v>
      </c>
      <c r="T515" t="s">
        <v>474</v>
      </c>
      <c r="U515" t="s">
        <v>474</v>
      </c>
      <c r="V515" t="s">
        <v>434</v>
      </c>
      <c r="W515" t="s">
        <v>267</v>
      </c>
      <c r="X515" t="s">
        <v>59</v>
      </c>
      <c r="Y515" t="s">
        <v>479</v>
      </c>
    </row>
    <row r="516" spans="1:25" ht="16" x14ac:dyDescent="0.2">
      <c r="A516" t="s">
        <v>474</v>
      </c>
      <c r="B516" t="s">
        <v>324</v>
      </c>
      <c r="C516" t="s">
        <v>474</v>
      </c>
      <c r="D516" t="s">
        <v>474</v>
      </c>
      <c r="E516" t="s">
        <v>47</v>
      </c>
      <c r="F516" t="s">
        <v>507</v>
      </c>
      <c r="G516" t="s">
        <v>268</v>
      </c>
      <c r="H516" t="s">
        <v>474</v>
      </c>
      <c r="I516" t="s">
        <v>269</v>
      </c>
      <c r="J516" t="s">
        <v>474</v>
      </c>
      <c r="K516" t="s">
        <v>474</v>
      </c>
      <c r="L516" t="s">
        <v>474</v>
      </c>
      <c r="M516" t="s">
        <v>474</v>
      </c>
      <c r="N516" t="s">
        <v>474</v>
      </c>
      <c r="O516" t="s">
        <v>474</v>
      </c>
      <c r="P516" t="s">
        <v>474</v>
      </c>
      <c r="Q516" t="s">
        <v>474</v>
      </c>
      <c r="R516" t="s">
        <v>474</v>
      </c>
      <c r="S516" t="s">
        <v>474</v>
      </c>
      <c r="T516" t="s">
        <v>474</v>
      </c>
      <c r="U516" t="s">
        <v>474</v>
      </c>
      <c r="V516" t="s">
        <v>434</v>
      </c>
      <c r="W516" t="s">
        <v>270</v>
      </c>
      <c r="X516" t="s">
        <v>59</v>
      </c>
      <c r="Y516" t="s">
        <v>479</v>
      </c>
    </row>
    <row r="517" spans="1:25" ht="16" x14ac:dyDescent="0.2">
      <c r="A517" t="s">
        <v>474</v>
      </c>
      <c r="B517" t="s">
        <v>324</v>
      </c>
      <c r="C517" t="s">
        <v>474</v>
      </c>
      <c r="D517" t="s">
        <v>474</v>
      </c>
      <c r="E517" t="s">
        <v>51</v>
      </c>
      <c r="F517" t="s">
        <v>507</v>
      </c>
      <c r="G517" t="s">
        <v>271</v>
      </c>
      <c r="H517" t="s">
        <v>474</v>
      </c>
      <c r="I517" t="s">
        <v>272</v>
      </c>
      <c r="J517" t="s">
        <v>474</v>
      </c>
      <c r="K517" t="s">
        <v>474</v>
      </c>
      <c r="L517" t="s">
        <v>474</v>
      </c>
      <c r="M517" t="s">
        <v>474</v>
      </c>
      <c r="N517" t="s">
        <v>474</v>
      </c>
      <c r="O517" t="s">
        <v>474</v>
      </c>
      <c r="P517" t="s">
        <v>474</v>
      </c>
      <c r="Q517" t="s">
        <v>474</v>
      </c>
      <c r="R517" t="s">
        <v>474</v>
      </c>
      <c r="S517" t="s">
        <v>474</v>
      </c>
      <c r="T517" t="s">
        <v>474</v>
      </c>
      <c r="U517" t="s">
        <v>474</v>
      </c>
      <c r="V517" t="s">
        <v>543</v>
      </c>
      <c r="W517" t="s">
        <v>273</v>
      </c>
      <c r="X517" t="s">
        <v>59</v>
      </c>
      <c r="Y517" t="s">
        <v>479</v>
      </c>
    </row>
    <row r="518" spans="1:25" ht="16" x14ac:dyDescent="0.2">
      <c r="A518" t="s">
        <v>474</v>
      </c>
      <c r="B518" t="s">
        <v>324</v>
      </c>
      <c r="C518" t="s">
        <v>474</v>
      </c>
      <c r="D518" t="s">
        <v>474</v>
      </c>
      <c r="E518" t="s">
        <v>55</v>
      </c>
      <c r="F518" t="s">
        <v>507</v>
      </c>
      <c r="G518" t="s">
        <v>274</v>
      </c>
      <c r="H518" t="s">
        <v>474</v>
      </c>
      <c r="I518" t="s">
        <v>275</v>
      </c>
      <c r="J518" t="s">
        <v>474</v>
      </c>
      <c r="K518" t="s">
        <v>474</v>
      </c>
      <c r="L518" t="s">
        <v>474</v>
      </c>
      <c r="M518" t="s">
        <v>474</v>
      </c>
      <c r="N518" t="s">
        <v>474</v>
      </c>
      <c r="O518" t="s">
        <v>474</v>
      </c>
      <c r="P518" t="s">
        <v>474</v>
      </c>
      <c r="Q518" t="s">
        <v>474</v>
      </c>
      <c r="R518" t="s">
        <v>474</v>
      </c>
      <c r="S518" t="s">
        <v>474</v>
      </c>
      <c r="T518" t="s">
        <v>474</v>
      </c>
      <c r="U518" t="s">
        <v>474</v>
      </c>
      <c r="V518" t="s">
        <v>536</v>
      </c>
      <c r="W518" t="s">
        <v>276</v>
      </c>
      <c r="X518" t="s">
        <v>59</v>
      </c>
      <c r="Y518" t="s">
        <v>479</v>
      </c>
    </row>
    <row r="519" spans="1:25" ht="16" x14ac:dyDescent="0.2">
      <c r="A519" t="s">
        <v>474</v>
      </c>
      <c r="B519" t="s">
        <v>325</v>
      </c>
      <c r="C519" t="s">
        <v>474</v>
      </c>
      <c r="D519" t="s">
        <v>474</v>
      </c>
      <c r="E519" t="s">
        <v>43</v>
      </c>
      <c r="F519" t="s">
        <v>508</v>
      </c>
      <c r="G519" t="s">
        <v>278</v>
      </c>
      <c r="H519" t="s">
        <v>474</v>
      </c>
      <c r="I519" t="s">
        <v>279</v>
      </c>
      <c r="J519" t="s">
        <v>474</v>
      </c>
      <c r="K519" t="s">
        <v>474</v>
      </c>
      <c r="L519" t="s">
        <v>474</v>
      </c>
      <c r="M519" t="s">
        <v>474</v>
      </c>
      <c r="N519" t="s">
        <v>474</v>
      </c>
      <c r="O519" t="s">
        <v>474</v>
      </c>
      <c r="P519" t="s">
        <v>474</v>
      </c>
      <c r="Q519" t="s">
        <v>474</v>
      </c>
      <c r="R519" t="s">
        <v>474</v>
      </c>
      <c r="S519" t="s">
        <v>474</v>
      </c>
      <c r="T519" t="s">
        <v>474</v>
      </c>
      <c r="U519" t="s">
        <v>474</v>
      </c>
      <c r="V519" t="s">
        <v>1151</v>
      </c>
      <c r="W519" t="s">
        <v>280</v>
      </c>
      <c r="X519" t="s">
        <v>59</v>
      </c>
      <c r="Y519" t="s">
        <v>479</v>
      </c>
    </row>
    <row r="520" spans="1:25" ht="16" x14ac:dyDescent="0.2">
      <c r="A520" t="s">
        <v>474</v>
      </c>
      <c r="B520" t="s">
        <v>325</v>
      </c>
      <c r="C520" t="s">
        <v>474</v>
      </c>
      <c r="D520" t="s">
        <v>474</v>
      </c>
      <c r="E520" t="s">
        <v>47</v>
      </c>
      <c r="F520" t="s">
        <v>508</v>
      </c>
      <c r="G520" t="s">
        <v>281</v>
      </c>
      <c r="H520" t="s">
        <v>474</v>
      </c>
      <c r="I520" t="s">
        <v>282</v>
      </c>
      <c r="J520" t="s">
        <v>474</v>
      </c>
      <c r="K520" t="s">
        <v>474</v>
      </c>
      <c r="L520" t="s">
        <v>474</v>
      </c>
      <c r="M520" t="s">
        <v>474</v>
      </c>
      <c r="N520" t="s">
        <v>474</v>
      </c>
      <c r="O520" t="s">
        <v>474</v>
      </c>
      <c r="P520" t="s">
        <v>474</v>
      </c>
      <c r="Q520" t="s">
        <v>474</v>
      </c>
      <c r="R520" t="s">
        <v>474</v>
      </c>
      <c r="S520" t="s">
        <v>474</v>
      </c>
      <c r="T520" t="s">
        <v>474</v>
      </c>
      <c r="U520" t="s">
        <v>474</v>
      </c>
      <c r="V520" t="s">
        <v>543</v>
      </c>
      <c r="W520" t="s">
        <v>283</v>
      </c>
      <c r="X520" t="s">
        <v>59</v>
      </c>
      <c r="Y520" t="s">
        <v>479</v>
      </c>
    </row>
    <row r="521" spans="1:25" ht="16" x14ac:dyDescent="0.2">
      <c r="A521" t="s">
        <v>474</v>
      </c>
      <c r="B521" t="s">
        <v>325</v>
      </c>
      <c r="C521" t="s">
        <v>474</v>
      </c>
      <c r="D521" t="s">
        <v>474</v>
      </c>
      <c r="E521" t="s">
        <v>55</v>
      </c>
      <c r="F521" t="s">
        <v>508</v>
      </c>
      <c r="G521" t="s">
        <v>287</v>
      </c>
      <c r="H521" t="s">
        <v>474</v>
      </c>
      <c r="I521" t="s">
        <v>288</v>
      </c>
      <c r="J521" t="s">
        <v>474</v>
      </c>
      <c r="K521" t="s">
        <v>474</v>
      </c>
      <c r="L521" t="s">
        <v>474</v>
      </c>
      <c r="M521" t="s">
        <v>474</v>
      </c>
      <c r="N521" t="s">
        <v>474</v>
      </c>
      <c r="O521" t="s">
        <v>474</v>
      </c>
      <c r="P521" t="s">
        <v>474</v>
      </c>
      <c r="Q521" t="s">
        <v>474</v>
      </c>
      <c r="R521" t="s">
        <v>474</v>
      </c>
      <c r="S521" t="s">
        <v>474</v>
      </c>
      <c r="T521" t="s">
        <v>474</v>
      </c>
      <c r="U521" t="s">
        <v>474</v>
      </c>
      <c r="V521" t="s">
        <v>1151</v>
      </c>
      <c r="W521" t="s">
        <v>289</v>
      </c>
      <c r="X521" t="s">
        <v>59</v>
      </c>
      <c r="Y521" t="s">
        <v>479</v>
      </c>
    </row>
    <row r="522" spans="1:25" ht="16" x14ac:dyDescent="0.2">
      <c r="A522" t="s">
        <v>474</v>
      </c>
      <c r="B522" t="s">
        <v>326</v>
      </c>
      <c r="C522" t="s">
        <v>474</v>
      </c>
      <c r="D522" t="s">
        <v>474</v>
      </c>
      <c r="E522" t="s">
        <v>47</v>
      </c>
      <c r="F522" t="s">
        <v>506</v>
      </c>
      <c r="G522" t="s">
        <v>252</v>
      </c>
      <c r="H522" t="s">
        <v>474</v>
      </c>
      <c r="I522" t="s">
        <v>253</v>
      </c>
      <c r="J522" t="s">
        <v>474</v>
      </c>
      <c r="K522" t="s">
        <v>474</v>
      </c>
      <c r="L522" t="s">
        <v>474</v>
      </c>
      <c r="M522" t="s">
        <v>474</v>
      </c>
      <c r="N522" t="s">
        <v>474</v>
      </c>
      <c r="O522" t="s">
        <v>474</v>
      </c>
      <c r="P522" t="s">
        <v>474</v>
      </c>
      <c r="Q522" t="s">
        <v>474</v>
      </c>
      <c r="R522" t="s">
        <v>474</v>
      </c>
      <c r="S522" t="s">
        <v>474</v>
      </c>
      <c r="T522" t="s">
        <v>474</v>
      </c>
      <c r="U522" t="s">
        <v>474</v>
      </c>
      <c r="V522" t="s">
        <v>521</v>
      </c>
      <c r="W522" t="s">
        <v>254</v>
      </c>
      <c r="X522" t="s">
        <v>61</v>
      </c>
      <c r="Y522" t="s">
        <v>482</v>
      </c>
    </row>
    <row r="523" spans="1:25" ht="16" x14ac:dyDescent="0.2">
      <c r="A523" t="s">
        <v>474</v>
      </c>
      <c r="B523" t="s">
        <v>326</v>
      </c>
      <c r="C523" t="s">
        <v>474</v>
      </c>
      <c r="D523" t="s">
        <v>474</v>
      </c>
      <c r="E523" t="s">
        <v>51</v>
      </c>
      <c r="F523" t="s">
        <v>506</v>
      </c>
      <c r="G523" t="s">
        <v>255</v>
      </c>
      <c r="H523" t="s">
        <v>474</v>
      </c>
      <c r="I523" t="s">
        <v>256</v>
      </c>
      <c r="J523" t="s">
        <v>474</v>
      </c>
      <c r="K523" t="s">
        <v>474</v>
      </c>
      <c r="L523" t="s">
        <v>474</v>
      </c>
      <c r="M523" t="s">
        <v>474</v>
      </c>
      <c r="N523" t="s">
        <v>474</v>
      </c>
      <c r="O523" t="s">
        <v>474</v>
      </c>
      <c r="P523" t="s">
        <v>474</v>
      </c>
      <c r="Q523" t="s">
        <v>474</v>
      </c>
      <c r="R523" t="s">
        <v>474</v>
      </c>
      <c r="S523" t="s">
        <v>474</v>
      </c>
      <c r="T523" t="s">
        <v>474</v>
      </c>
      <c r="U523" t="s">
        <v>474</v>
      </c>
      <c r="V523" t="s">
        <v>543</v>
      </c>
      <c r="W523" t="s">
        <v>257</v>
      </c>
      <c r="X523" t="s">
        <v>61</v>
      </c>
      <c r="Y523" t="s">
        <v>482</v>
      </c>
    </row>
    <row r="524" spans="1:25" ht="16" x14ac:dyDescent="0.2">
      <c r="A524" t="s">
        <v>474</v>
      </c>
      <c r="B524" t="s">
        <v>327</v>
      </c>
      <c r="C524" t="s">
        <v>474</v>
      </c>
      <c r="D524" t="s">
        <v>474</v>
      </c>
      <c r="E524" t="s">
        <v>36</v>
      </c>
      <c r="F524" t="s">
        <v>509</v>
      </c>
      <c r="G524" t="s">
        <v>293</v>
      </c>
      <c r="H524" t="s">
        <v>474</v>
      </c>
      <c r="I524" t="s">
        <v>294</v>
      </c>
      <c r="J524" t="s">
        <v>474</v>
      </c>
      <c r="K524" t="s">
        <v>474</v>
      </c>
      <c r="L524" t="s">
        <v>474</v>
      </c>
      <c r="M524" t="s">
        <v>474</v>
      </c>
      <c r="N524" t="s">
        <v>474</v>
      </c>
      <c r="O524" t="s">
        <v>474</v>
      </c>
      <c r="P524" t="s">
        <v>474</v>
      </c>
      <c r="Q524" t="s">
        <v>474</v>
      </c>
      <c r="R524" t="s">
        <v>474</v>
      </c>
      <c r="S524" t="s">
        <v>474</v>
      </c>
      <c r="T524" t="s">
        <v>474</v>
      </c>
      <c r="U524" t="s">
        <v>474</v>
      </c>
      <c r="V524" t="s">
        <v>551</v>
      </c>
      <c r="W524" t="s">
        <v>295</v>
      </c>
      <c r="X524" t="s">
        <v>59</v>
      </c>
      <c r="Y524" t="s">
        <v>479</v>
      </c>
    </row>
    <row r="525" spans="1:25" ht="16" x14ac:dyDescent="0.2">
      <c r="A525" t="s">
        <v>474</v>
      </c>
      <c r="B525" t="s">
        <v>327</v>
      </c>
      <c r="C525" t="s">
        <v>474</v>
      </c>
      <c r="D525" t="s">
        <v>474</v>
      </c>
      <c r="E525" t="s">
        <v>43</v>
      </c>
      <c r="F525" t="s">
        <v>509</v>
      </c>
      <c r="G525" t="s">
        <v>296</v>
      </c>
      <c r="H525" t="s">
        <v>474</v>
      </c>
      <c r="I525" t="s">
        <v>297</v>
      </c>
      <c r="J525" t="s">
        <v>474</v>
      </c>
      <c r="K525" t="s">
        <v>474</v>
      </c>
      <c r="L525" t="s">
        <v>474</v>
      </c>
      <c r="M525" t="s">
        <v>474</v>
      </c>
      <c r="N525" t="s">
        <v>474</v>
      </c>
      <c r="O525" t="s">
        <v>474</v>
      </c>
      <c r="P525" t="s">
        <v>474</v>
      </c>
      <c r="Q525" t="s">
        <v>474</v>
      </c>
      <c r="R525" t="s">
        <v>474</v>
      </c>
      <c r="S525" t="s">
        <v>474</v>
      </c>
      <c r="T525" t="s">
        <v>474</v>
      </c>
      <c r="U525" t="s">
        <v>474</v>
      </c>
      <c r="V525" t="s">
        <v>542</v>
      </c>
      <c r="W525" t="s">
        <v>298</v>
      </c>
      <c r="X525" t="s">
        <v>59</v>
      </c>
      <c r="Y525" t="s">
        <v>479</v>
      </c>
    </row>
    <row r="526" spans="1:25" ht="16" x14ac:dyDescent="0.2">
      <c r="A526" t="s">
        <v>474</v>
      </c>
      <c r="B526" t="s">
        <v>327</v>
      </c>
      <c r="C526" t="s">
        <v>474</v>
      </c>
      <c r="D526" t="s">
        <v>474</v>
      </c>
      <c r="E526" t="s">
        <v>47</v>
      </c>
      <c r="F526" t="s">
        <v>509</v>
      </c>
      <c r="G526" t="s">
        <v>299</v>
      </c>
      <c r="H526" t="s">
        <v>474</v>
      </c>
      <c r="I526" t="s">
        <v>300</v>
      </c>
      <c r="J526" t="s">
        <v>474</v>
      </c>
      <c r="K526" t="s">
        <v>474</v>
      </c>
      <c r="L526" t="s">
        <v>474</v>
      </c>
      <c r="M526" t="s">
        <v>474</v>
      </c>
      <c r="N526" t="s">
        <v>474</v>
      </c>
      <c r="O526" t="s">
        <v>474</v>
      </c>
      <c r="P526" t="s">
        <v>474</v>
      </c>
      <c r="Q526" t="s">
        <v>474</v>
      </c>
      <c r="R526" t="s">
        <v>474</v>
      </c>
      <c r="S526" t="s">
        <v>474</v>
      </c>
      <c r="T526" t="s">
        <v>474</v>
      </c>
      <c r="U526" t="s">
        <v>474</v>
      </c>
      <c r="V526" t="s">
        <v>542</v>
      </c>
      <c r="W526" t="s">
        <v>301</v>
      </c>
      <c r="X526" t="s">
        <v>59</v>
      </c>
      <c r="Y526" t="s">
        <v>479</v>
      </c>
    </row>
    <row r="527" spans="1:25" ht="16" x14ac:dyDescent="0.2">
      <c r="A527" t="s">
        <v>474</v>
      </c>
      <c r="B527" t="s">
        <v>327</v>
      </c>
      <c r="C527" t="s">
        <v>474</v>
      </c>
      <c r="D527" t="s">
        <v>474</v>
      </c>
      <c r="E527" t="s">
        <v>51</v>
      </c>
      <c r="F527" t="s">
        <v>509</v>
      </c>
      <c r="G527" t="s">
        <v>302</v>
      </c>
      <c r="H527" t="s">
        <v>474</v>
      </c>
      <c r="I527" t="s">
        <v>303</v>
      </c>
      <c r="J527" t="s">
        <v>474</v>
      </c>
      <c r="K527" t="s">
        <v>474</v>
      </c>
      <c r="L527" t="s">
        <v>474</v>
      </c>
      <c r="M527" t="s">
        <v>474</v>
      </c>
      <c r="N527" t="s">
        <v>474</v>
      </c>
      <c r="O527" t="s">
        <v>474</v>
      </c>
      <c r="P527" t="s">
        <v>474</v>
      </c>
      <c r="Q527" t="s">
        <v>474</v>
      </c>
      <c r="R527" t="s">
        <v>474</v>
      </c>
      <c r="S527" t="s">
        <v>474</v>
      </c>
      <c r="T527" t="s">
        <v>474</v>
      </c>
      <c r="U527" t="s">
        <v>474</v>
      </c>
      <c r="V527" t="s">
        <v>550</v>
      </c>
      <c r="W527" t="s">
        <v>304</v>
      </c>
      <c r="X527" t="s">
        <v>59</v>
      </c>
      <c r="Y527" t="s">
        <v>479</v>
      </c>
    </row>
    <row r="528" spans="1:25" ht="16" x14ac:dyDescent="0.2">
      <c r="A528" t="s">
        <v>474</v>
      </c>
      <c r="B528" t="s">
        <v>327</v>
      </c>
      <c r="C528" t="s">
        <v>474</v>
      </c>
      <c r="D528" t="s">
        <v>474</v>
      </c>
      <c r="E528" t="s">
        <v>55</v>
      </c>
      <c r="F528" t="s">
        <v>509</v>
      </c>
      <c r="G528" t="s">
        <v>305</v>
      </c>
      <c r="H528" t="s">
        <v>474</v>
      </c>
      <c r="I528" t="s">
        <v>306</v>
      </c>
      <c r="J528" t="s">
        <v>474</v>
      </c>
      <c r="K528" t="s">
        <v>474</v>
      </c>
      <c r="L528" t="s">
        <v>474</v>
      </c>
      <c r="M528" t="s">
        <v>474</v>
      </c>
      <c r="N528" t="s">
        <v>474</v>
      </c>
      <c r="O528" t="s">
        <v>474</v>
      </c>
      <c r="P528" t="s">
        <v>474</v>
      </c>
      <c r="Q528" t="s">
        <v>474</v>
      </c>
      <c r="R528" t="s">
        <v>474</v>
      </c>
      <c r="S528" t="s">
        <v>474</v>
      </c>
      <c r="T528" t="s">
        <v>474</v>
      </c>
      <c r="U528" t="s">
        <v>474</v>
      </c>
      <c r="V528" t="s">
        <v>520</v>
      </c>
      <c r="W528" t="s">
        <v>307</v>
      </c>
      <c r="X528" t="s">
        <v>59</v>
      </c>
      <c r="Y528" t="s">
        <v>479</v>
      </c>
    </row>
    <row r="529" spans="1:25" ht="16" x14ac:dyDescent="0.2">
      <c r="A529" t="s">
        <v>474</v>
      </c>
      <c r="B529" t="s">
        <v>328</v>
      </c>
      <c r="C529" t="s">
        <v>474</v>
      </c>
      <c r="D529" t="s">
        <v>474</v>
      </c>
      <c r="E529" t="s">
        <v>36</v>
      </c>
      <c r="F529" t="s">
        <v>509</v>
      </c>
      <c r="G529" t="s">
        <v>309</v>
      </c>
      <c r="H529" t="s">
        <v>474</v>
      </c>
      <c r="I529" t="s">
        <v>310</v>
      </c>
      <c r="J529" t="s">
        <v>474</v>
      </c>
      <c r="K529" t="s">
        <v>474</v>
      </c>
      <c r="L529" t="s">
        <v>474</v>
      </c>
      <c r="M529" t="s">
        <v>474</v>
      </c>
      <c r="N529" t="s">
        <v>474</v>
      </c>
      <c r="O529" t="s">
        <v>474</v>
      </c>
      <c r="P529" t="s">
        <v>474</v>
      </c>
      <c r="Q529" t="s">
        <v>474</v>
      </c>
      <c r="R529" t="s">
        <v>474</v>
      </c>
      <c r="S529" t="s">
        <v>474</v>
      </c>
      <c r="T529" t="s">
        <v>474</v>
      </c>
      <c r="U529" t="s">
        <v>474</v>
      </c>
      <c r="V529" t="s">
        <v>543</v>
      </c>
      <c r="W529" t="s">
        <v>311</v>
      </c>
      <c r="X529" t="s">
        <v>59</v>
      </c>
      <c r="Y529" t="s">
        <v>479</v>
      </c>
    </row>
    <row r="530" spans="1:25" ht="16" x14ac:dyDescent="0.2">
      <c r="A530" t="s">
        <v>474</v>
      </c>
      <c r="B530" t="s">
        <v>328</v>
      </c>
      <c r="C530" t="s">
        <v>474</v>
      </c>
      <c r="D530" t="s">
        <v>474</v>
      </c>
      <c r="E530" t="s">
        <v>43</v>
      </c>
      <c r="F530" t="s">
        <v>509</v>
      </c>
      <c r="G530" t="s">
        <v>312</v>
      </c>
      <c r="H530" t="s">
        <v>474</v>
      </c>
      <c r="I530" t="s">
        <v>313</v>
      </c>
      <c r="J530" t="s">
        <v>474</v>
      </c>
      <c r="K530" t="s">
        <v>474</v>
      </c>
      <c r="L530" t="s">
        <v>474</v>
      </c>
      <c r="M530" t="s">
        <v>474</v>
      </c>
      <c r="N530" t="s">
        <v>474</v>
      </c>
      <c r="O530" t="s">
        <v>474</v>
      </c>
      <c r="P530" t="s">
        <v>474</v>
      </c>
      <c r="Q530" t="s">
        <v>474</v>
      </c>
      <c r="R530" t="s">
        <v>474</v>
      </c>
      <c r="S530" t="s">
        <v>474</v>
      </c>
      <c r="T530" t="s">
        <v>474</v>
      </c>
      <c r="U530" t="s">
        <v>474</v>
      </c>
      <c r="V530" t="s">
        <v>47</v>
      </c>
      <c r="W530" t="s">
        <v>314</v>
      </c>
      <c r="X530" t="s">
        <v>59</v>
      </c>
      <c r="Y530" t="s">
        <v>479</v>
      </c>
    </row>
    <row r="531" spans="1:25" ht="16" x14ac:dyDescent="0.2">
      <c r="A531" t="s">
        <v>474</v>
      </c>
      <c r="B531" t="s">
        <v>328</v>
      </c>
      <c r="C531" t="s">
        <v>474</v>
      </c>
      <c r="D531" t="s">
        <v>474</v>
      </c>
      <c r="E531" t="s">
        <v>47</v>
      </c>
      <c r="F531" t="s">
        <v>509</v>
      </c>
      <c r="G531" t="s">
        <v>315</v>
      </c>
      <c r="H531" t="s">
        <v>474</v>
      </c>
      <c r="I531" t="s">
        <v>316</v>
      </c>
      <c r="J531" t="s">
        <v>474</v>
      </c>
      <c r="K531" t="s">
        <v>474</v>
      </c>
      <c r="L531" t="s">
        <v>474</v>
      </c>
      <c r="M531" t="s">
        <v>474</v>
      </c>
      <c r="N531" t="s">
        <v>474</v>
      </c>
      <c r="O531" t="s">
        <v>474</v>
      </c>
      <c r="P531" t="s">
        <v>474</v>
      </c>
      <c r="Q531" t="s">
        <v>474</v>
      </c>
      <c r="R531" t="s">
        <v>474</v>
      </c>
      <c r="S531" t="s">
        <v>474</v>
      </c>
      <c r="T531" t="s">
        <v>474</v>
      </c>
      <c r="U531" t="s">
        <v>474</v>
      </c>
      <c r="V531" t="s">
        <v>47</v>
      </c>
      <c r="W531" t="s">
        <v>317</v>
      </c>
      <c r="X531" t="s">
        <v>59</v>
      </c>
      <c r="Y531" t="s">
        <v>479</v>
      </c>
    </row>
    <row r="532" spans="1:25" ht="16" x14ac:dyDescent="0.2">
      <c r="A532" t="s">
        <v>474</v>
      </c>
      <c r="B532" t="s">
        <v>328</v>
      </c>
      <c r="C532" t="s">
        <v>474</v>
      </c>
      <c r="D532" t="s">
        <v>474</v>
      </c>
      <c r="E532" t="s">
        <v>51</v>
      </c>
      <c r="F532" t="s">
        <v>509</v>
      </c>
      <c r="G532" t="s">
        <v>318</v>
      </c>
      <c r="H532" t="s">
        <v>474</v>
      </c>
      <c r="I532" t="s">
        <v>319</v>
      </c>
      <c r="J532" t="s">
        <v>474</v>
      </c>
      <c r="K532" t="s">
        <v>474</v>
      </c>
      <c r="L532" t="s">
        <v>474</v>
      </c>
      <c r="M532" t="s">
        <v>474</v>
      </c>
      <c r="N532" t="s">
        <v>474</v>
      </c>
      <c r="O532" t="s">
        <v>474</v>
      </c>
      <c r="P532" t="s">
        <v>474</v>
      </c>
      <c r="Q532" t="s">
        <v>474</v>
      </c>
      <c r="R532" t="s">
        <v>474</v>
      </c>
      <c r="S532" t="s">
        <v>474</v>
      </c>
      <c r="T532" t="s">
        <v>474</v>
      </c>
      <c r="U532" t="s">
        <v>474</v>
      </c>
      <c r="V532" t="s">
        <v>550</v>
      </c>
      <c r="W532" t="s">
        <v>320</v>
      </c>
      <c r="X532" t="s">
        <v>59</v>
      </c>
      <c r="Y532" t="s">
        <v>479</v>
      </c>
    </row>
    <row r="533" spans="1:25" ht="16" x14ac:dyDescent="0.2">
      <c r="A533" t="s">
        <v>474</v>
      </c>
      <c r="B533" t="s">
        <v>329</v>
      </c>
      <c r="C533" t="s">
        <v>474</v>
      </c>
      <c r="D533" t="s">
        <v>474</v>
      </c>
      <c r="E533" t="s">
        <v>36</v>
      </c>
      <c r="F533" t="s">
        <v>507</v>
      </c>
      <c r="G533" t="s">
        <v>262</v>
      </c>
      <c r="H533" t="s">
        <v>474</v>
      </c>
      <c r="I533" t="s">
        <v>263</v>
      </c>
      <c r="J533" t="s">
        <v>474</v>
      </c>
      <c r="K533" t="s">
        <v>474</v>
      </c>
      <c r="L533" t="s">
        <v>474</v>
      </c>
      <c r="M533" t="s">
        <v>474</v>
      </c>
      <c r="N533" t="s">
        <v>474</v>
      </c>
      <c r="O533" t="s">
        <v>474</v>
      </c>
      <c r="P533" t="s">
        <v>474</v>
      </c>
      <c r="Q533" t="s">
        <v>474</v>
      </c>
      <c r="R533" t="s">
        <v>474</v>
      </c>
      <c r="S533" t="s">
        <v>474</v>
      </c>
      <c r="T533" t="s">
        <v>474</v>
      </c>
      <c r="U533" t="s">
        <v>474</v>
      </c>
      <c r="V533" t="s">
        <v>548</v>
      </c>
      <c r="W533" t="s">
        <v>264</v>
      </c>
      <c r="X533" t="s">
        <v>61</v>
      </c>
      <c r="Y533" t="s">
        <v>482</v>
      </c>
    </row>
    <row r="534" spans="1:25" ht="16" x14ac:dyDescent="0.2">
      <c r="A534" t="s">
        <v>474</v>
      </c>
      <c r="B534" t="s">
        <v>329</v>
      </c>
      <c r="C534" t="s">
        <v>474</v>
      </c>
      <c r="D534" t="s">
        <v>474</v>
      </c>
      <c r="E534" t="s">
        <v>43</v>
      </c>
      <c r="F534" t="s">
        <v>507</v>
      </c>
      <c r="G534" t="s">
        <v>265</v>
      </c>
      <c r="H534" t="s">
        <v>474</v>
      </c>
      <c r="I534" t="s">
        <v>266</v>
      </c>
      <c r="J534" t="s">
        <v>474</v>
      </c>
      <c r="K534" t="s">
        <v>474</v>
      </c>
      <c r="L534" t="s">
        <v>474</v>
      </c>
      <c r="M534" t="s">
        <v>474</v>
      </c>
      <c r="N534" t="s">
        <v>474</v>
      </c>
      <c r="O534" t="s">
        <v>474</v>
      </c>
      <c r="P534" t="s">
        <v>474</v>
      </c>
      <c r="Q534" t="s">
        <v>474</v>
      </c>
      <c r="R534" t="s">
        <v>474</v>
      </c>
      <c r="S534" t="s">
        <v>474</v>
      </c>
      <c r="T534" t="s">
        <v>474</v>
      </c>
      <c r="U534" t="s">
        <v>474</v>
      </c>
      <c r="V534" t="s">
        <v>510</v>
      </c>
      <c r="W534" t="s">
        <v>267</v>
      </c>
      <c r="X534" t="s">
        <v>61</v>
      </c>
      <c r="Y534" t="s">
        <v>482</v>
      </c>
    </row>
    <row r="535" spans="1:25" ht="16" x14ac:dyDescent="0.2">
      <c r="A535" t="s">
        <v>474</v>
      </c>
      <c r="B535" t="s">
        <v>329</v>
      </c>
      <c r="C535" t="s">
        <v>474</v>
      </c>
      <c r="D535" t="s">
        <v>474</v>
      </c>
      <c r="E535" t="s">
        <v>47</v>
      </c>
      <c r="F535" t="s">
        <v>507</v>
      </c>
      <c r="G535" t="s">
        <v>268</v>
      </c>
      <c r="H535" t="s">
        <v>474</v>
      </c>
      <c r="I535" t="s">
        <v>269</v>
      </c>
      <c r="J535" t="s">
        <v>474</v>
      </c>
      <c r="K535" t="s">
        <v>474</v>
      </c>
      <c r="L535" t="s">
        <v>474</v>
      </c>
      <c r="M535" t="s">
        <v>474</v>
      </c>
      <c r="N535" t="s">
        <v>474</v>
      </c>
      <c r="O535" t="s">
        <v>474</v>
      </c>
      <c r="P535" t="s">
        <v>474</v>
      </c>
      <c r="Q535" t="s">
        <v>474</v>
      </c>
      <c r="R535" t="s">
        <v>474</v>
      </c>
      <c r="S535" t="s">
        <v>474</v>
      </c>
      <c r="T535" t="s">
        <v>474</v>
      </c>
      <c r="U535" t="s">
        <v>474</v>
      </c>
      <c r="V535" t="s">
        <v>510</v>
      </c>
      <c r="W535" t="s">
        <v>270</v>
      </c>
      <c r="X535" t="s">
        <v>61</v>
      </c>
      <c r="Y535" t="s">
        <v>482</v>
      </c>
    </row>
    <row r="536" spans="1:25" ht="16" x14ac:dyDescent="0.2">
      <c r="A536" t="s">
        <v>474</v>
      </c>
      <c r="B536" t="s">
        <v>329</v>
      </c>
      <c r="C536" t="s">
        <v>474</v>
      </c>
      <c r="D536" t="s">
        <v>474</v>
      </c>
      <c r="E536" t="s">
        <v>51</v>
      </c>
      <c r="F536" t="s">
        <v>507</v>
      </c>
      <c r="G536" t="s">
        <v>271</v>
      </c>
      <c r="H536" t="s">
        <v>474</v>
      </c>
      <c r="I536" t="s">
        <v>272</v>
      </c>
      <c r="J536" t="s">
        <v>474</v>
      </c>
      <c r="K536" t="s">
        <v>474</v>
      </c>
      <c r="L536" t="s">
        <v>474</v>
      </c>
      <c r="M536" t="s">
        <v>474</v>
      </c>
      <c r="N536" t="s">
        <v>474</v>
      </c>
      <c r="O536" t="s">
        <v>474</v>
      </c>
      <c r="P536" t="s">
        <v>474</v>
      </c>
      <c r="Q536" t="s">
        <v>474</v>
      </c>
      <c r="R536" t="s">
        <v>474</v>
      </c>
      <c r="S536" t="s">
        <v>474</v>
      </c>
      <c r="T536" t="s">
        <v>474</v>
      </c>
      <c r="U536" t="s">
        <v>474</v>
      </c>
      <c r="V536" t="s">
        <v>543</v>
      </c>
      <c r="W536" t="s">
        <v>273</v>
      </c>
      <c r="X536" t="s">
        <v>61</v>
      </c>
      <c r="Y536" t="s">
        <v>482</v>
      </c>
    </row>
    <row r="537" spans="1:25" ht="16" x14ac:dyDescent="0.2">
      <c r="A537" t="s">
        <v>474</v>
      </c>
      <c r="B537" t="s">
        <v>329</v>
      </c>
      <c r="C537" t="s">
        <v>474</v>
      </c>
      <c r="D537" t="s">
        <v>474</v>
      </c>
      <c r="E537" t="s">
        <v>55</v>
      </c>
      <c r="F537" t="s">
        <v>507</v>
      </c>
      <c r="G537" t="s">
        <v>274</v>
      </c>
      <c r="H537" t="s">
        <v>474</v>
      </c>
      <c r="I537" t="s">
        <v>275</v>
      </c>
      <c r="J537" t="s">
        <v>474</v>
      </c>
      <c r="K537" t="s">
        <v>474</v>
      </c>
      <c r="L537" t="s">
        <v>474</v>
      </c>
      <c r="M537" t="s">
        <v>474</v>
      </c>
      <c r="N537" t="s">
        <v>474</v>
      </c>
      <c r="O537" t="s">
        <v>474</v>
      </c>
      <c r="P537" t="s">
        <v>474</v>
      </c>
      <c r="Q537" t="s">
        <v>474</v>
      </c>
      <c r="R537" t="s">
        <v>474</v>
      </c>
      <c r="S537" t="s">
        <v>474</v>
      </c>
      <c r="T537" t="s">
        <v>474</v>
      </c>
      <c r="U537" t="s">
        <v>474</v>
      </c>
      <c r="V537" t="s">
        <v>580</v>
      </c>
      <c r="W537" t="s">
        <v>276</v>
      </c>
      <c r="X537" t="s">
        <v>61</v>
      </c>
      <c r="Y537" t="s">
        <v>482</v>
      </c>
    </row>
    <row r="538" spans="1:25" ht="16" x14ac:dyDescent="0.2">
      <c r="A538" t="s">
        <v>474</v>
      </c>
      <c r="B538" t="s">
        <v>330</v>
      </c>
      <c r="C538" t="s">
        <v>474</v>
      </c>
      <c r="D538" t="s">
        <v>474</v>
      </c>
      <c r="E538" t="s">
        <v>43</v>
      </c>
      <c r="F538" t="s">
        <v>508</v>
      </c>
      <c r="G538" t="s">
        <v>278</v>
      </c>
      <c r="H538" t="s">
        <v>474</v>
      </c>
      <c r="I538" t="s">
        <v>279</v>
      </c>
      <c r="J538" t="s">
        <v>474</v>
      </c>
      <c r="K538" t="s">
        <v>474</v>
      </c>
      <c r="L538" t="s">
        <v>474</v>
      </c>
      <c r="M538" t="s">
        <v>474</v>
      </c>
      <c r="N538" t="s">
        <v>474</v>
      </c>
      <c r="O538" t="s">
        <v>474</v>
      </c>
      <c r="P538" t="s">
        <v>474</v>
      </c>
      <c r="Q538" t="s">
        <v>474</v>
      </c>
      <c r="R538" t="s">
        <v>474</v>
      </c>
      <c r="S538" t="s">
        <v>474</v>
      </c>
      <c r="T538" t="s">
        <v>474</v>
      </c>
      <c r="U538" t="s">
        <v>474</v>
      </c>
      <c r="V538" t="s">
        <v>1151</v>
      </c>
      <c r="W538" t="s">
        <v>280</v>
      </c>
      <c r="X538" t="s">
        <v>61</v>
      </c>
      <c r="Y538" t="s">
        <v>482</v>
      </c>
    </row>
    <row r="539" spans="1:25" ht="16" x14ac:dyDescent="0.2">
      <c r="A539" t="s">
        <v>474</v>
      </c>
      <c r="B539" t="s">
        <v>330</v>
      </c>
      <c r="C539" t="s">
        <v>474</v>
      </c>
      <c r="D539" t="s">
        <v>474</v>
      </c>
      <c r="E539" t="s">
        <v>47</v>
      </c>
      <c r="F539" t="s">
        <v>508</v>
      </c>
      <c r="G539" t="s">
        <v>281</v>
      </c>
      <c r="H539" t="s">
        <v>474</v>
      </c>
      <c r="I539" t="s">
        <v>282</v>
      </c>
      <c r="J539" t="s">
        <v>474</v>
      </c>
      <c r="K539" t="s">
        <v>474</v>
      </c>
      <c r="L539" t="s">
        <v>474</v>
      </c>
      <c r="M539" t="s">
        <v>474</v>
      </c>
      <c r="N539" t="s">
        <v>474</v>
      </c>
      <c r="O539" t="s">
        <v>474</v>
      </c>
      <c r="P539" t="s">
        <v>474</v>
      </c>
      <c r="Q539" t="s">
        <v>474</v>
      </c>
      <c r="R539" t="s">
        <v>474</v>
      </c>
      <c r="S539" t="s">
        <v>474</v>
      </c>
      <c r="T539" t="s">
        <v>474</v>
      </c>
      <c r="U539" t="s">
        <v>474</v>
      </c>
      <c r="V539" t="s">
        <v>543</v>
      </c>
      <c r="W539" t="s">
        <v>283</v>
      </c>
      <c r="X539" t="s">
        <v>61</v>
      </c>
      <c r="Y539" t="s">
        <v>482</v>
      </c>
    </row>
    <row r="540" spans="1:25" ht="16" x14ac:dyDescent="0.2">
      <c r="A540" t="s">
        <v>474</v>
      </c>
      <c r="B540" t="s">
        <v>330</v>
      </c>
      <c r="C540" t="s">
        <v>474</v>
      </c>
      <c r="D540" t="s">
        <v>474</v>
      </c>
      <c r="E540" t="s">
        <v>55</v>
      </c>
      <c r="F540" t="s">
        <v>508</v>
      </c>
      <c r="G540" t="s">
        <v>287</v>
      </c>
      <c r="H540" t="s">
        <v>474</v>
      </c>
      <c r="I540" t="s">
        <v>288</v>
      </c>
      <c r="J540" t="s">
        <v>474</v>
      </c>
      <c r="K540" t="s">
        <v>474</v>
      </c>
      <c r="L540" t="s">
        <v>474</v>
      </c>
      <c r="M540" t="s">
        <v>474</v>
      </c>
      <c r="N540" t="s">
        <v>474</v>
      </c>
      <c r="O540" t="s">
        <v>474</v>
      </c>
      <c r="P540" t="s">
        <v>474</v>
      </c>
      <c r="Q540" t="s">
        <v>474</v>
      </c>
      <c r="R540" t="s">
        <v>474</v>
      </c>
      <c r="S540" t="s">
        <v>474</v>
      </c>
      <c r="T540" t="s">
        <v>474</v>
      </c>
      <c r="U540" t="s">
        <v>474</v>
      </c>
      <c r="V540" t="s">
        <v>515</v>
      </c>
      <c r="W540" t="s">
        <v>289</v>
      </c>
      <c r="X540" t="s">
        <v>61</v>
      </c>
      <c r="Y540" t="s">
        <v>482</v>
      </c>
    </row>
    <row r="541" spans="1:25" ht="16" x14ac:dyDescent="0.2">
      <c r="A541" t="s">
        <v>474</v>
      </c>
      <c r="B541" t="s">
        <v>331</v>
      </c>
      <c r="C541" t="s">
        <v>474</v>
      </c>
      <c r="D541" t="s">
        <v>474</v>
      </c>
      <c r="E541" t="s">
        <v>36</v>
      </c>
      <c r="F541" t="s">
        <v>509</v>
      </c>
      <c r="G541" t="s">
        <v>293</v>
      </c>
      <c r="H541" t="s">
        <v>474</v>
      </c>
      <c r="I541" t="s">
        <v>294</v>
      </c>
      <c r="J541" t="s">
        <v>474</v>
      </c>
      <c r="K541" t="s">
        <v>474</v>
      </c>
      <c r="L541" t="s">
        <v>474</v>
      </c>
      <c r="M541" t="s">
        <v>474</v>
      </c>
      <c r="N541" t="s">
        <v>474</v>
      </c>
      <c r="O541" t="s">
        <v>474</v>
      </c>
      <c r="P541" t="s">
        <v>474</v>
      </c>
      <c r="Q541" t="s">
        <v>474</v>
      </c>
      <c r="R541" t="s">
        <v>474</v>
      </c>
      <c r="S541" t="s">
        <v>474</v>
      </c>
      <c r="T541" t="s">
        <v>474</v>
      </c>
      <c r="U541" t="s">
        <v>474</v>
      </c>
      <c r="V541" t="s">
        <v>551</v>
      </c>
      <c r="W541" t="s">
        <v>295</v>
      </c>
      <c r="X541" t="s">
        <v>61</v>
      </c>
      <c r="Y541" t="s">
        <v>482</v>
      </c>
    </row>
    <row r="542" spans="1:25" ht="16" x14ac:dyDescent="0.2">
      <c r="A542" t="s">
        <v>474</v>
      </c>
      <c r="B542" t="s">
        <v>331</v>
      </c>
      <c r="C542" t="s">
        <v>474</v>
      </c>
      <c r="D542" t="s">
        <v>474</v>
      </c>
      <c r="E542" t="s">
        <v>43</v>
      </c>
      <c r="F542" t="s">
        <v>509</v>
      </c>
      <c r="G542" t="s">
        <v>296</v>
      </c>
      <c r="H542" t="s">
        <v>474</v>
      </c>
      <c r="I542" t="s">
        <v>297</v>
      </c>
      <c r="J542" t="s">
        <v>474</v>
      </c>
      <c r="K542" t="s">
        <v>474</v>
      </c>
      <c r="L542" t="s">
        <v>474</v>
      </c>
      <c r="M542" t="s">
        <v>474</v>
      </c>
      <c r="N542" t="s">
        <v>474</v>
      </c>
      <c r="O542" t="s">
        <v>474</v>
      </c>
      <c r="P542" t="s">
        <v>474</v>
      </c>
      <c r="Q542" t="s">
        <v>474</v>
      </c>
      <c r="R542" t="s">
        <v>474</v>
      </c>
      <c r="S542" t="s">
        <v>474</v>
      </c>
      <c r="T542" t="s">
        <v>474</v>
      </c>
      <c r="U542" t="s">
        <v>474</v>
      </c>
      <c r="V542" t="s">
        <v>579</v>
      </c>
      <c r="W542" t="s">
        <v>298</v>
      </c>
      <c r="X542" t="s">
        <v>61</v>
      </c>
      <c r="Y542" t="s">
        <v>482</v>
      </c>
    </row>
    <row r="543" spans="1:25" ht="16" x14ac:dyDescent="0.2">
      <c r="A543" t="s">
        <v>474</v>
      </c>
      <c r="B543" t="s">
        <v>331</v>
      </c>
      <c r="C543" t="s">
        <v>474</v>
      </c>
      <c r="D543" t="s">
        <v>474</v>
      </c>
      <c r="E543" t="s">
        <v>47</v>
      </c>
      <c r="F543" t="s">
        <v>509</v>
      </c>
      <c r="G543" t="s">
        <v>299</v>
      </c>
      <c r="H543" t="s">
        <v>474</v>
      </c>
      <c r="I543" t="s">
        <v>300</v>
      </c>
      <c r="J543" t="s">
        <v>474</v>
      </c>
      <c r="K543" t="s">
        <v>474</v>
      </c>
      <c r="L543" t="s">
        <v>474</v>
      </c>
      <c r="M543" t="s">
        <v>474</v>
      </c>
      <c r="N543" t="s">
        <v>474</v>
      </c>
      <c r="O543" t="s">
        <v>474</v>
      </c>
      <c r="P543" t="s">
        <v>474</v>
      </c>
      <c r="Q543" t="s">
        <v>474</v>
      </c>
      <c r="R543" t="s">
        <v>474</v>
      </c>
      <c r="S543" t="s">
        <v>474</v>
      </c>
      <c r="T543" t="s">
        <v>474</v>
      </c>
      <c r="U543" t="s">
        <v>474</v>
      </c>
      <c r="V543" t="s">
        <v>513</v>
      </c>
      <c r="W543" t="s">
        <v>301</v>
      </c>
      <c r="X543" t="s">
        <v>61</v>
      </c>
      <c r="Y543" t="s">
        <v>482</v>
      </c>
    </row>
    <row r="544" spans="1:25" ht="16" x14ac:dyDescent="0.2">
      <c r="A544" t="s">
        <v>474</v>
      </c>
      <c r="B544" t="s">
        <v>331</v>
      </c>
      <c r="C544" t="s">
        <v>474</v>
      </c>
      <c r="D544" t="s">
        <v>474</v>
      </c>
      <c r="E544" t="s">
        <v>51</v>
      </c>
      <c r="F544" t="s">
        <v>509</v>
      </c>
      <c r="G544" t="s">
        <v>302</v>
      </c>
      <c r="H544" t="s">
        <v>474</v>
      </c>
      <c r="I544" t="s">
        <v>303</v>
      </c>
      <c r="J544" t="s">
        <v>474</v>
      </c>
      <c r="K544" t="s">
        <v>474</v>
      </c>
      <c r="L544" t="s">
        <v>474</v>
      </c>
      <c r="M544" t="s">
        <v>474</v>
      </c>
      <c r="N544" t="s">
        <v>474</v>
      </c>
      <c r="O544" t="s">
        <v>474</v>
      </c>
      <c r="P544" t="s">
        <v>474</v>
      </c>
      <c r="Q544" t="s">
        <v>474</v>
      </c>
      <c r="R544" t="s">
        <v>474</v>
      </c>
      <c r="S544" t="s">
        <v>474</v>
      </c>
      <c r="T544" t="s">
        <v>474</v>
      </c>
      <c r="U544" t="s">
        <v>474</v>
      </c>
      <c r="V544" t="s">
        <v>550</v>
      </c>
      <c r="W544" t="s">
        <v>304</v>
      </c>
      <c r="X544" t="s">
        <v>61</v>
      </c>
      <c r="Y544" t="s">
        <v>482</v>
      </c>
    </row>
    <row r="545" spans="1:25" ht="16" x14ac:dyDescent="0.2">
      <c r="A545" t="s">
        <v>474</v>
      </c>
      <c r="B545" t="s">
        <v>331</v>
      </c>
      <c r="C545" t="s">
        <v>474</v>
      </c>
      <c r="D545" t="s">
        <v>474</v>
      </c>
      <c r="E545" t="s">
        <v>55</v>
      </c>
      <c r="F545" t="s">
        <v>509</v>
      </c>
      <c r="G545" t="s">
        <v>305</v>
      </c>
      <c r="H545" t="s">
        <v>474</v>
      </c>
      <c r="I545" t="s">
        <v>306</v>
      </c>
      <c r="J545" t="s">
        <v>474</v>
      </c>
      <c r="K545" t="s">
        <v>474</v>
      </c>
      <c r="L545" t="s">
        <v>474</v>
      </c>
      <c r="M545" t="s">
        <v>474</v>
      </c>
      <c r="N545" t="s">
        <v>474</v>
      </c>
      <c r="O545" t="s">
        <v>474</v>
      </c>
      <c r="P545" t="s">
        <v>474</v>
      </c>
      <c r="Q545" t="s">
        <v>474</v>
      </c>
      <c r="R545" t="s">
        <v>474</v>
      </c>
      <c r="S545" t="s">
        <v>474</v>
      </c>
      <c r="T545" t="s">
        <v>474</v>
      </c>
      <c r="U545" t="s">
        <v>474</v>
      </c>
      <c r="V545" t="s">
        <v>518</v>
      </c>
      <c r="W545" t="s">
        <v>307</v>
      </c>
      <c r="X545" t="s">
        <v>61</v>
      </c>
      <c r="Y545" t="s">
        <v>482</v>
      </c>
    </row>
    <row r="546" spans="1:25" ht="16" x14ac:dyDescent="0.2">
      <c r="A546" t="s">
        <v>474</v>
      </c>
      <c r="B546" t="s">
        <v>332</v>
      </c>
      <c r="C546" t="s">
        <v>474</v>
      </c>
      <c r="D546" t="s">
        <v>474</v>
      </c>
      <c r="E546" t="s">
        <v>36</v>
      </c>
      <c r="F546" t="s">
        <v>509</v>
      </c>
      <c r="G546" t="s">
        <v>309</v>
      </c>
      <c r="H546" t="s">
        <v>474</v>
      </c>
      <c r="I546" t="s">
        <v>310</v>
      </c>
      <c r="J546" t="s">
        <v>474</v>
      </c>
      <c r="K546" t="s">
        <v>474</v>
      </c>
      <c r="L546" t="s">
        <v>474</v>
      </c>
      <c r="M546" t="s">
        <v>474</v>
      </c>
      <c r="N546" t="s">
        <v>474</v>
      </c>
      <c r="O546" t="s">
        <v>474</v>
      </c>
      <c r="P546" t="s">
        <v>474</v>
      </c>
      <c r="Q546" t="s">
        <v>474</v>
      </c>
      <c r="R546" t="s">
        <v>474</v>
      </c>
      <c r="S546" t="s">
        <v>474</v>
      </c>
      <c r="T546" t="s">
        <v>474</v>
      </c>
      <c r="U546" t="s">
        <v>474</v>
      </c>
      <c r="V546" t="s">
        <v>543</v>
      </c>
      <c r="W546" t="s">
        <v>311</v>
      </c>
      <c r="X546" t="s">
        <v>61</v>
      </c>
      <c r="Y546" t="s">
        <v>482</v>
      </c>
    </row>
    <row r="547" spans="1:25" ht="16" x14ac:dyDescent="0.2">
      <c r="A547" t="s">
        <v>474</v>
      </c>
      <c r="B547" t="s">
        <v>332</v>
      </c>
      <c r="C547" t="s">
        <v>474</v>
      </c>
      <c r="D547" t="s">
        <v>474</v>
      </c>
      <c r="E547" t="s">
        <v>43</v>
      </c>
      <c r="F547" t="s">
        <v>509</v>
      </c>
      <c r="G547" t="s">
        <v>312</v>
      </c>
      <c r="H547" t="s">
        <v>474</v>
      </c>
      <c r="I547" t="s">
        <v>313</v>
      </c>
      <c r="J547" t="s">
        <v>474</v>
      </c>
      <c r="K547" t="s">
        <v>474</v>
      </c>
      <c r="L547" t="s">
        <v>474</v>
      </c>
      <c r="M547" t="s">
        <v>474</v>
      </c>
      <c r="N547" t="s">
        <v>474</v>
      </c>
      <c r="O547" t="s">
        <v>474</v>
      </c>
      <c r="P547" t="s">
        <v>474</v>
      </c>
      <c r="Q547" t="s">
        <v>474</v>
      </c>
      <c r="R547" t="s">
        <v>474</v>
      </c>
      <c r="S547" t="s">
        <v>474</v>
      </c>
      <c r="T547" t="s">
        <v>474</v>
      </c>
      <c r="U547" t="s">
        <v>474</v>
      </c>
      <c r="V547" t="s">
        <v>535</v>
      </c>
      <c r="W547" t="s">
        <v>314</v>
      </c>
      <c r="X547" t="s">
        <v>61</v>
      </c>
      <c r="Y547" t="s">
        <v>482</v>
      </c>
    </row>
    <row r="548" spans="1:25" ht="16" x14ac:dyDescent="0.2">
      <c r="A548" t="s">
        <v>474</v>
      </c>
      <c r="B548" t="s">
        <v>332</v>
      </c>
      <c r="C548" t="s">
        <v>474</v>
      </c>
      <c r="D548" t="s">
        <v>474</v>
      </c>
      <c r="E548" t="s">
        <v>47</v>
      </c>
      <c r="F548" t="s">
        <v>509</v>
      </c>
      <c r="G548" t="s">
        <v>315</v>
      </c>
      <c r="H548" t="s">
        <v>474</v>
      </c>
      <c r="I548" t="s">
        <v>316</v>
      </c>
      <c r="J548" t="s">
        <v>474</v>
      </c>
      <c r="K548" t="s">
        <v>474</v>
      </c>
      <c r="L548" t="s">
        <v>474</v>
      </c>
      <c r="M548" t="s">
        <v>474</v>
      </c>
      <c r="N548" t="s">
        <v>474</v>
      </c>
      <c r="O548" t="s">
        <v>474</v>
      </c>
      <c r="P548" t="s">
        <v>474</v>
      </c>
      <c r="Q548" t="s">
        <v>474</v>
      </c>
      <c r="R548" t="s">
        <v>474</v>
      </c>
      <c r="S548" t="s">
        <v>474</v>
      </c>
      <c r="T548" t="s">
        <v>474</v>
      </c>
      <c r="U548" t="s">
        <v>474</v>
      </c>
      <c r="V548" t="s">
        <v>535</v>
      </c>
      <c r="W548" t="s">
        <v>317</v>
      </c>
      <c r="X548" t="s">
        <v>61</v>
      </c>
      <c r="Y548" t="s">
        <v>482</v>
      </c>
    </row>
    <row r="549" spans="1:25" ht="16" x14ac:dyDescent="0.2">
      <c r="A549" t="s">
        <v>474</v>
      </c>
      <c r="B549" t="s">
        <v>332</v>
      </c>
      <c r="C549" t="s">
        <v>474</v>
      </c>
      <c r="D549" t="s">
        <v>474</v>
      </c>
      <c r="E549" t="s">
        <v>51</v>
      </c>
      <c r="F549" t="s">
        <v>509</v>
      </c>
      <c r="G549" t="s">
        <v>318</v>
      </c>
      <c r="H549" t="s">
        <v>474</v>
      </c>
      <c r="I549" t="s">
        <v>319</v>
      </c>
      <c r="J549" t="s">
        <v>474</v>
      </c>
      <c r="K549" t="s">
        <v>474</v>
      </c>
      <c r="L549" t="s">
        <v>474</v>
      </c>
      <c r="M549" t="s">
        <v>474</v>
      </c>
      <c r="N549" t="s">
        <v>474</v>
      </c>
      <c r="O549" t="s">
        <v>474</v>
      </c>
      <c r="P549" t="s">
        <v>474</v>
      </c>
      <c r="Q549" t="s">
        <v>474</v>
      </c>
      <c r="R549" t="s">
        <v>474</v>
      </c>
      <c r="S549" t="s">
        <v>474</v>
      </c>
      <c r="T549" t="s">
        <v>474</v>
      </c>
      <c r="U549" t="s">
        <v>474</v>
      </c>
      <c r="V549" t="s">
        <v>550</v>
      </c>
      <c r="W549" t="s">
        <v>320</v>
      </c>
      <c r="X549" t="s">
        <v>61</v>
      </c>
      <c r="Y549" t="s">
        <v>482</v>
      </c>
    </row>
    <row r="550" spans="1:25" ht="16" x14ac:dyDescent="0.2">
      <c r="A550" t="s">
        <v>474</v>
      </c>
      <c r="B550" t="s">
        <v>332</v>
      </c>
      <c r="C550" t="s">
        <v>474</v>
      </c>
      <c r="D550" t="s">
        <v>474</v>
      </c>
      <c r="E550" t="s">
        <v>55</v>
      </c>
      <c r="F550" t="s">
        <v>509</v>
      </c>
      <c r="G550" t="s">
        <v>321</v>
      </c>
      <c r="H550" t="s">
        <v>474</v>
      </c>
      <c r="I550" t="s">
        <v>322</v>
      </c>
      <c r="J550" t="s">
        <v>474</v>
      </c>
      <c r="K550" t="s">
        <v>474</v>
      </c>
      <c r="L550" t="s">
        <v>474</v>
      </c>
      <c r="M550" t="s">
        <v>474</v>
      </c>
      <c r="N550" t="s">
        <v>474</v>
      </c>
      <c r="O550" t="s">
        <v>474</v>
      </c>
      <c r="P550" t="s">
        <v>474</v>
      </c>
      <c r="Q550" t="s">
        <v>474</v>
      </c>
      <c r="R550" t="s">
        <v>474</v>
      </c>
      <c r="S550" t="s">
        <v>474</v>
      </c>
      <c r="T550" t="s">
        <v>474</v>
      </c>
      <c r="U550" t="s">
        <v>474</v>
      </c>
      <c r="V550" t="s">
        <v>528</v>
      </c>
      <c r="W550" t="s">
        <v>323</v>
      </c>
      <c r="X550" t="s">
        <v>61</v>
      </c>
      <c r="Y550" t="s">
        <v>482</v>
      </c>
    </row>
    <row r="551" spans="1:25" ht="16" x14ac:dyDescent="0.2">
      <c r="A551" t="s">
        <v>474</v>
      </c>
      <c r="B551" t="s">
        <v>333</v>
      </c>
      <c r="C551" t="s">
        <v>474</v>
      </c>
      <c r="D551" t="s">
        <v>474</v>
      </c>
      <c r="E551" t="s">
        <v>36</v>
      </c>
      <c r="F551" t="s">
        <v>511</v>
      </c>
      <c r="G551" t="s">
        <v>334</v>
      </c>
      <c r="H551" t="s">
        <v>474</v>
      </c>
      <c r="I551" t="s">
        <v>335</v>
      </c>
      <c r="J551" t="s">
        <v>474</v>
      </c>
      <c r="K551" t="s">
        <v>474</v>
      </c>
      <c r="L551" t="s">
        <v>474</v>
      </c>
      <c r="M551" t="s">
        <v>474</v>
      </c>
      <c r="N551" t="s">
        <v>474</v>
      </c>
      <c r="O551" t="s">
        <v>474</v>
      </c>
      <c r="P551" t="s">
        <v>474</v>
      </c>
      <c r="Q551" t="s">
        <v>474</v>
      </c>
      <c r="R551" t="s">
        <v>474</v>
      </c>
      <c r="S551" t="s">
        <v>474</v>
      </c>
      <c r="T551" t="s">
        <v>474</v>
      </c>
      <c r="U551" t="s">
        <v>474</v>
      </c>
      <c r="V551" t="s">
        <v>538</v>
      </c>
      <c r="W551" t="s">
        <v>336</v>
      </c>
      <c r="X551" t="s">
        <v>30</v>
      </c>
      <c r="Y551" t="s">
        <v>476</v>
      </c>
    </row>
    <row r="552" spans="1:25" ht="16" x14ac:dyDescent="0.2">
      <c r="A552" t="s">
        <v>474</v>
      </c>
      <c r="B552" t="s">
        <v>333</v>
      </c>
      <c r="C552" t="s">
        <v>474</v>
      </c>
      <c r="D552" t="s">
        <v>474</v>
      </c>
      <c r="E552" t="s">
        <v>43</v>
      </c>
      <c r="F552" t="s">
        <v>511</v>
      </c>
      <c r="G552" t="s">
        <v>337</v>
      </c>
      <c r="H552" t="s">
        <v>474</v>
      </c>
      <c r="I552" t="s">
        <v>338</v>
      </c>
      <c r="J552" t="s">
        <v>474</v>
      </c>
      <c r="K552" t="s">
        <v>474</v>
      </c>
      <c r="L552" t="s">
        <v>474</v>
      </c>
      <c r="M552" t="s">
        <v>474</v>
      </c>
      <c r="N552" t="s">
        <v>474</v>
      </c>
      <c r="O552" t="s">
        <v>474</v>
      </c>
      <c r="P552" t="s">
        <v>474</v>
      </c>
      <c r="Q552" t="s">
        <v>474</v>
      </c>
      <c r="R552" t="s">
        <v>474</v>
      </c>
      <c r="S552" t="s">
        <v>474</v>
      </c>
      <c r="T552" t="s">
        <v>474</v>
      </c>
      <c r="U552" t="s">
        <v>474</v>
      </c>
      <c r="V552" t="s">
        <v>550</v>
      </c>
      <c r="W552" t="s">
        <v>339</v>
      </c>
      <c r="X552" t="s">
        <v>30</v>
      </c>
      <c r="Y552" t="s">
        <v>476</v>
      </c>
    </row>
    <row r="553" spans="1:25" ht="16" x14ac:dyDescent="0.2">
      <c r="A553" t="s">
        <v>474</v>
      </c>
      <c r="B553" t="s">
        <v>333</v>
      </c>
      <c r="C553" t="s">
        <v>474</v>
      </c>
      <c r="D553" t="s">
        <v>474</v>
      </c>
      <c r="E553" t="s">
        <v>47</v>
      </c>
      <c r="F553" t="s">
        <v>511</v>
      </c>
      <c r="G553" t="s">
        <v>340</v>
      </c>
      <c r="H553" t="s">
        <v>474</v>
      </c>
      <c r="I553" t="s">
        <v>341</v>
      </c>
      <c r="J553" t="s">
        <v>474</v>
      </c>
      <c r="K553" t="s">
        <v>474</v>
      </c>
      <c r="L553" t="s">
        <v>474</v>
      </c>
      <c r="M553" t="s">
        <v>474</v>
      </c>
      <c r="N553" t="s">
        <v>474</v>
      </c>
      <c r="O553" t="s">
        <v>474</v>
      </c>
      <c r="P553" t="s">
        <v>474</v>
      </c>
      <c r="Q553" t="s">
        <v>474</v>
      </c>
      <c r="R553" t="s">
        <v>474</v>
      </c>
      <c r="S553" t="s">
        <v>474</v>
      </c>
      <c r="T553" t="s">
        <v>474</v>
      </c>
      <c r="U553" t="s">
        <v>474</v>
      </c>
      <c r="V553" t="s">
        <v>485</v>
      </c>
      <c r="W553" t="s">
        <v>342</v>
      </c>
      <c r="X553" t="s">
        <v>30</v>
      </c>
      <c r="Y553" t="s">
        <v>476</v>
      </c>
    </row>
    <row r="554" spans="1:25" ht="16" x14ac:dyDescent="0.2">
      <c r="A554" t="s">
        <v>474</v>
      </c>
      <c r="B554" t="s">
        <v>333</v>
      </c>
      <c r="C554" t="s">
        <v>474</v>
      </c>
      <c r="D554" t="s">
        <v>474</v>
      </c>
      <c r="E554" t="s">
        <v>51</v>
      </c>
      <c r="F554" t="s">
        <v>511</v>
      </c>
      <c r="G554" t="s">
        <v>343</v>
      </c>
      <c r="H554" t="s">
        <v>474</v>
      </c>
      <c r="I554" t="s">
        <v>344</v>
      </c>
      <c r="J554" t="s">
        <v>474</v>
      </c>
      <c r="K554" t="s">
        <v>474</v>
      </c>
      <c r="L554" t="s">
        <v>474</v>
      </c>
      <c r="M554" t="s">
        <v>474</v>
      </c>
      <c r="N554" t="s">
        <v>474</v>
      </c>
      <c r="O554" t="s">
        <v>474</v>
      </c>
      <c r="P554" t="s">
        <v>474</v>
      </c>
      <c r="Q554" t="s">
        <v>474</v>
      </c>
      <c r="R554" t="s">
        <v>474</v>
      </c>
      <c r="S554" t="s">
        <v>474</v>
      </c>
      <c r="T554" t="s">
        <v>474</v>
      </c>
      <c r="U554" t="s">
        <v>474</v>
      </c>
      <c r="V554" t="s">
        <v>543</v>
      </c>
      <c r="W554" t="s">
        <v>345</v>
      </c>
      <c r="X554" t="s">
        <v>30</v>
      </c>
      <c r="Y554" t="s">
        <v>476</v>
      </c>
    </row>
    <row r="555" spans="1:25" ht="16" x14ac:dyDescent="0.2">
      <c r="A555" t="s">
        <v>474</v>
      </c>
      <c r="B555" t="s">
        <v>333</v>
      </c>
      <c r="C555" t="s">
        <v>474</v>
      </c>
      <c r="D555" t="s">
        <v>474</v>
      </c>
      <c r="E555" t="s">
        <v>55</v>
      </c>
      <c r="F555" t="s">
        <v>511</v>
      </c>
      <c r="G555" t="s">
        <v>346</v>
      </c>
      <c r="H555" t="s">
        <v>474</v>
      </c>
      <c r="I555" t="s">
        <v>347</v>
      </c>
      <c r="J555" t="s">
        <v>474</v>
      </c>
      <c r="K555" t="s">
        <v>474</v>
      </c>
      <c r="L555" t="s">
        <v>474</v>
      </c>
      <c r="M555" t="s">
        <v>474</v>
      </c>
      <c r="N555" t="s">
        <v>474</v>
      </c>
      <c r="O555" t="s">
        <v>474</v>
      </c>
      <c r="P555" t="s">
        <v>474</v>
      </c>
      <c r="Q555" t="s">
        <v>474</v>
      </c>
      <c r="R555" t="s">
        <v>474</v>
      </c>
      <c r="S555" t="s">
        <v>474</v>
      </c>
      <c r="T555" t="s">
        <v>474</v>
      </c>
      <c r="U555" t="s">
        <v>474</v>
      </c>
      <c r="V555" t="s">
        <v>515</v>
      </c>
      <c r="W555" t="s">
        <v>348</v>
      </c>
      <c r="X555" t="s">
        <v>30</v>
      </c>
      <c r="Y555" t="s">
        <v>476</v>
      </c>
    </row>
    <row r="556" spans="1:25" ht="16" x14ac:dyDescent="0.2">
      <c r="A556" t="s">
        <v>474</v>
      </c>
      <c r="B556" t="s">
        <v>349</v>
      </c>
      <c r="C556" t="s">
        <v>474</v>
      </c>
      <c r="D556" t="s">
        <v>474</v>
      </c>
      <c r="E556" t="s">
        <v>36</v>
      </c>
      <c r="F556" t="s">
        <v>512</v>
      </c>
      <c r="G556" t="s">
        <v>350</v>
      </c>
      <c r="H556" t="s">
        <v>474</v>
      </c>
      <c r="I556" t="s">
        <v>351</v>
      </c>
      <c r="J556" t="s">
        <v>474</v>
      </c>
      <c r="K556" t="s">
        <v>474</v>
      </c>
      <c r="L556" t="s">
        <v>474</v>
      </c>
      <c r="M556" t="s">
        <v>474</v>
      </c>
      <c r="N556" t="s">
        <v>474</v>
      </c>
      <c r="O556" t="s">
        <v>474</v>
      </c>
      <c r="P556" t="s">
        <v>474</v>
      </c>
      <c r="Q556" t="s">
        <v>474</v>
      </c>
      <c r="R556" t="s">
        <v>474</v>
      </c>
      <c r="S556" t="s">
        <v>474</v>
      </c>
      <c r="T556" t="s">
        <v>474</v>
      </c>
      <c r="U556" t="s">
        <v>474</v>
      </c>
      <c r="V556" t="s">
        <v>528</v>
      </c>
      <c r="W556" t="s">
        <v>352</v>
      </c>
      <c r="X556" t="s">
        <v>30</v>
      </c>
      <c r="Y556" t="s">
        <v>476</v>
      </c>
    </row>
    <row r="557" spans="1:25" ht="16" x14ac:dyDescent="0.2">
      <c r="A557" t="s">
        <v>474</v>
      </c>
      <c r="B557" t="s">
        <v>349</v>
      </c>
      <c r="C557" t="s">
        <v>474</v>
      </c>
      <c r="D557" t="s">
        <v>474</v>
      </c>
      <c r="E557" t="s">
        <v>43</v>
      </c>
      <c r="F557" t="s">
        <v>512</v>
      </c>
      <c r="G557" t="s">
        <v>353</v>
      </c>
      <c r="H557" t="s">
        <v>474</v>
      </c>
      <c r="I557" t="s">
        <v>354</v>
      </c>
      <c r="J557" t="s">
        <v>474</v>
      </c>
      <c r="K557" t="s">
        <v>474</v>
      </c>
      <c r="L557" t="s">
        <v>474</v>
      </c>
      <c r="M557" t="s">
        <v>474</v>
      </c>
      <c r="N557" t="s">
        <v>474</v>
      </c>
      <c r="O557" t="s">
        <v>474</v>
      </c>
      <c r="P557" t="s">
        <v>474</v>
      </c>
      <c r="Q557" t="s">
        <v>474</v>
      </c>
      <c r="R557" t="s">
        <v>474</v>
      </c>
      <c r="S557" t="s">
        <v>474</v>
      </c>
      <c r="T557" t="s">
        <v>474</v>
      </c>
      <c r="U557" t="s">
        <v>474</v>
      </c>
      <c r="V557" t="s">
        <v>528</v>
      </c>
      <c r="W557" t="s">
        <v>355</v>
      </c>
      <c r="X557" t="s">
        <v>30</v>
      </c>
      <c r="Y557" t="s">
        <v>476</v>
      </c>
    </row>
    <row r="558" spans="1:25" ht="16" x14ac:dyDescent="0.2">
      <c r="A558" t="s">
        <v>474</v>
      </c>
      <c r="B558" t="s">
        <v>349</v>
      </c>
      <c r="C558" t="s">
        <v>474</v>
      </c>
      <c r="D558" t="s">
        <v>474</v>
      </c>
      <c r="E558" t="s">
        <v>47</v>
      </c>
      <c r="F558" t="s">
        <v>512</v>
      </c>
      <c r="G558" t="s">
        <v>356</v>
      </c>
      <c r="H558" t="s">
        <v>474</v>
      </c>
      <c r="I558" t="s">
        <v>357</v>
      </c>
      <c r="J558" t="s">
        <v>474</v>
      </c>
      <c r="K558" t="s">
        <v>474</v>
      </c>
      <c r="L558" t="s">
        <v>474</v>
      </c>
      <c r="M558" t="s">
        <v>474</v>
      </c>
      <c r="N558" t="s">
        <v>474</v>
      </c>
      <c r="O558" t="s">
        <v>474</v>
      </c>
      <c r="P558" t="s">
        <v>474</v>
      </c>
      <c r="Q558" t="s">
        <v>474</v>
      </c>
      <c r="R558" t="s">
        <v>474</v>
      </c>
      <c r="S558" t="s">
        <v>474</v>
      </c>
      <c r="T558" t="s">
        <v>474</v>
      </c>
      <c r="U558" t="s">
        <v>474</v>
      </c>
      <c r="V558" t="s">
        <v>544</v>
      </c>
      <c r="W558" t="s">
        <v>358</v>
      </c>
      <c r="X558" t="s">
        <v>30</v>
      </c>
      <c r="Y558" t="s">
        <v>476</v>
      </c>
    </row>
    <row r="559" spans="1:25" ht="16" x14ac:dyDescent="0.2">
      <c r="A559" t="s">
        <v>474</v>
      </c>
      <c r="B559" t="s">
        <v>349</v>
      </c>
      <c r="C559" t="s">
        <v>474</v>
      </c>
      <c r="D559" t="s">
        <v>474</v>
      </c>
      <c r="E559" t="s">
        <v>51</v>
      </c>
      <c r="F559" t="s">
        <v>512</v>
      </c>
      <c r="G559" t="s">
        <v>359</v>
      </c>
      <c r="H559" t="s">
        <v>474</v>
      </c>
      <c r="I559" t="s">
        <v>360</v>
      </c>
      <c r="J559" t="s">
        <v>474</v>
      </c>
      <c r="K559" t="s">
        <v>474</v>
      </c>
      <c r="L559" t="s">
        <v>474</v>
      </c>
      <c r="M559" t="s">
        <v>474</v>
      </c>
      <c r="N559" t="s">
        <v>474</v>
      </c>
      <c r="O559" t="s">
        <v>474</v>
      </c>
      <c r="P559" t="s">
        <v>474</v>
      </c>
      <c r="Q559" t="s">
        <v>474</v>
      </c>
      <c r="R559" t="s">
        <v>474</v>
      </c>
      <c r="S559" t="s">
        <v>474</v>
      </c>
      <c r="T559" t="s">
        <v>474</v>
      </c>
      <c r="U559" t="s">
        <v>474</v>
      </c>
      <c r="V559" t="s">
        <v>528</v>
      </c>
      <c r="W559" t="s">
        <v>361</v>
      </c>
      <c r="X559" t="s">
        <v>30</v>
      </c>
      <c r="Y559" t="s">
        <v>476</v>
      </c>
    </row>
    <row r="560" spans="1:25" ht="16" x14ac:dyDescent="0.2">
      <c r="A560" t="s">
        <v>474</v>
      </c>
      <c r="B560" t="s">
        <v>349</v>
      </c>
      <c r="C560" t="s">
        <v>474</v>
      </c>
      <c r="D560" t="s">
        <v>474</v>
      </c>
      <c r="E560" t="s">
        <v>55</v>
      </c>
      <c r="F560" t="s">
        <v>512</v>
      </c>
      <c r="G560" t="s">
        <v>362</v>
      </c>
      <c r="H560" t="s">
        <v>474</v>
      </c>
      <c r="I560" t="s">
        <v>363</v>
      </c>
      <c r="J560" t="s">
        <v>474</v>
      </c>
      <c r="K560" t="s">
        <v>474</v>
      </c>
      <c r="L560" t="s">
        <v>474</v>
      </c>
      <c r="M560" t="s">
        <v>474</v>
      </c>
      <c r="N560" t="s">
        <v>474</v>
      </c>
      <c r="O560" t="s">
        <v>474</v>
      </c>
      <c r="P560" t="s">
        <v>474</v>
      </c>
      <c r="Q560" t="s">
        <v>474</v>
      </c>
      <c r="R560" t="s">
        <v>474</v>
      </c>
      <c r="S560" t="s">
        <v>474</v>
      </c>
      <c r="T560" t="s">
        <v>474</v>
      </c>
      <c r="U560" t="s">
        <v>474</v>
      </c>
      <c r="V560" t="s">
        <v>528</v>
      </c>
      <c r="W560" t="s">
        <v>364</v>
      </c>
      <c r="X560" t="s">
        <v>30</v>
      </c>
      <c r="Y560" t="s">
        <v>476</v>
      </c>
    </row>
    <row r="561" spans="1:25" ht="16" x14ac:dyDescent="0.2">
      <c r="A561" t="s">
        <v>474</v>
      </c>
      <c r="B561" t="s">
        <v>365</v>
      </c>
      <c r="C561" t="s">
        <v>474</v>
      </c>
      <c r="D561" t="s">
        <v>474</v>
      </c>
      <c r="E561" t="s">
        <v>36</v>
      </c>
      <c r="F561" t="s">
        <v>511</v>
      </c>
      <c r="G561" t="s">
        <v>334</v>
      </c>
      <c r="H561" t="s">
        <v>474</v>
      </c>
      <c r="I561" t="s">
        <v>335</v>
      </c>
      <c r="J561" t="s">
        <v>474</v>
      </c>
      <c r="K561" t="s">
        <v>474</v>
      </c>
      <c r="L561" t="s">
        <v>474</v>
      </c>
      <c r="M561" t="s">
        <v>474</v>
      </c>
      <c r="N561" t="s">
        <v>474</v>
      </c>
      <c r="O561" t="s">
        <v>474</v>
      </c>
      <c r="P561" t="s">
        <v>474</v>
      </c>
      <c r="Q561" t="s">
        <v>474</v>
      </c>
      <c r="R561" t="s">
        <v>474</v>
      </c>
      <c r="S561" t="s">
        <v>474</v>
      </c>
      <c r="T561" t="s">
        <v>474</v>
      </c>
      <c r="U561" t="s">
        <v>474</v>
      </c>
      <c r="V561" t="s">
        <v>538</v>
      </c>
      <c r="W561" t="s">
        <v>336</v>
      </c>
      <c r="X561" t="s">
        <v>59</v>
      </c>
      <c r="Y561" t="s">
        <v>479</v>
      </c>
    </row>
    <row r="562" spans="1:25" ht="16" x14ac:dyDescent="0.2">
      <c r="A562" t="s">
        <v>474</v>
      </c>
      <c r="B562" t="s">
        <v>365</v>
      </c>
      <c r="C562" t="s">
        <v>474</v>
      </c>
      <c r="D562" t="s">
        <v>474</v>
      </c>
      <c r="E562" t="s">
        <v>43</v>
      </c>
      <c r="F562" t="s">
        <v>511</v>
      </c>
      <c r="G562" t="s">
        <v>337</v>
      </c>
      <c r="H562" t="s">
        <v>474</v>
      </c>
      <c r="I562" t="s">
        <v>338</v>
      </c>
      <c r="J562" t="s">
        <v>474</v>
      </c>
      <c r="K562" t="s">
        <v>474</v>
      </c>
      <c r="L562" t="s">
        <v>474</v>
      </c>
      <c r="M562" t="s">
        <v>474</v>
      </c>
      <c r="N562" t="s">
        <v>474</v>
      </c>
      <c r="O562" t="s">
        <v>474</v>
      </c>
      <c r="P562" t="s">
        <v>474</v>
      </c>
      <c r="Q562" t="s">
        <v>474</v>
      </c>
      <c r="R562" t="s">
        <v>474</v>
      </c>
      <c r="S562" t="s">
        <v>474</v>
      </c>
      <c r="T562" t="s">
        <v>474</v>
      </c>
      <c r="U562" t="s">
        <v>474</v>
      </c>
      <c r="V562" t="s">
        <v>520</v>
      </c>
      <c r="W562" t="s">
        <v>339</v>
      </c>
      <c r="X562" t="s">
        <v>59</v>
      </c>
      <c r="Y562" t="s">
        <v>479</v>
      </c>
    </row>
    <row r="563" spans="1:25" ht="16" x14ac:dyDescent="0.2">
      <c r="A563" t="s">
        <v>474</v>
      </c>
      <c r="B563" t="s">
        <v>365</v>
      </c>
      <c r="C563" t="s">
        <v>474</v>
      </c>
      <c r="D563" t="s">
        <v>474</v>
      </c>
      <c r="E563" t="s">
        <v>47</v>
      </c>
      <c r="F563" t="s">
        <v>511</v>
      </c>
      <c r="G563" t="s">
        <v>340</v>
      </c>
      <c r="H563" t="s">
        <v>474</v>
      </c>
      <c r="I563" t="s">
        <v>341</v>
      </c>
      <c r="J563" t="s">
        <v>474</v>
      </c>
      <c r="K563" t="s">
        <v>474</v>
      </c>
      <c r="L563" t="s">
        <v>474</v>
      </c>
      <c r="M563" t="s">
        <v>474</v>
      </c>
      <c r="N563" t="s">
        <v>474</v>
      </c>
      <c r="O563" t="s">
        <v>474</v>
      </c>
      <c r="P563" t="s">
        <v>474</v>
      </c>
      <c r="Q563" t="s">
        <v>474</v>
      </c>
      <c r="R563" t="s">
        <v>474</v>
      </c>
      <c r="S563" t="s">
        <v>474</v>
      </c>
      <c r="T563" t="s">
        <v>474</v>
      </c>
      <c r="U563" t="s">
        <v>474</v>
      </c>
      <c r="V563" t="s">
        <v>485</v>
      </c>
      <c r="W563" t="s">
        <v>342</v>
      </c>
      <c r="X563" t="s">
        <v>59</v>
      </c>
      <c r="Y563" t="s">
        <v>479</v>
      </c>
    </row>
    <row r="564" spans="1:25" ht="16" x14ac:dyDescent="0.2">
      <c r="A564" t="s">
        <v>474</v>
      </c>
      <c r="B564" t="s">
        <v>365</v>
      </c>
      <c r="C564" t="s">
        <v>474</v>
      </c>
      <c r="D564" t="s">
        <v>474</v>
      </c>
      <c r="E564" t="s">
        <v>51</v>
      </c>
      <c r="F564" t="s">
        <v>511</v>
      </c>
      <c r="G564" t="s">
        <v>343</v>
      </c>
      <c r="H564" t="s">
        <v>474</v>
      </c>
      <c r="I564" t="s">
        <v>344</v>
      </c>
      <c r="J564" t="s">
        <v>474</v>
      </c>
      <c r="K564" t="s">
        <v>474</v>
      </c>
      <c r="L564" t="s">
        <v>474</v>
      </c>
      <c r="M564" t="s">
        <v>474</v>
      </c>
      <c r="N564" t="s">
        <v>474</v>
      </c>
      <c r="O564" t="s">
        <v>474</v>
      </c>
      <c r="P564" t="s">
        <v>474</v>
      </c>
      <c r="Q564" t="s">
        <v>474</v>
      </c>
      <c r="R564" t="s">
        <v>474</v>
      </c>
      <c r="S564" t="s">
        <v>474</v>
      </c>
      <c r="T564" t="s">
        <v>474</v>
      </c>
      <c r="U564" t="s">
        <v>474</v>
      </c>
      <c r="V564" t="s">
        <v>543</v>
      </c>
      <c r="W564" t="s">
        <v>345</v>
      </c>
      <c r="X564" t="s">
        <v>59</v>
      </c>
      <c r="Y564" t="s">
        <v>479</v>
      </c>
    </row>
    <row r="565" spans="1:25" ht="16" x14ac:dyDescent="0.2">
      <c r="A565" t="s">
        <v>474</v>
      </c>
      <c r="B565" t="s">
        <v>365</v>
      </c>
      <c r="C565" t="s">
        <v>474</v>
      </c>
      <c r="D565" t="s">
        <v>474</v>
      </c>
      <c r="E565" t="s">
        <v>55</v>
      </c>
      <c r="F565" t="s">
        <v>511</v>
      </c>
      <c r="G565" t="s">
        <v>346</v>
      </c>
      <c r="H565" t="s">
        <v>474</v>
      </c>
      <c r="I565" t="s">
        <v>347</v>
      </c>
      <c r="J565" t="s">
        <v>474</v>
      </c>
      <c r="K565" t="s">
        <v>474</v>
      </c>
      <c r="L565" t="s">
        <v>474</v>
      </c>
      <c r="M565" t="s">
        <v>474</v>
      </c>
      <c r="N565" t="s">
        <v>474</v>
      </c>
      <c r="O565" t="s">
        <v>474</v>
      </c>
      <c r="P565" t="s">
        <v>474</v>
      </c>
      <c r="Q565" t="s">
        <v>474</v>
      </c>
      <c r="R565" t="s">
        <v>474</v>
      </c>
      <c r="S565" t="s">
        <v>474</v>
      </c>
      <c r="T565" t="s">
        <v>474</v>
      </c>
      <c r="U565" t="s">
        <v>474</v>
      </c>
      <c r="V565" t="s">
        <v>543</v>
      </c>
      <c r="W565" t="s">
        <v>348</v>
      </c>
      <c r="X565" t="s">
        <v>59</v>
      </c>
      <c r="Y565" t="s">
        <v>479</v>
      </c>
    </row>
    <row r="566" spans="1:25" ht="16" x14ac:dyDescent="0.2">
      <c r="A566" t="s">
        <v>474</v>
      </c>
      <c r="B566" t="s">
        <v>366</v>
      </c>
      <c r="C566" t="s">
        <v>474</v>
      </c>
      <c r="D566" t="s">
        <v>474</v>
      </c>
      <c r="E566" t="s">
        <v>36</v>
      </c>
      <c r="F566" t="s">
        <v>512</v>
      </c>
      <c r="G566" t="s">
        <v>350</v>
      </c>
      <c r="H566" t="s">
        <v>474</v>
      </c>
      <c r="I566" t="s">
        <v>351</v>
      </c>
      <c r="J566" t="s">
        <v>474</v>
      </c>
      <c r="K566" t="s">
        <v>474</v>
      </c>
      <c r="L566" t="s">
        <v>474</v>
      </c>
      <c r="M566" t="s">
        <v>474</v>
      </c>
      <c r="N566" t="s">
        <v>474</v>
      </c>
      <c r="O566" t="s">
        <v>474</v>
      </c>
      <c r="P566" t="s">
        <v>474</v>
      </c>
      <c r="Q566" t="s">
        <v>474</v>
      </c>
      <c r="R566" t="s">
        <v>474</v>
      </c>
      <c r="S566" t="s">
        <v>474</v>
      </c>
      <c r="T566" t="s">
        <v>474</v>
      </c>
      <c r="U566" t="s">
        <v>474</v>
      </c>
      <c r="V566" t="s">
        <v>538</v>
      </c>
      <c r="W566" t="s">
        <v>352</v>
      </c>
      <c r="X566" t="s">
        <v>59</v>
      </c>
      <c r="Y566" t="s">
        <v>479</v>
      </c>
    </row>
    <row r="567" spans="1:25" ht="16" x14ac:dyDescent="0.2">
      <c r="A567" t="s">
        <v>474</v>
      </c>
      <c r="B567" t="s">
        <v>366</v>
      </c>
      <c r="C567" t="s">
        <v>474</v>
      </c>
      <c r="D567" t="s">
        <v>474</v>
      </c>
      <c r="E567" t="s">
        <v>43</v>
      </c>
      <c r="F567" t="s">
        <v>512</v>
      </c>
      <c r="G567" t="s">
        <v>353</v>
      </c>
      <c r="H567" t="s">
        <v>474</v>
      </c>
      <c r="I567" t="s">
        <v>354</v>
      </c>
      <c r="J567" t="s">
        <v>474</v>
      </c>
      <c r="K567" t="s">
        <v>474</v>
      </c>
      <c r="L567" t="s">
        <v>474</v>
      </c>
      <c r="M567" t="s">
        <v>474</v>
      </c>
      <c r="N567" t="s">
        <v>474</v>
      </c>
      <c r="O567" t="s">
        <v>474</v>
      </c>
      <c r="P567" t="s">
        <v>474</v>
      </c>
      <c r="Q567" t="s">
        <v>474</v>
      </c>
      <c r="R567" t="s">
        <v>474</v>
      </c>
      <c r="S567" t="s">
        <v>474</v>
      </c>
      <c r="T567" t="s">
        <v>474</v>
      </c>
      <c r="U567" t="s">
        <v>474</v>
      </c>
      <c r="V567" t="s">
        <v>538</v>
      </c>
      <c r="W567" t="s">
        <v>355</v>
      </c>
      <c r="X567" t="s">
        <v>59</v>
      </c>
      <c r="Y567" t="s">
        <v>479</v>
      </c>
    </row>
    <row r="568" spans="1:25" ht="16" x14ac:dyDescent="0.2">
      <c r="A568" t="s">
        <v>474</v>
      </c>
      <c r="B568" t="s">
        <v>366</v>
      </c>
      <c r="C568" t="s">
        <v>474</v>
      </c>
      <c r="D568" t="s">
        <v>474</v>
      </c>
      <c r="E568" t="s">
        <v>47</v>
      </c>
      <c r="F568" t="s">
        <v>512</v>
      </c>
      <c r="G568" t="s">
        <v>356</v>
      </c>
      <c r="H568" t="s">
        <v>474</v>
      </c>
      <c r="I568" t="s">
        <v>357</v>
      </c>
      <c r="J568" t="s">
        <v>474</v>
      </c>
      <c r="K568" t="s">
        <v>474</v>
      </c>
      <c r="L568" t="s">
        <v>474</v>
      </c>
      <c r="M568" t="s">
        <v>474</v>
      </c>
      <c r="N568" t="s">
        <v>474</v>
      </c>
      <c r="O568" t="s">
        <v>474</v>
      </c>
      <c r="P568" t="s">
        <v>474</v>
      </c>
      <c r="Q568" t="s">
        <v>474</v>
      </c>
      <c r="R568" t="s">
        <v>474</v>
      </c>
      <c r="S568" t="s">
        <v>474</v>
      </c>
      <c r="T568" t="s">
        <v>474</v>
      </c>
      <c r="U568" t="s">
        <v>474</v>
      </c>
      <c r="V568" t="s">
        <v>538</v>
      </c>
      <c r="W568" t="s">
        <v>358</v>
      </c>
      <c r="X568" t="s">
        <v>59</v>
      </c>
      <c r="Y568" t="s">
        <v>479</v>
      </c>
    </row>
    <row r="569" spans="1:25" ht="16" x14ac:dyDescent="0.2">
      <c r="A569" t="s">
        <v>474</v>
      </c>
      <c r="B569" t="s">
        <v>366</v>
      </c>
      <c r="C569" t="s">
        <v>474</v>
      </c>
      <c r="D569" t="s">
        <v>474</v>
      </c>
      <c r="E569" t="s">
        <v>51</v>
      </c>
      <c r="F569" t="s">
        <v>512</v>
      </c>
      <c r="G569" t="s">
        <v>359</v>
      </c>
      <c r="H569" t="s">
        <v>474</v>
      </c>
      <c r="I569" t="s">
        <v>360</v>
      </c>
      <c r="J569" t="s">
        <v>474</v>
      </c>
      <c r="K569" t="s">
        <v>474</v>
      </c>
      <c r="L569" t="s">
        <v>474</v>
      </c>
      <c r="M569" t="s">
        <v>474</v>
      </c>
      <c r="N569" t="s">
        <v>474</v>
      </c>
      <c r="O569" t="s">
        <v>474</v>
      </c>
      <c r="P569" t="s">
        <v>474</v>
      </c>
      <c r="Q569" t="s">
        <v>474</v>
      </c>
      <c r="R569" t="s">
        <v>474</v>
      </c>
      <c r="S569" t="s">
        <v>474</v>
      </c>
      <c r="T569" t="s">
        <v>474</v>
      </c>
      <c r="U569" t="s">
        <v>474</v>
      </c>
      <c r="V569" t="s">
        <v>538</v>
      </c>
      <c r="W569" t="s">
        <v>361</v>
      </c>
      <c r="X569" t="s">
        <v>59</v>
      </c>
      <c r="Y569" t="s">
        <v>479</v>
      </c>
    </row>
    <row r="570" spans="1:25" ht="16" x14ac:dyDescent="0.2">
      <c r="A570" t="s">
        <v>474</v>
      </c>
      <c r="B570" t="s">
        <v>366</v>
      </c>
      <c r="C570" t="s">
        <v>474</v>
      </c>
      <c r="D570" t="s">
        <v>474</v>
      </c>
      <c r="E570" t="s">
        <v>55</v>
      </c>
      <c r="F570" t="s">
        <v>512</v>
      </c>
      <c r="G570" t="s">
        <v>362</v>
      </c>
      <c r="H570" t="s">
        <v>474</v>
      </c>
      <c r="I570" t="s">
        <v>363</v>
      </c>
      <c r="J570" t="s">
        <v>474</v>
      </c>
      <c r="K570" t="s">
        <v>474</v>
      </c>
      <c r="L570" t="s">
        <v>474</v>
      </c>
      <c r="M570" t="s">
        <v>474</v>
      </c>
      <c r="N570" t="s">
        <v>474</v>
      </c>
      <c r="O570" t="s">
        <v>474</v>
      </c>
      <c r="P570" t="s">
        <v>474</v>
      </c>
      <c r="Q570" t="s">
        <v>474</v>
      </c>
      <c r="R570" t="s">
        <v>474</v>
      </c>
      <c r="S570" t="s">
        <v>474</v>
      </c>
      <c r="T570" t="s">
        <v>474</v>
      </c>
      <c r="U570" t="s">
        <v>474</v>
      </c>
      <c r="V570" t="s">
        <v>538</v>
      </c>
      <c r="W570" t="s">
        <v>364</v>
      </c>
      <c r="X570" t="s">
        <v>59</v>
      </c>
      <c r="Y570" t="s">
        <v>479</v>
      </c>
    </row>
    <row r="571" spans="1:25" ht="16" x14ac:dyDescent="0.2">
      <c r="A571" t="s">
        <v>474</v>
      </c>
      <c r="B571" t="s">
        <v>367</v>
      </c>
      <c r="C571" t="s">
        <v>474</v>
      </c>
      <c r="D571" t="s">
        <v>474</v>
      </c>
      <c r="E571" t="s">
        <v>36</v>
      </c>
      <c r="F571" t="s">
        <v>511</v>
      </c>
      <c r="G571" t="s">
        <v>334</v>
      </c>
      <c r="H571" t="s">
        <v>474</v>
      </c>
      <c r="I571" t="s">
        <v>335</v>
      </c>
      <c r="J571" t="s">
        <v>474</v>
      </c>
      <c r="K571" t="s">
        <v>474</v>
      </c>
      <c r="L571" t="s">
        <v>474</v>
      </c>
      <c r="M571" t="s">
        <v>474</v>
      </c>
      <c r="N571" t="s">
        <v>474</v>
      </c>
      <c r="O571" t="s">
        <v>474</v>
      </c>
      <c r="P571" t="s">
        <v>474</v>
      </c>
      <c r="Q571" t="s">
        <v>474</v>
      </c>
      <c r="R571" t="s">
        <v>474</v>
      </c>
      <c r="S571" t="s">
        <v>474</v>
      </c>
      <c r="T571" t="s">
        <v>474</v>
      </c>
      <c r="U571" t="s">
        <v>474</v>
      </c>
      <c r="V571" t="s">
        <v>544</v>
      </c>
      <c r="W571" t="s">
        <v>336</v>
      </c>
      <c r="X571" t="s">
        <v>61</v>
      </c>
      <c r="Y571" t="s">
        <v>482</v>
      </c>
    </row>
    <row r="572" spans="1:25" ht="16" x14ac:dyDescent="0.2">
      <c r="A572" t="s">
        <v>474</v>
      </c>
      <c r="B572" t="s">
        <v>367</v>
      </c>
      <c r="C572" t="s">
        <v>474</v>
      </c>
      <c r="D572" t="s">
        <v>474</v>
      </c>
      <c r="E572" t="s">
        <v>43</v>
      </c>
      <c r="F572" t="s">
        <v>511</v>
      </c>
      <c r="G572" t="s">
        <v>337</v>
      </c>
      <c r="H572" t="s">
        <v>474</v>
      </c>
      <c r="I572" t="s">
        <v>338</v>
      </c>
      <c r="J572" t="s">
        <v>474</v>
      </c>
      <c r="K572" t="s">
        <v>474</v>
      </c>
      <c r="L572" t="s">
        <v>474</v>
      </c>
      <c r="M572" t="s">
        <v>474</v>
      </c>
      <c r="N572" t="s">
        <v>474</v>
      </c>
      <c r="O572" t="s">
        <v>474</v>
      </c>
      <c r="P572" t="s">
        <v>474</v>
      </c>
      <c r="Q572" t="s">
        <v>474</v>
      </c>
      <c r="R572" t="s">
        <v>474</v>
      </c>
      <c r="S572" t="s">
        <v>474</v>
      </c>
      <c r="T572" t="s">
        <v>474</v>
      </c>
      <c r="U572" t="s">
        <v>474</v>
      </c>
      <c r="V572" t="s">
        <v>520</v>
      </c>
      <c r="W572" t="s">
        <v>339</v>
      </c>
      <c r="X572" t="s">
        <v>61</v>
      </c>
      <c r="Y572" t="s">
        <v>482</v>
      </c>
    </row>
    <row r="573" spans="1:25" ht="16" x14ac:dyDescent="0.2">
      <c r="A573" t="s">
        <v>474</v>
      </c>
      <c r="B573" t="s">
        <v>367</v>
      </c>
      <c r="C573" t="s">
        <v>474</v>
      </c>
      <c r="D573" t="s">
        <v>474</v>
      </c>
      <c r="E573" t="s">
        <v>47</v>
      </c>
      <c r="F573" t="s">
        <v>511</v>
      </c>
      <c r="G573" t="s">
        <v>340</v>
      </c>
      <c r="H573" t="s">
        <v>474</v>
      </c>
      <c r="I573" t="s">
        <v>341</v>
      </c>
      <c r="J573" t="s">
        <v>474</v>
      </c>
      <c r="K573" t="s">
        <v>474</v>
      </c>
      <c r="L573" t="s">
        <v>474</v>
      </c>
      <c r="M573" t="s">
        <v>474</v>
      </c>
      <c r="N573" t="s">
        <v>474</v>
      </c>
      <c r="O573" t="s">
        <v>474</v>
      </c>
      <c r="P573" t="s">
        <v>474</v>
      </c>
      <c r="Q573" t="s">
        <v>474</v>
      </c>
      <c r="R573" t="s">
        <v>474</v>
      </c>
      <c r="S573" t="s">
        <v>474</v>
      </c>
      <c r="T573" t="s">
        <v>474</v>
      </c>
      <c r="U573" t="s">
        <v>474</v>
      </c>
      <c r="V573" t="s">
        <v>534</v>
      </c>
      <c r="W573" t="s">
        <v>342</v>
      </c>
      <c r="X573" t="s">
        <v>61</v>
      </c>
      <c r="Y573" t="s">
        <v>482</v>
      </c>
    </row>
    <row r="574" spans="1:25" ht="16" x14ac:dyDescent="0.2">
      <c r="A574" t="s">
        <v>474</v>
      </c>
      <c r="B574" t="s">
        <v>367</v>
      </c>
      <c r="C574" t="s">
        <v>474</v>
      </c>
      <c r="D574" t="s">
        <v>474</v>
      </c>
      <c r="E574" t="s">
        <v>51</v>
      </c>
      <c r="F574" t="s">
        <v>511</v>
      </c>
      <c r="G574" t="s">
        <v>343</v>
      </c>
      <c r="H574" t="s">
        <v>474</v>
      </c>
      <c r="I574" t="s">
        <v>344</v>
      </c>
      <c r="J574" t="s">
        <v>474</v>
      </c>
      <c r="K574" t="s">
        <v>474</v>
      </c>
      <c r="L574" t="s">
        <v>474</v>
      </c>
      <c r="M574" t="s">
        <v>474</v>
      </c>
      <c r="N574" t="s">
        <v>474</v>
      </c>
      <c r="O574" t="s">
        <v>474</v>
      </c>
      <c r="P574" t="s">
        <v>474</v>
      </c>
      <c r="Q574" t="s">
        <v>474</v>
      </c>
      <c r="R574" t="s">
        <v>474</v>
      </c>
      <c r="S574" t="s">
        <v>474</v>
      </c>
      <c r="T574" t="s">
        <v>474</v>
      </c>
      <c r="U574" t="s">
        <v>474</v>
      </c>
      <c r="V574" t="s">
        <v>538</v>
      </c>
      <c r="W574" t="s">
        <v>345</v>
      </c>
      <c r="X574" t="s">
        <v>61</v>
      </c>
      <c r="Y574" t="s">
        <v>482</v>
      </c>
    </row>
    <row r="575" spans="1:25" ht="16" x14ac:dyDescent="0.2">
      <c r="A575" t="s">
        <v>474</v>
      </c>
      <c r="B575" t="s">
        <v>367</v>
      </c>
      <c r="C575" t="s">
        <v>474</v>
      </c>
      <c r="D575" t="s">
        <v>474</v>
      </c>
      <c r="E575" t="s">
        <v>55</v>
      </c>
      <c r="F575" t="s">
        <v>511</v>
      </c>
      <c r="G575" t="s">
        <v>346</v>
      </c>
      <c r="H575" t="s">
        <v>474</v>
      </c>
      <c r="I575" t="s">
        <v>347</v>
      </c>
      <c r="J575" t="s">
        <v>474</v>
      </c>
      <c r="K575" t="s">
        <v>474</v>
      </c>
      <c r="L575" t="s">
        <v>474</v>
      </c>
      <c r="M575" t="s">
        <v>474</v>
      </c>
      <c r="N575" t="s">
        <v>474</v>
      </c>
      <c r="O575" t="s">
        <v>474</v>
      </c>
      <c r="P575" t="s">
        <v>474</v>
      </c>
      <c r="Q575" t="s">
        <v>474</v>
      </c>
      <c r="R575" t="s">
        <v>474</v>
      </c>
      <c r="S575" t="s">
        <v>474</v>
      </c>
      <c r="T575" t="s">
        <v>474</v>
      </c>
      <c r="U575" t="s">
        <v>474</v>
      </c>
      <c r="V575" t="s">
        <v>543</v>
      </c>
      <c r="W575" t="s">
        <v>348</v>
      </c>
      <c r="X575" t="s">
        <v>61</v>
      </c>
      <c r="Y575" t="s">
        <v>482</v>
      </c>
    </row>
    <row r="576" spans="1:25" ht="16" x14ac:dyDescent="0.2">
      <c r="A576" t="s">
        <v>474</v>
      </c>
      <c r="B576" t="s">
        <v>368</v>
      </c>
      <c r="C576" t="s">
        <v>474</v>
      </c>
      <c r="D576" t="s">
        <v>474</v>
      </c>
      <c r="E576" t="s">
        <v>36</v>
      </c>
      <c r="F576" t="s">
        <v>512</v>
      </c>
      <c r="G576" t="s">
        <v>350</v>
      </c>
      <c r="H576" t="s">
        <v>474</v>
      </c>
      <c r="I576" t="s">
        <v>351</v>
      </c>
      <c r="J576" t="s">
        <v>474</v>
      </c>
      <c r="K576" t="s">
        <v>474</v>
      </c>
      <c r="L576" t="s">
        <v>474</v>
      </c>
      <c r="M576" t="s">
        <v>474</v>
      </c>
      <c r="N576" t="s">
        <v>474</v>
      </c>
      <c r="O576" t="s">
        <v>474</v>
      </c>
      <c r="P576" t="s">
        <v>474</v>
      </c>
      <c r="Q576" t="s">
        <v>474</v>
      </c>
      <c r="R576" t="s">
        <v>474</v>
      </c>
      <c r="S576" t="s">
        <v>474</v>
      </c>
      <c r="T576" t="s">
        <v>474</v>
      </c>
      <c r="U576" t="s">
        <v>474</v>
      </c>
      <c r="V576" t="s">
        <v>538</v>
      </c>
      <c r="W576" t="s">
        <v>352</v>
      </c>
      <c r="X576" t="s">
        <v>61</v>
      </c>
      <c r="Y576" t="s">
        <v>482</v>
      </c>
    </row>
    <row r="577" spans="1:25" ht="16" x14ac:dyDescent="0.2">
      <c r="A577" t="s">
        <v>474</v>
      </c>
      <c r="B577" t="s">
        <v>368</v>
      </c>
      <c r="C577" t="s">
        <v>474</v>
      </c>
      <c r="D577" t="s">
        <v>474</v>
      </c>
      <c r="E577" t="s">
        <v>43</v>
      </c>
      <c r="F577" t="s">
        <v>512</v>
      </c>
      <c r="G577" t="s">
        <v>353</v>
      </c>
      <c r="H577" t="s">
        <v>474</v>
      </c>
      <c r="I577" t="s">
        <v>354</v>
      </c>
      <c r="J577" t="s">
        <v>474</v>
      </c>
      <c r="K577" t="s">
        <v>474</v>
      </c>
      <c r="L577" t="s">
        <v>474</v>
      </c>
      <c r="M577" t="s">
        <v>474</v>
      </c>
      <c r="N577" t="s">
        <v>474</v>
      </c>
      <c r="O577" t="s">
        <v>474</v>
      </c>
      <c r="P577" t="s">
        <v>474</v>
      </c>
      <c r="Q577" t="s">
        <v>474</v>
      </c>
      <c r="R577" t="s">
        <v>474</v>
      </c>
      <c r="S577" t="s">
        <v>474</v>
      </c>
      <c r="T577" t="s">
        <v>474</v>
      </c>
      <c r="U577" t="s">
        <v>474</v>
      </c>
      <c r="V577" t="s">
        <v>538</v>
      </c>
      <c r="W577" t="s">
        <v>355</v>
      </c>
      <c r="X577" t="s">
        <v>61</v>
      </c>
      <c r="Y577" t="s">
        <v>482</v>
      </c>
    </row>
    <row r="578" spans="1:25" ht="16" x14ac:dyDescent="0.2">
      <c r="A578" t="s">
        <v>474</v>
      </c>
      <c r="B578" t="s">
        <v>368</v>
      </c>
      <c r="C578" t="s">
        <v>474</v>
      </c>
      <c r="D578" t="s">
        <v>474</v>
      </c>
      <c r="E578" t="s">
        <v>47</v>
      </c>
      <c r="F578" t="s">
        <v>512</v>
      </c>
      <c r="G578" t="s">
        <v>356</v>
      </c>
      <c r="H578" t="s">
        <v>474</v>
      </c>
      <c r="I578" t="s">
        <v>357</v>
      </c>
      <c r="J578" t="s">
        <v>474</v>
      </c>
      <c r="K578" t="s">
        <v>474</v>
      </c>
      <c r="L578" t="s">
        <v>474</v>
      </c>
      <c r="M578" t="s">
        <v>474</v>
      </c>
      <c r="N578" t="s">
        <v>474</v>
      </c>
      <c r="O578" t="s">
        <v>474</v>
      </c>
      <c r="P578" t="s">
        <v>474</v>
      </c>
      <c r="Q578" t="s">
        <v>474</v>
      </c>
      <c r="R578" t="s">
        <v>474</v>
      </c>
      <c r="S578" t="s">
        <v>474</v>
      </c>
      <c r="T578" t="s">
        <v>474</v>
      </c>
      <c r="U578" t="s">
        <v>474</v>
      </c>
      <c r="V578" t="s">
        <v>538</v>
      </c>
      <c r="W578" t="s">
        <v>358</v>
      </c>
      <c r="X578" t="s">
        <v>61</v>
      </c>
      <c r="Y578" t="s">
        <v>482</v>
      </c>
    </row>
    <row r="579" spans="1:25" ht="16" x14ac:dyDescent="0.2">
      <c r="A579" t="s">
        <v>474</v>
      </c>
      <c r="B579" t="s">
        <v>368</v>
      </c>
      <c r="C579" t="s">
        <v>474</v>
      </c>
      <c r="D579" t="s">
        <v>474</v>
      </c>
      <c r="E579" t="s">
        <v>51</v>
      </c>
      <c r="F579" t="s">
        <v>512</v>
      </c>
      <c r="G579" t="s">
        <v>359</v>
      </c>
      <c r="H579" t="s">
        <v>474</v>
      </c>
      <c r="I579" t="s">
        <v>360</v>
      </c>
      <c r="J579" t="s">
        <v>474</v>
      </c>
      <c r="K579" t="s">
        <v>474</v>
      </c>
      <c r="L579" t="s">
        <v>474</v>
      </c>
      <c r="M579" t="s">
        <v>474</v>
      </c>
      <c r="N579" t="s">
        <v>474</v>
      </c>
      <c r="O579" t="s">
        <v>474</v>
      </c>
      <c r="P579" t="s">
        <v>474</v>
      </c>
      <c r="Q579" t="s">
        <v>474</v>
      </c>
      <c r="R579" t="s">
        <v>474</v>
      </c>
      <c r="S579" t="s">
        <v>474</v>
      </c>
      <c r="T579" t="s">
        <v>474</v>
      </c>
      <c r="U579" t="s">
        <v>474</v>
      </c>
      <c r="V579" t="s">
        <v>538</v>
      </c>
      <c r="W579" t="s">
        <v>361</v>
      </c>
      <c r="X579" t="s">
        <v>61</v>
      </c>
      <c r="Y579" t="s">
        <v>482</v>
      </c>
    </row>
    <row r="580" spans="1:25" ht="16" x14ac:dyDescent="0.2">
      <c r="A580" t="s">
        <v>474</v>
      </c>
      <c r="B580" t="s">
        <v>368</v>
      </c>
      <c r="C580" t="s">
        <v>474</v>
      </c>
      <c r="D580" t="s">
        <v>474</v>
      </c>
      <c r="E580" t="s">
        <v>55</v>
      </c>
      <c r="F580" t="s">
        <v>512</v>
      </c>
      <c r="G580" t="s">
        <v>362</v>
      </c>
      <c r="H580" t="s">
        <v>474</v>
      </c>
      <c r="I580" t="s">
        <v>363</v>
      </c>
      <c r="J580" t="s">
        <v>474</v>
      </c>
      <c r="K580" t="s">
        <v>474</v>
      </c>
      <c r="L580" t="s">
        <v>474</v>
      </c>
      <c r="M580" t="s">
        <v>474</v>
      </c>
      <c r="N580" t="s">
        <v>474</v>
      </c>
      <c r="O580" t="s">
        <v>474</v>
      </c>
      <c r="P580" t="s">
        <v>474</v>
      </c>
      <c r="Q580" t="s">
        <v>474</v>
      </c>
      <c r="R580" t="s">
        <v>474</v>
      </c>
      <c r="S580" t="s">
        <v>474</v>
      </c>
      <c r="T580" t="s">
        <v>474</v>
      </c>
      <c r="U580" t="s">
        <v>474</v>
      </c>
      <c r="V580" t="s">
        <v>538</v>
      </c>
      <c r="W580" t="s">
        <v>364</v>
      </c>
      <c r="X580" t="s">
        <v>61</v>
      </c>
      <c r="Y580" t="s">
        <v>482</v>
      </c>
    </row>
    <row r="581" spans="1:25" ht="16" x14ac:dyDescent="0.2">
      <c r="A581" t="s">
        <v>474</v>
      </c>
      <c r="B581" t="s">
        <v>376</v>
      </c>
      <c r="C581" t="s">
        <v>474</v>
      </c>
      <c r="D581" t="s">
        <v>474</v>
      </c>
      <c r="E581" t="s">
        <v>36</v>
      </c>
      <c r="F581" t="s">
        <v>509</v>
      </c>
      <c r="G581" t="s">
        <v>377</v>
      </c>
      <c r="H581" t="s">
        <v>474</v>
      </c>
      <c r="I581" t="s">
        <v>378</v>
      </c>
      <c r="J581" t="s">
        <v>474</v>
      </c>
      <c r="K581" t="s">
        <v>474</v>
      </c>
      <c r="L581" t="s">
        <v>474</v>
      </c>
      <c r="M581" t="s">
        <v>474</v>
      </c>
      <c r="N581" t="s">
        <v>474</v>
      </c>
      <c r="O581" t="s">
        <v>474</v>
      </c>
      <c r="P581" t="s">
        <v>474</v>
      </c>
      <c r="Q581" t="s">
        <v>474</v>
      </c>
      <c r="R581" t="s">
        <v>474</v>
      </c>
      <c r="S581" t="s">
        <v>474</v>
      </c>
      <c r="T581" t="s">
        <v>474</v>
      </c>
      <c r="U581" t="s">
        <v>474</v>
      </c>
      <c r="V581" t="s">
        <v>521</v>
      </c>
      <c r="W581" t="s">
        <v>379</v>
      </c>
      <c r="X581" t="s">
        <v>30</v>
      </c>
      <c r="Y581" t="s">
        <v>476</v>
      </c>
    </row>
    <row r="582" spans="1:25" ht="16" x14ac:dyDescent="0.2">
      <c r="A582" t="s">
        <v>474</v>
      </c>
      <c r="B582" t="s">
        <v>386</v>
      </c>
      <c r="C582" t="s">
        <v>474</v>
      </c>
      <c r="D582" t="s">
        <v>474</v>
      </c>
      <c r="E582" t="s">
        <v>36</v>
      </c>
      <c r="F582" t="s">
        <v>496</v>
      </c>
      <c r="G582" t="s">
        <v>387</v>
      </c>
      <c r="H582" t="s">
        <v>474</v>
      </c>
      <c r="I582" t="s">
        <v>388</v>
      </c>
      <c r="J582" t="s">
        <v>474</v>
      </c>
      <c r="K582" t="s">
        <v>474</v>
      </c>
      <c r="L582" t="s">
        <v>474</v>
      </c>
      <c r="M582" t="s">
        <v>474</v>
      </c>
      <c r="N582" t="s">
        <v>474</v>
      </c>
      <c r="O582" t="s">
        <v>474</v>
      </c>
      <c r="P582" t="s">
        <v>474</v>
      </c>
      <c r="Q582" t="s">
        <v>474</v>
      </c>
      <c r="R582" t="s">
        <v>474</v>
      </c>
      <c r="S582" t="s">
        <v>474</v>
      </c>
      <c r="T582" t="s">
        <v>474</v>
      </c>
      <c r="U582" t="s">
        <v>474</v>
      </c>
      <c r="V582" t="s">
        <v>526</v>
      </c>
      <c r="W582" t="s">
        <v>389</v>
      </c>
      <c r="X582" t="s">
        <v>59</v>
      </c>
      <c r="Y582" t="s">
        <v>479</v>
      </c>
    </row>
    <row r="583" spans="1:25" ht="16" x14ac:dyDescent="0.2">
      <c r="A583" t="s">
        <v>474</v>
      </c>
      <c r="B583" t="s">
        <v>393</v>
      </c>
      <c r="C583" t="s">
        <v>474</v>
      </c>
      <c r="D583" t="s">
        <v>474</v>
      </c>
      <c r="E583" t="s">
        <v>36</v>
      </c>
      <c r="F583" t="s">
        <v>496</v>
      </c>
      <c r="G583" t="s">
        <v>387</v>
      </c>
      <c r="H583" t="s">
        <v>474</v>
      </c>
      <c r="I583" t="s">
        <v>388</v>
      </c>
      <c r="J583" t="s">
        <v>474</v>
      </c>
      <c r="K583" t="s">
        <v>474</v>
      </c>
      <c r="L583" t="s">
        <v>474</v>
      </c>
      <c r="M583" t="s">
        <v>474</v>
      </c>
      <c r="N583" t="s">
        <v>474</v>
      </c>
      <c r="O583" t="s">
        <v>474</v>
      </c>
      <c r="P583" t="s">
        <v>474</v>
      </c>
      <c r="Q583" t="s">
        <v>474</v>
      </c>
      <c r="R583" t="s">
        <v>474</v>
      </c>
      <c r="S583" t="s">
        <v>474</v>
      </c>
      <c r="T583" t="s">
        <v>474</v>
      </c>
      <c r="U583" t="s">
        <v>474</v>
      </c>
      <c r="V583" t="s">
        <v>520</v>
      </c>
      <c r="W583" t="s">
        <v>389</v>
      </c>
      <c r="X583" t="s">
        <v>61</v>
      </c>
      <c r="Y583" t="s">
        <v>482</v>
      </c>
    </row>
    <row r="584" spans="1:25" ht="16" x14ac:dyDescent="0.2">
      <c r="A584" t="s">
        <v>474</v>
      </c>
      <c r="B584" t="s">
        <v>394</v>
      </c>
      <c r="C584" t="s">
        <v>474</v>
      </c>
      <c r="D584" t="s">
        <v>474</v>
      </c>
      <c r="E584" t="s">
        <v>36</v>
      </c>
      <c r="F584" t="s">
        <v>511</v>
      </c>
      <c r="G584" t="s">
        <v>373</v>
      </c>
      <c r="H584" t="s">
        <v>474</v>
      </c>
      <c r="I584" t="s">
        <v>374</v>
      </c>
      <c r="J584" t="s">
        <v>474</v>
      </c>
      <c r="K584" t="s">
        <v>474</v>
      </c>
      <c r="L584" t="s">
        <v>474</v>
      </c>
      <c r="M584" t="s">
        <v>474</v>
      </c>
      <c r="N584" t="s">
        <v>474</v>
      </c>
      <c r="O584" t="s">
        <v>474</v>
      </c>
      <c r="P584" t="s">
        <v>474</v>
      </c>
      <c r="Q584" t="s">
        <v>474</v>
      </c>
      <c r="R584" t="s">
        <v>474</v>
      </c>
      <c r="S584" t="s">
        <v>474</v>
      </c>
      <c r="T584" t="s">
        <v>474</v>
      </c>
      <c r="U584" t="s">
        <v>474</v>
      </c>
      <c r="V584" t="s">
        <v>521</v>
      </c>
      <c r="W584" t="s">
        <v>375</v>
      </c>
      <c r="X584" t="s">
        <v>61</v>
      </c>
      <c r="Y584" t="s">
        <v>482</v>
      </c>
    </row>
    <row r="585" spans="1:25" ht="16" x14ac:dyDescent="0.2">
      <c r="A585" t="s">
        <v>474</v>
      </c>
      <c r="B585" t="s">
        <v>395</v>
      </c>
      <c r="C585" t="s">
        <v>474</v>
      </c>
      <c r="D585" t="s">
        <v>474</v>
      </c>
      <c r="E585" t="s">
        <v>36</v>
      </c>
      <c r="F585" t="s">
        <v>493</v>
      </c>
      <c r="G585" t="s">
        <v>383</v>
      </c>
      <c r="H585" t="s">
        <v>474</v>
      </c>
      <c r="I585" t="s">
        <v>384</v>
      </c>
      <c r="J585" t="s">
        <v>474</v>
      </c>
      <c r="K585" t="s">
        <v>474</v>
      </c>
      <c r="L585" t="s">
        <v>474</v>
      </c>
      <c r="M585" t="s">
        <v>474</v>
      </c>
      <c r="N585" t="s">
        <v>474</v>
      </c>
      <c r="O585" t="s">
        <v>474</v>
      </c>
      <c r="P585" t="s">
        <v>474</v>
      </c>
      <c r="Q585" t="s">
        <v>474</v>
      </c>
      <c r="R585" t="s">
        <v>474</v>
      </c>
      <c r="S585" t="s">
        <v>474</v>
      </c>
      <c r="T585" t="s">
        <v>474</v>
      </c>
      <c r="U585" t="s">
        <v>474</v>
      </c>
      <c r="V585" t="s">
        <v>521</v>
      </c>
      <c r="W585" t="s">
        <v>385</v>
      </c>
      <c r="X585" t="s">
        <v>61</v>
      </c>
      <c r="Y585" t="s">
        <v>482</v>
      </c>
    </row>
    <row r="586" spans="1:25" ht="16" x14ac:dyDescent="0.2">
      <c r="A586" t="s">
        <v>474</v>
      </c>
      <c r="B586" t="s">
        <v>396</v>
      </c>
      <c r="C586" t="s">
        <v>474</v>
      </c>
      <c r="D586" t="s">
        <v>474</v>
      </c>
      <c r="E586" t="s">
        <v>36</v>
      </c>
      <c r="F586" t="s">
        <v>509</v>
      </c>
      <c r="G586" t="s">
        <v>390</v>
      </c>
      <c r="H586" t="s">
        <v>474</v>
      </c>
      <c r="I586" t="s">
        <v>391</v>
      </c>
      <c r="J586" t="s">
        <v>474</v>
      </c>
      <c r="K586" t="s">
        <v>474</v>
      </c>
      <c r="L586" t="s">
        <v>474</v>
      </c>
      <c r="M586" t="s">
        <v>474</v>
      </c>
      <c r="N586" t="s">
        <v>474</v>
      </c>
      <c r="O586" t="s">
        <v>474</v>
      </c>
      <c r="P586" t="s">
        <v>474</v>
      </c>
      <c r="Q586" t="s">
        <v>474</v>
      </c>
      <c r="R586" t="s">
        <v>474</v>
      </c>
      <c r="S586" t="s">
        <v>474</v>
      </c>
      <c r="T586" t="s">
        <v>474</v>
      </c>
      <c r="U586" t="s">
        <v>474</v>
      </c>
      <c r="V586" t="s">
        <v>521</v>
      </c>
      <c r="W586" t="s">
        <v>392</v>
      </c>
      <c r="X586" t="s">
        <v>30</v>
      </c>
      <c r="Y586" t="s">
        <v>476</v>
      </c>
    </row>
    <row r="587" spans="1:25" ht="16" x14ac:dyDescent="0.2">
      <c r="A587" t="s">
        <v>474</v>
      </c>
      <c r="B587" t="s">
        <v>397</v>
      </c>
      <c r="C587" t="s">
        <v>474</v>
      </c>
      <c r="D587" t="s">
        <v>474</v>
      </c>
      <c r="E587" t="s">
        <v>36</v>
      </c>
      <c r="F587" t="s">
        <v>496</v>
      </c>
      <c r="G587" t="s">
        <v>387</v>
      </c>
      <c r="H587" t="s">
        <v>474</v>
      </c>
      <c r="I587" t="s">
        <v>388</v>
      </c>
      <c r="J587" t="s">
        <v>474</v>
      </c>
      <c r="K587" t="s">
        <v>474</v>
      </c>
      <c r="L587" t="s">
        <v>474</v>
      </c>
      <c r="M587" t="s">
        <v>474</v>
      </c>
      <c r="N587" t="s">
        <v>474</v>
      </c>
      <c r="O587" t="s">
        <v>474</v>
      </c>
      <c r="P587" t="s">
        <v>474</v>
      </c>
      <c r="Q587" t="s">
        <v>474</v>
      </c>
      <c r="R587" t="s">
        <v>474</v>
      </c>
      <c r="S587" t="s">
        <v>474</v>
      </c>
      <c r="T587" t="s">
        <v>474</v>
      </c>
      <c r="U587" t="s">
        <v>474</v>
      </c>
      <c r="V587" t="s">
        <v>529</v>
      </c>
      <c r="W587" t="s">
        <v>389</v>
      </c>
      <c r="X587" t="s">
        <v>30</v>
      </c>
      <c r="Y587" t="s">
        <v>476</v>
      </c>
    </row>
    <row r="588" spans="1:25" ht="16" x14ac:dyDescent="0.2">
      <c r="A588" t="s">
        <v>474</v>
      </c>
      <c r="B588" t="s">
        <v>398</v>
      </c>
      <c r="C588" t="s">
        <v>474</v>
      </c>
      <c r="D588" t="s">
        <v>474</v>
      </c>
      <c r="E588" t="s">
        <v>36</v>
      </c>
      <c r="F588" t="s">
        <v>500</v>
      </c>
      <c r="G588" t="s">
        <v>380</v>
      </c>
      <c r="H588" t="s">
        <v>474</v>
      </c>
      <c r="I588" t="s">
        <v>381</v>
      </c>
      <c r="J588" t="s">
        <v>474</v>
      </c>
      <c r="K588" t="s">
        <v>474</v>
      </c>
      <c r="L588" t="s">
        <v>474</v>
      </c>
      <c r="M588" t="s">
        <v>474</v>
      </c>
      <c r="N588" t="s">
        <v>474</v>
      </c>
      <c r="O588" t="s">
        <v>474</v>
      </c>
      <c r="P588" t="s">
        <v>474</v>
      </c>
      <c r="Q588" t="s">
        <v>474</v>
      </c>
      <c r="R588" t="s">
        <v>474</v>
      </c>
      <c r="S588" t="s">
        <v>474</v>
      </c>
      <c r="T588" t="s">
        <v>474</v>
      </c>
      <c r="U588" t="s">
        <v>474</v>
      </c>
      <c r="V588" t="s">
        <v>521</v>
      </c>
      <c r="W588" t="s">
        <v>382</v>
      </c>
      <c r="X588" t="s">
        <v>59</v>
      </c>
      <c r="Y588" t="s">
        <v>479</v>
      </c>
    </row>
    <row r="589" spans="1:25" ht="16" x14ac:dyDescent="0.2">
      <c r="A589" t="s">
        <v>474</v>
      </c>
      <c r="B589" t="s">
        <v>399</v>
      </c>
      <c r="C589" t="s">
        <v>474</v>
      </c>
      <c r="D589" t="s">
        <v>474</v>
      </c>
      <c r="E589" t="s">
        <v>36</v>
      </c>
      <c r="F589" t="s">
        <v>509</v>
      </c>
      <c r="G589" t="s">
        <v>377</v>
      </c>
      <c r="H589" t="s">
        <v>474</v>
      </c>
      <c r="I589" t="s">
        <v>378</v>
      </c>
      <c r="J589" t="s">
        <v>474</v>
      </c>
      <c r="K589" t="s">
        <v>474</v>
      </c>
      <c r="L589" t="s">
        <v>474</v>
      </c>
      <c r="M589" t="s">
        <v>474</v>
      </c>
      <c r="N589" t="s">
        <v>474</v>
      </c>
      <c r="O589" t="s">
        <v>474</v>
      </c>
      <c r="P589" t="s">
        <v>474</v>
      </c>
      <c r="Q589" t="s">
        <v>474</v>
      </c>
      <c r="R589" t="s">
        <v>474</v>
      </c>
      <c r="S589" t="s">
        <v>474</v>
      </c>
      <c r="T589" t="s">
        <v>474</v>
      </c>
      <c r="U589" t="s">
        <v>474</v>
      </c>
      <c r="V589" t="s">
        <v>521</v>
      </c>
      <c r="W589" t="s">
        <v>379</v>
      </c>
      <c r="X589" t="s">
        <v>61</v>
      </c>
      <c r="Y589" t="s">
        <v>482</v>
      </c>
    </row>
    <row r="590" spans="1:25" ht="16" x14ac:dyDescent="0.2">
      <c r="A590" t="s">
        <v>474</v>
      </c>
      <c r="B590" t="s">
        <v>400</v>
      </c>
      <c r="C590" t="s">
        <v>474</v>
      </c>
      <c r="D590" t="s">
        <v>474</v>
      </c>
      <c r="E590" t="s">
        <v>36</v>
      </c>
      <c r="F590" t="s">
        <v>495</v>
      </c>
      <c r="G590" t="s">
        <v>403</v>
      </c>
      <c r="H590" t="s">
        <v>474</v>
      </c>
      <c r="I590" t="s">
        <v>404</v>
      </c>
      <c r="J590" t="s">
        <v>474</v>
      </c>
      <c r="K590" t="s">
        <v>474</v>
      </c>
      <c r="L590" t="s">
        <v>474</v>
      </c>
      <c r="M590" t="s">
        <v>474</v>
      </c>
      <c r="N590" t="s">
        <v>474</v>
      </c>
      <c r="O590" t="s">
        <v>474</v>
      </c>
      <c r="P590" t="s">
        <v>474</v>
      </c>
      <c r="Q590" t="s">
        <v>474</v>
      </c>
      <c r="R590" t="s">
        <v>474</v>
      </c>
      <c r="S590" t="s">
        <v>474</v>
      </c>
      <c r="T590" t="s">
        <v>474</v>
      </c>
      <c r="U590" t="s">
        <v>474</v>
      </c>
      <c r="V590" t="s">
        <v>521</v>
      </c>
      <c r="W590" t="s">
        <v>405</v>
      </c>
      <c r="X590" t="s">
        <v>30</v>
      </c>
      <c r="Y590" t="s">
        <v>476</v>
      </c>
    </row>
    <row r="591" spans="1:25" ht="16" x14ac:dyDescent="0.2">
      <c r="A591" t="s">
        <v>474</v>
      </c>
      <c r="B591" t="s">
        <v>406</v>
      </c>
      <c r="C591" t="s">
        <v>474</v>
      </c>
      <c r="D591" t="s">
        <v>474</v>
      </c>
      <c r="E591" t="s">
        <v>36</v>
      </c>
      <c r="F591" t="s">
        <v>502</v>
      </c>
      <c r="G591" t="s">
        <v>407</v>
      </c>
      <c r="H591" t="s">
        <v>474</v>
      </c>
      <c r="I591" t="s">
        <v>408</v>
      </c>
      <c r="J591" t="s">
        <v>474</v>
      </c>
      <c r="K591" t="s">
        <v>474</v>
      </c>
      <c r="L591" t="s">
        <v>474</v>
      </c>
      <c r="M591" t="s">
        <v>474</v>
      </c>
      <c r="N591" t="s">
        <v>474</v>
      </c>
      <c r="O591" t="s">
        <v>474</v>
      </c>
      <c r="P591" t="s">
        <v>474</v>
      </c>
      <c r="Q591" t="s">
        <v>474</v>
      </c>
      <c r="R591" t="s">
        <v>474</v>
      </c>
      <c r="S591" t="s">
        <v>474</v>
      </c>
      <c r="T591" t="s">
        <v>474</v>
      </c>
      <c r="U591" t="s">
        <v>474</v>
      </c>
      <c r="V591" t="s">
        <v>521</v>
      </c>
      <c r="W591" t="s">
        <v>409</v>
      </c>
      <c r="X591" t="s">
        <v>30</v>
      </c>
      <c r="Y591" t="s">
        <v>476</v>
      </c>
    </row>
    <row r="592" spans="1:25" ht="16" x14ac:dyDescent="0.2">
      <c r="A592" t="s">
        <v>474</v>
      </c>
      <c r="B592" t="s">
        <v>417</v>
      </c>
      <c r="C592" t="s">
        <v>474</v>
      </c>
      <c r="D592" t="s">
        <v>474</v>
      </c>
      <c r="E592" t="s">
        <v>36</v>
      </c>
      <c r="F592" t="s">
        <v>484</v>
      </c>
      <c r="G592" t="s">
        <v>419</v>
      </c>
      <c r="H592" t="s">
        <v>474</v>
      </c>
      <c r="I592" t="s">
        <v>420</v>
      </c>
      <c r="J592" t="s">
        <v>474</v>
      </c>
      <c r="K592" t="s">
        <v>474</v>
      </c>
      <c r="L592" t="s">
        <v>474</v>
      </c>
      <c r="M592" t="s">
        <v>474</v>
      </c>
      <c r="N592" t="s">
        <v>474</v>
      </c>
      <c r="O592" t="s">
        <v>474</v>
      </c>
      <c r="P592" t="s">
        <v>474</v>
      </c>
      <c r="Q592" t="s">
        <v>474</v>
      </c>
      <c r="R592" t="s">
        <v>474</v>
      </c>
      <c r="S592" t="s">
        <v>474</v>
      </c>
      <c r="T592" t="s">
        <v>474</v>
      </c>
      <c r="U592" t="s">
        <v>474</v>
      </c>
      <c r="V592" t="s">
        <v>521</v>
      </c>
      <c r="W592" t="s">
        <v>421</v>
      </c>
      <c r="X592" t="s">
        <v>30</v>
      </c>
      <c r="Y592" t="s">
        <v>476</v>
      </c>
    </row>
    <row r="593" spans="1:25" ht="16" x14ac:dyDescent="0.2">
      <c r="A593" t="s">
        <v>474</v>
      </c>
      <c r="B593" t="s">
        <v>428</v>
      </c>
      <c r="C593" t="s">
        <v>474</v>
      </c>
      <c r="D593" t="s">
        <v>474</v>
      </c>
      <c r="E593" t="s">
        <v>36</v>
      </c>
      <c r="F593" t="s">
        <v>507</v>
      </c>
      <c r="G593" t="s">
        <v>414</v>
      </c>
      <c r="H593" t="s">
        <v>474</v>
      </c>
      <c r="I593" t="s">
        <v>415</v>
      </c>
      <c r="J593" t="s">
        <v>474</v>
      </c>
      <c r="K593" t="s">
        <v>474</v>
      </c>
      <c r="L593" t="s">
        <v>474</v>
      </c>
      <c r="M593" t="s">
        <v>474</v>
      </c>
      <c r="N593" t="s">
        <v>474</v>
      </c>
      <c r="O593" t="s">
        <v>474</v>
      </c>
      <c r="P593" t="s">
        <v>474</v>
      </c>
      <c r="Q593" t="s">
        <v>474</v>
      </c>
      <c r="R593" t="s">
        <v>474</v>
      </c>
      <c r="S593" t="s">
        <v>474</v>
      </c>
      <c r="T593" t="s">
        <v>474</v>
      </c>
      <c r="U593" t="s">
        <v>474</v>
      </c>
      <c r="V593" t="s">
        <v>521</v>
      </c>
      <c r="W593" t="s">
        <v>416</v>
      </c>
      <c r="X593" t="s">
        <v>59</v>
      </c>
      <c r="Y593" t="s">
        <v>479</v>
      </c>
    </row>
    <row r="594" spans="1:25" ht="16" x14ac:dyDescent="0.2">
      <c r="A594" t="s">
        <v>474</v>
      </c>
      <c r="B594" t="s">
        <v>429</v>
      </c>
      <c r="C594" t="s">
        <v>474</v>
      </c>
      <c r="D594" t="s">
        <v>474</v>
      </c>
      <c r="E594" t="s">
        <v>36</v>
      </c>
      <c r="F594" t="s">
        <v>494</v>
      </c>
      <c r="G594" t="s">
        <v>411</v>
      </c>
      <c r="H594" t="s">
        <v>474</v>
      </c>
      <c r="I594" t="s">
        <v>412</v>
      </c>
      <c r="J594" t="s">
        <v>474</v>
      </c>
      <c r="K594" t="s">
        <v>474</v>
      </c>
      <c r="L594" t="s">
        <v>474</v>
      </c>
      <c r="M594" t="s">
        <v>474</v>
      </c>
      <c r="N594" t="s">
        <v>474</v>
      </c>
      <c r="O594" t="s">
        <v>474</v>
      </c>
      <c r="P594" t="s">
        <v>474</v>
      </c>
      <c r="Q594" t="s">
        <v>474</v>
      </c>
      <c r="R594" t="s">
        <v>474</v>
      </c>
      <c r="S594" t="s">
        <v>474</v>
      </c>
      <c r="T594" t="s">
        <v>474</v>
      </c>
      <c r="U594" t="s">
        <v>474</v>
      </c>
      <c r="V594" t="s">
        <v>521</v>
      </c>
      <c r="W594" t="s">
        <v>413</v>
      </c>
      <c r="X594" t="s">
        <v>59</v>
      </c>
      <c r="Y594" t="s">
        <v>479</v>
      </c>
    </row>
    <row r="595" spans="1:25" ht="16" x14ac:dyDescent="0.2">
      <c r="A595" t="s">
        <v>474</v>
      </c>
      <c r="B595" t="s">
        <v>430</v>
      </c>
      <c r="C595" t="s">
        <v>474</v>
      </c>
      <c r="D595" t="s">
        <v>474</v>
      </c>
      <c r="E595" t="s">
        <v>36</v>
      </c>
      <c r="F595" t="s">
        <v>499</v>
      </c>
      <c r="G595" t="s">
        <v>422</v>
      </c>
      <c r="H595" t="s">
        <v>474</v>
      </c>
      <c r="I595" t="s">
        <v>423</v>
      </c>
      <c r="J595" t="s">
        <v>474</v>
      </c>
      <c r="K595" t="s">
        <v>474</v>
      </c>
      <c r="L595" t="s">
        <v>474</v>
      </c>
      <c r="M595" t="s">
        <v>474</v>
      </c>
      <c r="N595" t="s">
        <v>474</v>
      </c>
      <c r="O595" t="s">
        <v>474</v>
      </c>
      <c r="P595" t="s">
        <v>474</v>
      </c>
      <c r="Q595" t="s">
        <v>474</v>
      </c>
      <c r="R595" t="s">
        <v>474</v>
      </c>
      <c r="S595" t="s">
        <v>474</v>
      </c>
      <c r="T595" t="s">
        <v>474</v>
      </c>
      <c r="U595" t="s">
        <v>474</v>
      </c>
      <c r="V595" t="s">
        <v>521</v>
      </c>
      <c r="W595" t="s">
        <v>424</v>
      </c>
      <c r="X595" t="s">
        <v>59</v>
      </c>
      <c r="Y595" t="s">
        <v>479</v>
      </c>
    </row>
    <row r="596" spans="1:25" ht="16" x14ac:dyDescent="0.2">
      <c r="A596" t="s">
        <v>474</v>
      </c>
      <c r="B596" t="s">
        <v>431</v>
      </c>
      <c r="C596" t="s">
        <v>474</v>
      </c>
      <c r="D596" t="s">
        <v>474</v>
      </c>
      <c r="E596" t="s">
        <v>36</v>
      </c>
      <c r="F596" t="s">
        <v>502</v>
      </c>
      <c r="G596" t="s">
        <v>407</v>
      </c>
      <c r="H596" t="s">
        <v>474</v>
      </c>
      <c r="I596" t="s">
        <v>408</v>
      </c>
      <c r="J596" t="s">
        <v>474</v>
      </c>
      <c r="K596" t="s">
        <v>474</v>
      </c>
      <c r="L596" t="s">
        <v>474</v>
      </c>
      <c r="M596" t="s">
        <v>474</v>
      </c>
      <c r="N596" t="s">
        <v>474</v>
      </c>
      <c r="O596" t="s">
        <v>474</v>
      </c>
      <c r="P596" t="s">
        <v>474</v>
      </c>
      <c r="Q596" t="s">
        <v>474</v>
      </c>
      <c r="R596" t="s">
        <v>474</v>
      </c>
      <c r="S596" t="s">
        <v>474</v>
      </c>
      <c r="T596" t="s">
        <v>474</v>
      </c>
      <c r="U596" t="s">
        <v>474</v>
      </c>
      <c r="V596" t="s">
        <v>521</v>
      </c>
      <c r="W596" t="s">
        <v>409</v>
      </c>
      <c r="X596" t="s">
        <v>61</v>
      </c>
      <c r="Y596" t="s">
        <v>482</v>
      </c>
    </row>
    <row r="597" spans="1:25" ht="16" x14ac:dyDescent="0.2">
      <c r="A597" t="s">
        <v>474</v>
      </c>
      <c r="B597" t="s">
        <v>432</v>
      </c>
      <c r="C597" t="s">
        <v>474</v>
      </c>
      <c r="D597" t="s">
        <v>474</v>
      </c>
      <c r="E597" t="s">
        <v>36</v>
      </c>
      <c r="F597" t="s">
        <v>507</v>
      </c>
      <c r="G597" t="s">
        <v>414</v>
      </c>
      <c r="H597" t="s">
        <v>474</v>
      </c>
      <c r="I597" t="s">
        <v>415</v>
      </c>
      <c r="J597" t="s">
        <v>474</v>
      </c>
      <c r="K597" t="s">
        <v>474</v>
      </c>
      <c r="L597" t="s">
        <v>474</v>
      </c>
      <c r="M597" t="s">
        <v>474</v>
      </c>
      <c r="N597" t="s">
        <v>474</v>
      </c>
      <c r="O597" t="s">
        <v>474</v>
      </c>
      <c r="P597" t="s">
        <v>474</v>
      </c>
      <c r="Q597" t="s">
        <v>474</v>
      </c>
      <c r="R597" t="s">
        <v>474</v>
      </c>
      <c r="S597" t="s">
        <v>474</v>
      </c>
      <c r="T597" t="s">
        <v>474</v>
      </c>
      <c r="U597" t="s">
        <v>474</v>
      </c>
      <c r="V597" t="s">
        <v>521</v>
      </c>
      <c r="W597" t="s">
        <v>416</v>
      </c>
      <c r="X597" t="s">
        <v>61</v>
      </c>
      <c r="Y597" t="s">
        <v>482</v>
      </c>
    </row>
    <row r="598" spans="1:25" ht="16" x14ac:dyDescent="0.2">
      <c r="A598" t="s">
        <v>474</v>
      </c>
      <c r="B598" t="s">
        <v>433</v>
      </c>
      <c r="C598" t="s">
        <v>474</v>
      </c>
      <c r="D598" t="s">
        <v>474</v>
      </c>
      <c r="E598" t="s">
        <v>36</v>
      </c>
      <c r="F598" t="s">
        <v>492</v>
      </c>
      <c r="G598" t="s">
        <v>425</v>
      </c>
      <c r="H598" t="s">
        <v>474</v>
      </c>
      <c r="I598" t="s">
        <v>426</v>
      </c>
      <c r="J598" t="s">
        <v>474</v>
      </c>
      <c r="K598" t="s">
        <v>474</v>
      </c>
      <c r="L598" t="s">
        <v>474</v>
      </c>
      <c r="M598" t="s">
        <v>474</v>
      </c>
      <c r="N598" t="s">
        <v>474</v>
      </c>
      <c r="O598" t="s">
        <v>474</v>
      </c>
      <c r="P598" t="s">
        <v>474</v>
      </c>
      <c r="Q598" t="s">
        <v>474</v>
      </c>
      <c r="R598" t="s">
        <v>474</v>
      </c>
      <c r="S598" t="s">
        <v>474</v>
      </c>
      <c r="T598" t="s">
        <v>474</v>
      </c>
      <c r="U598" t="s">
        <v>474</v>
      </c>
      <c r="V598" t="s">
        <v>521</v>
      </c>
      <c r="W598" t="s">
        <v>427</v>
      </c>
      <c r="X598" t="s">
        <v>61</v>
      </c>
      <c r="Y598" t="s">
        <v>482</v>
      </c>
    </row>
    <row r="599" spans="1:25" ht="16" x14ac:dyDescent="0.2"/>
    <row r="600" spans="1:25" ht="16" x14ac:dyDescent="0.2"/>
    <row r="601" spans="1:25" ht="16" x14ac:dyDescent="0.2"/>
    <row r="602" spans="1:25" ht="16" x14ac:dyDescent="0.2"/>
    <row r="603" spans="1:25" ht="16" x14ac:dyDescent="0.2"/>
    <row r="604" spans="1:25" ht="16" x14ac:dyDescent="0.2"/>
    <row r="605" spans="1:25" ht="16" x14ac:dyDescent="0.2"/>
    <row r="606" spans="1:25" ht="16" x14ac:dyDescent="0.2"/>
    <row r="607" spans="1:25" ht="16" x14ac:dyDescent="0.2"/>
    <row r="608" spans="1:25" ht="16" x14ac:dyDescent="0.2"/>
    <row r="609" ht="16" x14ac:dyDescent="0.2"/>
    <row r="610" ht="16" x14ac:dyDescent="0.2"/>
    <row r="611" ht="16" x14ac:dyDescent="0.2"/>
    <row r="612" ht="16" x14ac:dyDescent="0.2"/>
    <row r="613" ht="16" x14ac:dyDescent="0.2"/>
    <row r="614" ht="16" x14ac:dyDescent="0.2"/>
    <row r="615" ht="16" x14ac:dyDescent="0.2"/>
    <row r="616" ht="16" x14ac:dyDescent="0.2"/>
    <row r="617" ht="16" x14ac:dyDescent="0.2"/>
    <row r="618" ht="16" x14ac:dyDescent="0.2"/>
    <row r="619" ht="16" x14ac:dyDescent="0.2"/>
    <row r="620" ht="16" x14ac:dyDescent="0.2"/>
    <row r="621" ht="16" x14ac:dyDescent="0.2"/>
    <row r="622" ht="16" x14ac:dyDescent="0.2"/>
    <row r="623" ht="16" x14ac:dyDescent="0.2"/>
    <row r="624" ht="16" x14ac:dyDescent="0.2"/>
    <row r="625" ht="16" x14ac:dyDescent="0.2"/>
    <row r="626" ht="16" x14ac:dyDescent="0.2"/>
    <row r="627" ht="16" x14ac:dyDescent="0.2"/>
    <row r="628" ht="16" x14ac:dyDescent="0.2"/>
    <row r="629" ht="16" x14ac:dyDescent="0.2"/>
    <row r="630" ht="16" x14ac:dyDescent="0.2"/>
    <row r="631" ht="16" x14ac:dyDescent="0.2"/>
    <row r="632" ht="16" x14ac:dyDescent="0.2"/>
    <row r="633" ht="16" x14ac:dyDescent="0.2"/>
    <row r="634" ht="16" x14ac:dyDescent="0.2"/>
    <row r="635" ht="16" x14ac:dyDescent="0.2"/>
    <row r="636" ht="16" x14ac:dyDescent="0.2"/>
    <row r="637" ht="16" x14ac:dyDescent="0.2"/>
    <row r="638" ht="16" x14ac:dyDescent="0.2"/>
    <row r="639" ht="16" x14ac:dyDescent="0.2"/>
    <row r="640" ht="16" x14ac:dyDescent="0.2"/>
    <row r="641" ht="16" x14ac:dyDescent="0.2"/>
    <row r="642" ht="16" x14ac:dyDescent="0.2"/>
    <row r="643" ht="16" x14ac:dyDescent="0.2"/>
    <row r="644" ht="16" x14ac:dyDescent="0.2"/>
    <row r="645" ht="16" x14ac:dyDescent="0.2"/>
    <row r="646" ht="16" x14ac:dyDescent="0.2"/>
    <row r="647" ht="16" x14ac:dyDescent="0.2"/>
    <row r="648" ht="16" x14ac:dyDescent="0.2"/>
    <row r="649" ht="16" x14ac:dyDescent="0.2"/>
    <row r="650" ht="16" x14ac:dyDescent="0.2"/>
    <row r="651" ht="16" x14ac:dyDescent="0.2"/>
    <row r="652" ht="16" x14ac:dyDescent="0.2"/>
    <row r="653" ht="16" x14ac:dyDescent="0.2"/>
    <row r="654" ht="16" x14ac:dyDescent="0.2"/>
    <row r="655" ht="16" x14ac:dyDescent="0.2"/>
    <row r="656" ht="16" x14ac:dyDescent="0.2"/>
    <row r="657" ht="16" x14ac:dyDescent="0.2"/>
    <row r="658" ht="16" x14ac:dyDescent="0.2"/>
    <row r="659" ht="16" x14ac:dyDescent="0.2"/>
    <row r="660" ht="16" x14ac:dyDescent="0.2"/>
    <row r="661" ht="16" x14ac:dyDescent="0.2"/>
    <row r="662" ht="16" x14ac:dyDescent="0.2"/>
    <row r="663" ht="16" x14ac:dyDescent="0.2"/>
    <row r="664" ht="16" x14ac:dyDescent="0.2"/>
    <row r="665" ht="16" x14ac:dyDescent="0.2"/>
    <row r="666" ht="16" x14ac:dyDescent="0.2"/>
    <row r="667" ht="16" x14ac:dyDescent="0.2"/>
    <row r="668" ht="16" x14ac:dyDescent="0.2"/>
    <row r="669" ht="16" x14ac:dyDescent="0.2"/>
    <row r="670" ht="16" x14ac:dyDescent="0.2"/>
    <row r="671" ht="16" x14ac:dyDescent="0.2"/>
    <row r="672" ht="16" x14ac:dyDescent="0.2"/>
    <row r="673" ht="16" x14ac:dyDescent="0.2"/>
    <row r="674" ht="16" x14ac:dyDescent="0.2"/>
    <row r="675" ht="16" x14ac:dyDescent="0.2"/>
    <row r="676" ht="16" x14ac:dyDescent="0.2"/>
    <row r="677" ht="16" x14ac:dyDescent="0.2"/>
    <row r="678" ht="16" x14ac:dyDescent="0.2"/>
    <row r="679" ht="16" x14ac:dyDescent="0.2"/>
    <row r="680" ht="16" x14ac:dyDescent="0.2"/>
    <row r="681" ht="16" x14ac:dyDescent="0.2"/>
    <row r="682" ht="16" x14ac:dyDescent="0.2"/>
    <row r="683" ht="16" x14ac:dyDescent="0.2"/>
    <row r="684" ht="16" x14ac:dyDescent="0.2"/>
    <row r="685" ht="16" x14ac:dyDescent="0.2"/>
    <row r="686" ht="16" x14ac:dyDescent="0.2"/>
    <row r="687" ht="16" x14ac:dyDescent="0.2"/>
    <row r="688" ht="16" x14ac:dyDescent="0.2"/>
    <row r="689" ht="16" x14ac:dyDescent="0.2"/>
    <row r="690" ht="16" x14ac:dyDescent="0.2"/>
    <row r="691" ht="16" x14ac:dyDescent="0.2"/>
    <row r="692" ht="16" x14ac:dyDescent="0.2"/>
    <row r="693" ht="16" x14ac:dyDescent="0.2"/>
    <row r="694" ht="16" x14ac:dyDescent="0.2"/>
    <row r="695" ht="16" x14ac:dyDescent="0.2"/>
    <row r="696" ht="16" x14ac:dyDescent="0.2"/>
    <row r="697" ht="16" x14ac:dyDescent="0.2"/>
    <row r="698" ht="16" x14ac:dyDescent="0.2"/>
    <row r="699" ht="16" x14ac:dyDescent="0.2"/>
    <row r="700" ht="16" x14ac:dyDescent="0.2"/>
    <row r="701" ht="16" x14ac:dyDescent="0.2"/>
    <row r="702" ht="16" x14ac:dyDescent="0.2"/>
    <row r="703" ht="16" x14ac:dyDescent="0.2"/>
    <row r="704" ht="16" x14ac:dyDescent="0.2"/>
    <row r="705" ht="16" x14ac:dyDescent="0.2"/>
    <row r="706" ht="16" x14ac:dyDescent="0.2"/>
    <row r="707" ht="16" x14ac:dyDescent="0.2"/>
    <row r="708" ht="16" x14ac:dyDescent="0.2"/>
    <row r="709" ht="16" x14ac:dyDescent="0.2"/>
    <row r="710" ht="16" x14ac:dyDescent="0.2"/>
    <row r="711" ht="16" x14ac:dyDescent="0.2"/>
    <row r="712" ht="16" x14ac:dyDescent="0.2"/>
    <row r="713" ht="16" x14ac:dyDescent="0.2"/>
    <row r="714" ht="16" x14ac:dyDescent="0.2"/>
    <row r="715" ht="16" x14ac:dyDescent="0.2"/>
    <row r="716" ht="16" x14ac:dyDescent="0.2"/>
    <row r="717" ht="16" x14ac:dyDescent="0.2"/>
    <row r="718" ht="16" x14ac:dyDescent="0.2"/>
    <row r="719" ht="16" x14ac:dyDescent="0.2"/>
    <row r="720" ht="16" x14ac:dyDescent="0.2"/>
    <row r="721" ht="16" x14ac:dyDescent="0.2"/>
    <row r="722" ht="16" x14ac:dyDescent="0.2"/>
    <row r="723" ht="16" x14ac:dyDescent="0.2"/>
    <row r="724" ht="16" x14ac:dyDescent="0.2"/>
    <row r="725" ht="16" x14ac:dyDescent="0.2"/>
    <row r="726" ht="16" x14ac:dyDescent="0.2"/>
    <row r="727" ht="16" x14ac:dyDescent="0.2"/>
    <row r="728" ht="16" x14ac:dyDescent="0.2"/>
    <row r="729" ht="16" x14ac:dyDescent="0.2"/>
    <row r="730" ht="16" x14ac:dyDescent="0.2"/>
    <row r="731" ht="16" x14ac:dyDescent="0.2"/>
    <row r="732" ht="16" x14ac:dyDescent="0.2"/>
    <row r="733" ht="16" x14ac:dyDescent="0.2"/>
    <row r="734" ht="16" x14ac:dyDescent="0.2"/>
    <row r="735" ht="16" x14ac:dyDescent="0.2"/>
    <row r="736" ht="16" x14ac:dyDescent="0.2"/>
    <row r="737" ht="16" x14ac:dyDescent="0.2"/>
    <row r="738" ht="16" x14ac:dyDescent="0.2"/>
    <row r="739" ht="16" x14ac:dyDescent="0.2"/>
    <row r="740" ht="16" x14ac:dyDescent="0.2"/>
    <row r="741" ht="16" x14ac:dyDescent="0.2"/>
    <row r="742" ht="16" x14ac:dyDescent="0.2"/>
    <row r="743" ht="16" x14ac:dyDescent="0.2"/>
    <row r="744" ht="16" x14ac:dyDescent="0.2"/>
    <row r="745" ht="16" x14ac:dyDescent="0.2"/>
    <row r="746" ht="16" x14ac:dyDescent="0.2"/>
    <row r="747" ht="16" x14ac:dyDescent="0.2"/>
    <row r="748" ht="16" x14ac:dyDescent="0.2"/>
    <row r="749" ht="16" x14ac:dyDescent="0.2"/>
    <row r="750" ht="16" x14ac:dyDescent="0.2"/>
    <row r="751" ht="16" x14ac:dyDescent="0.2"/>
    <row r="752" ht="16" x14ac:dyDescent="0.2"/>
    <row r="753" ht="16" x14ac:dyDescent="0.2"/>
    <row r="754" ht="16" x14ac:dyDescent="0.2"/>
    <row r="755" ht="16" x14ac:dyDescent="0.2"/>
    <row r="756" ht="16" x14ac:dyDescent="0.2"/>
    <row r="757" ht="16" x14ac:dyDescent="0.2"/>
    <row r="758" ht="16" x14ac:dyDescent="0.2"/>
    <row r="759" ht="16" x14ac:dyDescent="0.2"/>
    <row r="760" ht="16" x14ac:dyDescent="0.2"/>
    <row r="761" ht="16" x14ac:dyDescent="0.2"/>
    <row r="762" ht="16" x14ac:dyDescent="0.2"/>
    <row r="763" ht="16" x14ac:dyDescent="0.2"/>
    <row r="764" ht="16" x14ac:dyDescent="0.2"/>
    <row r="765" ht="16" x14ac:dyDescent="0.2"/>
    <row r="766" ht="16" x14ac:dyDescent="0.2"/>
    <row r="767" ht="16" x14ac:dyDescent="0.2"/>
    <row r="768" ht="16" x14ac:dyDescent="0.2"/>
    <row r="769" ht="16" x14ac:dyDescent="0.2"/>
    <row r="770" ht="16" x14ac:dyDescent="0.2"/>
    <row r="771" ht="16" x14ac:dyDescent="0.2"/>
    <row r="772" ht="16" x14ac:dyDescent="0.2"/>
    <row r="773" ht="16" x14ac:dyDescent="0.2"/>
    <row r="774" ht="16" x14ac:dyDescent="0.2"/>
    <row r="775" ht="16" x14ac:dyDescent="0.2"/>
    <row r="776" ht="16" x14ac:dyDescent="0.2"/>
    <row r="777" ht="16" x14ac:dyDescent="0.2"/>
    <row r="778" ht="16" x14ac:dyDescent="0.2"/>
    <row r="779" ht="16" x14ac:dyDescent="0.2"/>
    <row r="780" ht="16" x14ac:dyDescent="0.2"/>
    <row r="781" ht="16" x14ac:dyDescent="0.2"/>
    <row r="782" ht="16" x14ac:dyDescent="0.2"/>
    <row r="783" ht="16" x14ac:dyDescent="0.2"/>
    <row r="784" ht="16" x14ac:dyDescent="0.2"/>
    <row r="785" ht="16" x14ac:dyDescent="0.2"/>
    <row r="786" ht="16" x14ac:dyDescent="0.2"/>
    <row r="787" ht="16" x14ac:dyDescent="0.2"/>
    <row r="788" ht="16" x14ac:dyDescent="0.2"/>
    <row r="789" ht="16" x14ac:dyDescent="0.2"/>
    <row r="790" ht="16" x14ac:dyDescent="0.2"/>
    <row r="791" ht="16" x14ac:dyDescent="0.2"/>
    <row r="792" ht="16" x14ac:dyDescent="0.2"/>
    <row r="793" ht="16" x14ac:dyDescent="0.2"/>
    <row r="794" ht="16" x14ac:dyDescent="0.2"/>
    <row r="795" ht="16" x14ac:dyDescent="0.2"/>
    <row r="796" ht="16" x14ac:dyDescent="0.2"/>
    <row r="797" ht="16" x14ac:dyDescent="0.2"/>
    <row r="798" ht="16" x14ac:dyDescent="0.2"/>
    <row r="799" ht="16" x14ac:dyDescent="0.2"/>
    <row r="800" ht="16" x14ac:dyDescent="0.2"/>
    <row r="801" ht="16" x14ac:dyDescent="0.2"/>
    <row r="802" ht="16" x14ac:dyDescent="0.2"/>
    <row r="803" ht="16" x14ac:dyDescent="0.2"/>
    <row r="804" ht="16" x14ac:dyDescent="0.2"/>
    <row r="805" ht="16" x14ac:dyDescent="0.2"/>
    <row r="806" ht="16" x14ac:dyDescent="0.2"/>
    <row r="807" ht="16" x14ac:dyDescent="0.2"/>
    <row r="808" ht="16" x14ac:dyDescent="0.2"/>
    <row r="809" ht="16" x14ac:dyDescent="0.2"/>
    <row r="810" ht="16" x14ac:dyDescent="0.2"/>
    <row r="811" ht="16" x14ac:dyDescent="0.2"/>
    <row r="812" ht="16" x14ac:dyDescent="0.2"/>
    <row r="813" ht="16" x14ac:dyDescent="0.2"/>
    <row r="814" ht="16" x14ac:dyDescent="0.2"/>
    <row r="815" ht="16" x14ac:dyDescent="0.2"/>
    <row r="816" ht="16" x14ac:dyDescent="0.2"/>
    <row r="817" ht="16" x14ac:dyDescent="0.2"/>
    <row r="818" ht="16" x14ac:dyDescent="0.2"/>
    <row r="819" ht="16" x14ac:dyDescent="0.2"/>
    <row r="820" ht="16" x14ac:dyDescent="0.2"/>
    <row r="821" ht="16" x14ac:dyDescent="0.2"/>
    <row r="822" ht="16" x14ac:dyDescent="0.2"/>
    <row r="823" ht="16" x14ac:dyDescent="0.2"/>
    <row r="824" ht="16" x14ac:dyDescent="0.2"/>
    <row r="825" ht="16" x14ac:dyDescent="0.2"/>
    <row r="826" ht="16" x14ac:dyDescent="0.2"/>
    <row r="827" ht="16" x14ac:dyDescent="0.2"/>
    <row r="828" ht="16" x14ac:dyDescent="0.2"/>
    <row r="829" ht="16" x14ac:dyDescent="0.2"/>
    <row r="830" ht="16" x14ac:dyDescent="0.2"/>
    <row r="831" ht="16" x14ac:dyDescent="0.2"/>
    <row r="832" ht="16" x14ac:dyDescent="0.2"/>
    <row r="833" ht="16" x14ac:dyDescent="0.2"/>
    <row r="834" ht="16" x14ac:dyDescent="0.2"/>
    <row r="835" ht="16" x14ac:dyDescent="0.2"/>
    <row r="836" ht="16" x14ac:dyDescent="0.2"/>
    <row r="837" ht="16" x14ac:dyDescent="0.2"/>
    <row r="838" ht="16" x14ac:dyDescent="0.2"/>
    <row r="839" ht="16" x14ac:dyDescent="0.2"/>
    <row r="840" ht="16" x14ac:dyDescent="0.2"/>
    <row r="841" ht="16" x14ac:dyDescent="0.2"/>
    <row r="842" ht="16" x14ac:dyDescent="0.2"/>
    <row r="843" ht="16" x14ac:dyDescent="0.2"/>
    <row r="844" ht="16" x14ac:dyDescent="0.2"/>
    <row r="845" ht="16" x14ac:dyDescent="0.2"/>
    <row r="846" ht="16" x14ac:dyDescent="0.2"/>
    <row r="847" ht="16" x14ac:dyDescent="0.2"/>
    <row r="848" ht="16" x14ac:dyDescent="0.2"/>
    <row r="849" ht="16" x14ac:dyDescent="0.2"/>
    <row r="850" ht="16" x14ac:dyDescent="0.2"/>
    <row r="851" ht="16" x14ac:dyDescent="0.2"/>
    <row r="852" ht="16" x14ac:dyDescent="0.2"/>
    <row r="853" ht="16" x14ac:dyDescent="0.2"/>
    <row r="854" ht="16" x14ac:dyDescent="0.2"/>
    <row r="855" ht="16" x14ac:dyDescent="0.2"/>
    <row r="856" ht="16" x14ac:dyDescent="0.2"/>
    <row r="857" ht="16" x14ac:dyDescent="0.2"/>
    <row r="858" ht="16" x14ac:dyDescent="0.2"/>
    <row r="859" ht="16" x14ac:dyDescent="0.2"/>
    <row r="860" ht="16" x14ac:dyDescent="0.2"/>
    <row r="861" ht="16" x14ac:dyDescent="0.2"/>
    <row r="862" ht="16" x14ac:dyDescent="0.2"/>
    <row r="863" ht="16" x14ac:dyDescent="0.2"/>
    <row r="864" ht="16" x14ac:dyDescent="0.2"/>
    <row r="865" ht="16" x14ac:dyDescent="0.2"/>
    <row r="866" ht="16" x14ac:dyDescent="0.2"/>
    <row r="867" ht="16" x14ac:dyDescent="0.2"/>
    <row r="868" ht="16" x14ac:dyDescent="0.2"/>
    <row r="869" ht="16" x14ac:dyDescent="0.2"/>
    <row r="870" ht="16" x14ac:dyDescent="0.2"/>
    <row r="871" ht="16" x14ac:dyDescent="0.2"/>
    <row r="872" ht="16" x14ac:dyDescent="0.2"/>
    <row r="873" ht="16" x14ac:dyDescent="0.2"/>
    <row r="874" ht="16" x14ac:dyDescent="0.2"/>
    <row r="875" ht="16" x14ac:dyDescent="0.2"/>
    <row r="876" ht="16" x14ac:dyDescent="0.2"/>
    <row r="877" ht="16" x14ac:dyDescent="0.2"/>
    <row r="878" ht="16" x14ac:dyDescent="0.2"/>
    <row r="879" ht="16" x14ac:dyDescent="0.2"/>
    <row r="880" ht="16" x14ac:dyDescent="0.2"/>
    <row r="881" ht="16" x14ac:dyDescent="0.2"/>
    <row r="882" ht="16" x14ac:dyDescent="0.2"/>
    <row r="883" ht="16" x14ac:dyDescent="0.2"/>
    <row r="884" ht="16" x14ac:dyDescent="0.2"/>
    <row r="885" ht="16" x14ac:dyDescent="0.2"/>
    <row r="886" ht="16" x14ac:dyDescent="0.2"/>
    <row r="887" ht="16" x14ac:dyDescent="0.2"/>
    <row r="888" ht="16" x14ac:dyDescent="0.2"/>
    <row r="889" ht="16" x14ac:dyDescent="0.2"/>
    <row r="890" ht="16" x14ac:dyDescent="0.2"/>
    <row r="891" ht="16" x14ac:dyDescent="0.2"/>
    <row r="892" ht="16" x14ac:dyDescent="0.2"/>
    <row r="893" ht="16" x14ac:dyDescent="0.2"/>
    <row r="894" ht="16" x14ac:dyDescent="0.2"/>
    <row r="895" ht="16" x14ac:dyDescent="0.2"/>
    <row r="896" ht="16" x14ac:dyDescent="0.2"/>
    <row r="897" ht="16" x14ac:dyDescent="0.2"/>
    <row r="898" ht="16" x14ac:dyDescent="0.2"/>
    <row r="899" ht="16" x14ac:dyDescent="0.2"/>
    <row r="900" ht="16" x14ac:dyDescent="0.2"/>
    <row r="901" ht="16" x14ac:dyDescent="0.2"/>
    <row r="902" ht="16" x14ac:dyDescent="0.2"/>
    <row r="903" ht="16" x14ac:dyDescent="0.2"/>
    <row r="904" ht="16" x14ac:dyDescent="0.2"/>
    <row r="905" ht="16" x14ac:dyDescent="0.2"/>
    <row r="906" ht="16" x14ac:dyDescent="0.2"/>
    <row r="907" ht="16" x14ac:dyDescent="0.2"/>
    <row r="908" ht="16" x14ac:dyDescent="0.2"/>
    <row r="909" ht="16" x14ac:dyDescent="0.2"/>
    <row r="910" ht="16" x14ac:dyDescent="0.2"/>
    <row r="911" ht="16" x14ac:dyDescent="0.2"/>
    <row r="912" ht="16" x14ac:dyDescent="0.2"/>
    <row r="913" ht="16" x14ac:dyDescent="0.2"/>
    <row r="914" ht="16" x14ac:dyDescent="0.2"/>
    <row r="915" ht="16" x14ac:dyDescent="0.2"/>
    <row r="916" ht="16" x14ac:dyDescent="0.2"/>
    <row r="917" ht="16" x14ac:dyDescent="0.2"/>
    <row r="918" ht="16" x14ac:dyDescent="0.2"/>
    <row r="919" ht="16" x14ac:dyDescent="0.2"/>
    <row r="920" ht="16" x14ac:dyDescent="0.2"/>
    <row r="921" ht="16" x14ac:dyDescent="0.2"/>
    <row r="922" ht="16" x14ac:dyDescent="0.2"/>
    <row r="923" ht="16" x14ac:dyDescent="0.2"/>
    <row r="924" ht="16" x14ac:dyDescent="0.2"/>
    <row r="925" ht="16" x14ac:dyDescent="0.2"/>
    <row r="926" ht="16" x14ac:dyDescent="0.2"/>
    <row r="927" ht="16" x14ac:dyDescent="0.2"/>
    <row r="928" ht="16" x14ac:dyDescent="0.2"/>
    <row r="929" ht="16" x14ac:dyDescent="0.2"/>
    <row r="930" ht="16" x14ac:dyDescent="0.2"/>
    <row r="931" ht="16" x14ac:dyDescent="0.2"/>
    <row r="932" ht="16" x14ac:dyDescent="0.2"/>
    <row r="933" ht="16" x14ac:dyDescent="0.2"/>
    <row r="934" ht="16" x14ac:dyDescent="0.2"/>
    <row r="935" ht="16" x14ac:dyDescent="0.2"/>
    <row r="936" ht="16" x14ac:dyDescent="0.2"/>
    <row r="937" ht="16" x14ac:dyDescent="0.2"/>
    <row r="938" ht="16" x14ac:dyDescent="0.2"/>
    <row r="939" ht="16" x14ac:dyDescent="0.2"/>
    <row r="940" ht="16" x14ac:dyDescent="0.2"/>
    <row r="941" ht="16" x14ac:dyDescent="0.2"/>
    <row r="942" ht="16" x14ac:dyDescent="0.2"/>
    <row r="943" ht="16" x14ac:dyDescent="0.2"/>
    <row r="944" ht="16" x14ac:dyDescent="0.2"/>
    <row r="945" ht="16" x14ac:dyDescent="0.2"/>
    <row r="946" ht="16" x14ac:dyDescent="0.2"/>
    <row r="947" ht="16" x14ac:dyDescent="0.2"/>
    <row r="948" ht="16" x14ac:dyDescent="0.2"/>
    <row r="949" ht="16" x14ac:dyDescent="0.2"/>
    <row r="950" ht="16" x14ac:dyDescent="0.2"/>
    <row r="951" ht="16" x14ac:dyDescent="0.2"/>
    <row r="952" ht="16" x14ac:dyDescent="0.2"/>
    <row r="953" ht="16" x14ac:dyDescent="0.2"/>
    <row r="954" ht="16" x14ac:dyDescent="0.2"/>
    <row r="955" ht="16" x14ac:dyDescent="0.2"/>
    <row r="956" ht="16" x14ac:dyDescent="0.2"/>
    <row r="957" ht="16" x14ac:dyDescent="0.2"/>
    <row r="958" ht="16" x14ac:dyDescent="0.2"/>
    <row r="959" ht="16" x14ac:dyDescent="0.2"/>
    <row r="960" ht="16" x14ac:dyDescent="0.2"/>
    <row r="961" ht="16" x14ac:dyDescent="0.2"/>
    <row r="962" ht="16" x14ac:dyDescent="0.2"/>
    <row r="963" ht="16" x14ac:dyDescent="0.2"/>
    <row r="964" ht="16" x14ac:dyDescent="0.2"/>
    <row r="965" ht="16" x14ac:dyDescent="0.2"/>
    <row r="966" ht="16" x14ac:dyDescent="0.2"/>
    <row r="967" ht="16" x14ac:dyDescent="0.2"/>
    <row r="968" ht="16" x14ac:dyDescent="0.2"/>
    <row r="969" ht="16" x14ac:dyDescent="0.2"/>
    <row r="970" ht="16" x14ac:dyDescent="0.2"/>
    <row r="971" ht="16" x14ac:dyDescent="0.2"/>
    <row r="972" ht="16" x14ac:dyDescent="0.2"/>
    <row r="973" ht="16" x14ac:dyDescent="0.2"/>
    <row r="974" ht="16" x14ac:dyDescent="0.2"/>
    <row r="975" ht="16" x14ac:dyDescent="0.2"/>
    <row r="976" ht="16" x14ac:dyDescent="0.2"/>
    <row r="977" ht="16" x14ac:dyDescent="0.2"/>
    <row r="978" ht="16" x14ac:dyDescent="0.2"/>
    <row r="979" ht="16" x14ac:dyDescent="0.2"/>
    <row r="980" ht="16" x14ac:dyDescent="0.2"/>
    <row r="981" ht="16" x14ac:dyDescent="0.2"/>
    <row r="982" ht="16" x14ac:dyDescent="0.2"/>
    <row r="983" ht="16" x14ac:dyDescent="0.2"/>
    <row r="984" ht="16" x14ac:dyDescent="0.2"/>
    <row r="985" ht="16" x14ac:dyDescent="0.2"/>
    <row r="986" ht="16" x14ac:dyDescent="0.2"/>
    <row r="987" ht="16" x14ac:dyDescent="0.2"/>
    <row r="988" ht="16" x14ac:dyDescent="0.2"/>
    <row r="989" ht="16" x14ac:dyDescent="0.2"/>
    <row r="990" ht="16" x14ac:dyDescent="0.2"/>
    <row r="991" ht="16" x14ac:dyDescent="0.2"/>
    <row r="992" ht="16" x14ac:dyDescent="0.2"/>
    <row r="993" ht="16" x14ac:dyDescent="0.2"/>
    <row r="994" ht="16" x14ac:dyDescent="0.2"/>
    <row r="995" ht="16" x14ac:dyDescent="0.2"/>
    <row r="996" ht="16" x14ac:dyDescent="0.2"/>
    <row r="997" ht="16" x14ac:dyDescent="0.2"/>
    <row r="998" ht="16" x14ac:dyDescent="0.2"/>
    <row r="999" ht="16" x14ac:dyDescent="0.2"/>
    <row r="1000" ht="16" x14ac:dyDescent="0.2"/>
    <row r="1001" ht="16" x14ac:dyDescent="0.2"/>
    <row r="1002" ht="16" x14ac:dyDescent="0.2"/>
    <row r="1003" ht="16" x14ac:dyDescent="0.2"/>
    <row r="1004" ht="16" x14ac:dyDescent="0.2"/>
    <row r="1005" ht="16" x14ac:dyDescent="0.2"/>
    <row r="1006" ht="16" x14ac:dyDescent="0.2"/>
    <row r="1007" ht="16" x14ac:dyDescent="0.2"/>
    <row r="1008" ht="16" x14ac:dyDescent="0.2"/>
    <row r="1009" ht="16" x14ac:dyDescent="0.2"/>
    <row r="1010" ht="16" x14ac:dyDescent="0.2"/>
    <row r="1011" ht="16" x14ac:dyDescent="0.2"/>
    <row r="1012" ht="16" x14ac:dyDescent="0.2"/>
    <row r="1013" ht="16" x14ac:dyDescent="0.2"/>
    <row r="1014" ht="16" x14ac:dyDescent="0.2"/>
    <row r="1015" ht="16" x14ac:dyDescent="0.2"/>
    <row r="1016" ht="16" x14ac:dyDescent="0.2"/>
    <row r="1017" ht="16" x14ac:dyDescent="0.2"/>
    <row r="1018" ht="16" x14ac:dyDescent="0.2"/>
    <row r="1019" ht="16" x14ac:dyDescent="0.2"/>
    <row r="1020" ht="16" x14ac:dyDescent="0.2"/>
    <row r="1021" ht="16" x14ac:dyDescent="0.2"/>
    <row r="1022" ht="16" x14ac:dyDescent="0.2"/>
    <row r="1023" ht="16" x14ac:dyDescent="0.2"/>
    <row r="1024" ht="16" x14ac:dyDescent="0.2"/>
    <row r="1025" ht="16" x14ac:dyDescent="0.2"/>
    <row r="1026" ht="16" x14ac:dyDescent="0.2"/>
    <row r="1027" ht="16" x14ac:dyDescent="0.2"/>
    <row r="1028" ht="16" x14ac:dyDescent="0.2"/>
    <row r="1029" ht="16" x14ac:dyDescent="0.2"/>
    <row r="1030" ht="16" x14ac:dyDescent="0.2"/>
    <row r="1031" ht="16" x14ac:dyDescent="0.2"/>
    <row r="1032" ht="16" x14ac:dyDescent="0.2"/>
    <row r="1033" ht="16" x14ac:dyDescent="0.2"/>
    <row r="1034" ht="16" x14ac:dyDescent="0.2"/>
    <row r="1035" ht="16" x14ac:dyDescent="0.2"/>
    <row r="1036" ht="16" x14ac:dyDescent="0.2"/>
    <row r="1037" ht="16" x14ac:dyDescent="0.2"/>
    <row r="1038" ht="16" x14ac:dyDescent="0.2"/>
    <row r="1039" ht="16" x14ac:dyDescent="0.2"/>
    <row r="1040" ht="16" x14ac:dyDescent="0.2"/>
    <row r="1041" ht="16" x14ac:dyDescent="0.2"/>
    <row r="1042" ht="16" x14ac:dyDescent="0.2"/>
    <row r="1043" ht="16" x14ac:dyDescent="0.2"/>
    <row r="1044" ht="16" x14ac:dyDescent="0.2"/>
    <row r="1045" ht="16" x14ac:dyDescent="0.2"/>
    <row r="1046" ht="16" x14ac:dyDescent="0.2"/>
    <row r="1047" ht="16" x14ac:dyDescent="0.2"/>
    <row r="1048" ht="16" x14ac:dyDescent="0.2"/>
    <row r="1049" ht="16" x14ac:dyDescent="0.2"/>
    <row r="1050" ht="16" x14ac:dyDescent="0.2"/>
    <row r="1051" ht="16" x14ac:dyDescent="0.2"/>
    <row r="1052" ht="16" x14ac:dyDescent="0.2"/>
    <row r="1053" ht="16" x14ac:dyDescent="0.2"/>
    <row r="1054" ht="16" x14ac:dyDescent="0.2"/>
    <row r="1055" ht="16" x14ac:dyDescent="0.2"/>
    <row r="1056" ht="16" x14ac:dyDescent="0.2"/>
    <row r="1057" ht="16" x14ac:dyDescent="0.2"/>
    <row r="1058" ht="16" x14ac:dyDescent="0.2"/>
    <row r="1059" ht="16" x14ac:dyDescent="0.2"/>
    <row r="1060" ht="16" x14ac:dyDescent="0.2"/>
    <row r="1061" ht="16" x14ac:dyDescent="0.2"/>
    <row r="1062" ht="16" x14ac:dyDescent="0.2"/>
    <row r="1063" ht="16" x14ac:dyDescent="0.2"/>
    <row r="1064" ht="16" x14ac:dyDescent="0.2"/>
    <row r="1065" ht="16" x14ac:dyDescent="0.2"/>
    <row r="1066" ht="16" x14ac:dyDescent="0.2"/>
    <row r="1067" ht="16" x14ac:dyDescent="0.2"/>
    <row r="1068" ht="16" x14ac:dyDescent="0.2"/>
    <row r="1069" ht="16" x14ac:dyDescent="0.2"/>
    <row r="1070" ht="16" x14ac:dyDescent="0.2"/>
    <row r="1071" ht="16" x14ac:dyDescent="0.2"/>
    <row r="1072" ht="16" x14ac:dyDescent="0.2"/>
    <row r="1073" ht="16" x14ac:dyDescent="0.2"/>
    <row r="1074" ht="16" x14ac:dyDescent="0.2"/>
    <row r="1075" ht="16" x14ac:dyDescent="0.2"/>
    <row r="1076" ht="16" x14ac:dyDescent="0.2"/>
    <row r="1077" ht="16" x14ac:dyDescent="0.2"/>
    <row r="1078" ht="16" x14ac:dyDescent="0.2"/>
    <row r="1079" ht="16" x14ac:dyDescent="0.2"/>
    <row r="1080" ht="16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 Orders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devansh bhandari</cp:lastModifiedBy>
  <dcterms:modified xsi:type="dcterms:W3CDTF">2026-08-12T06:17:08Z</dcterms:modified>
</cp:coreProperties>
</file>